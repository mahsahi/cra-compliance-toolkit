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Dashboard" sheetId="1" state="visible" r:id="rId1"/>
    <sheet name="CRA Requirements Matrix" sheetId="2" state="visible" r:id="rId2"/>
    <sheet name="Tool Coverage Summary" sheetId="3" state="visible" r:id="rId3"/>
    <sheet name="Lifecycle Control Mapping" sheetId="4" state="visible" r:id="rId4"/>
    <sheet name="Compliance Gaps &amp; Roadmap" sheetId="5" state="visible" r:id="rId5"/>
    <sheet name="Sources and Assumptions" sheetId="6" state="visible" r:id="rId6"/>
  </sheets>
  <definedNames>
    <definedName name="_xlnm._FilterDatabase" localSheetId="1" hidden="1">'CRA Requirements Matrix'!$A$3:$AE$46</definedName>
    <definedName name="_xlnm._FilterDatabase" localSheetId="3" hidden="1">'Lifecycle Control Mapping'!$A$3:$H$47</definedName>
    <definedName name="_xlnm._FilterDatabase" localSheetId="4" hidden="1">'Compliance Gaps &amp; Roadmap'!$A$3:$I$23</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28">
    <font>
      <name val="Calibri"/>
      <family val="2"/>
      <color theme="1"/>
      <sz val="11"/>
      <scheme val="minor"/>
    </font>
    <font>
      <name val="Segoe UI"/>
      <b val="1"/>
      <color rgb="000F2537"/>
      <sz val="15"/>
    </font>
    <font>
      <name val="Segoe UI"/>
      <i val="1"/>
      <color rgb="004A5568"/>
      <sz val="9.5"/>
    </font>
    <font>
      <name val="Segoe UI"/>
      <b val="1"/>
      <color rgb="004A5568"/>
      <sz val="8.5"/>
    </font>
    <font>
      <name val="Segoe UI"/>
      <b val="1"/>
      <color rgb="000F2537"/>
      <sz val="18"/>
    </font>
    <font>
      <name val="Segoe UI"/>
      <i val="1"/>
      <color rgb="0064748B"/>
      <sz val="7.5"/>
    </font>
    <font>
      <name val="Segoe UI"/>
      <b val="1"/>
      <color rgb="00991B1B"/>
      <sz val="13"/>
    </font>
    <font>
      <name val="Segoe UI"/>
      <b val="1"/>
      <color rgb="00991B1B"/>
      <sz val="18"/>
    </font>
    <font>
      <name val="Segoe UI"/>
      <b val="1"/>
      <color rgb="00FFFFFF"/>
      <sz val="11"/>
    </font>
    <font>
      <name val="Segoe UI"/>
      <color rgb="001A202C"/>
      <sz val="9"/>
    </font>
    <font>
      <name val="Segoe UI"/>
      <b val="1"/>
      <color rgb="00FFFFFF"/>
      <sz val="9.5"/>
    </font>
    <font>
      <name val="Segoe UI"/>
      <b val="1"/>
      <color rgb="001A202C"/>
      <sz val="9"/>
    </font>
    <font>
      <name val="Segoe UI"/>
      <b val="1"/>
      <color rgb="00C2410C"/>
      <sz val="9"/>
    </font>
    <font>
      <name val="Segoe UI"/>
      <b val="1"/>
      <color rgb="00991B1B"/>
      <sz val="9"/>
    </font>
    <font>
      <name val="Segoe UI"/>
      <color rgb="000369A1"/>
      <sz val="9"/>
    </font>
    <font>
      <name val="Segoe UI"/>
      <b val="1"/>
      <color rgb="00166534"/>
      <sz val="9"/>
    </font>
    <font>
      <name val="Segoe UI"/>
      <color rgb="003730A3"/>
      <sz val="9"/>
    </font>
    <font>
      <name val="Segoe UI"/>
      <color rgb="00721C24"/>
      <sz val="9"/>
    </font>
    <font>
      <name val="Segoe UI"/>
      <b val="1"/>
      <color rgb="00856404"/>
      <sz val="9"/>
    </font>
    <font>
      <name val="Segoe UI"/>
      <b val="1"/>
      <color rgb="00155724"/>
      <sz val="9"/>
    </font>
    <font>
      <name val="Segoe UI"/>
      <color rgb="001B44BA"/>
      <sz val="9"/>
      <u val="single"/>
    </font>
    <font>
      <name val="Segoe UI"/>
      <color rgb="00854D0E"/>
      <sz val="9"/>
    </font>
    <font>
      <name val="Segoe UI"/>
      <color rgb="0064748B"/>
      <sz val="9"/>
    </font>
    <font>
      <name val="Segoe UI"/>
      <color rgb="00B45309"/>
      <sz val="9"/>
    </font>
    <font>
      <name val="Segoe UI"/>
      <b val="1"/>
      <color rgb="000369A1"/>
      <sz val="9"/>
    </font>
    <font>
      <name val="Segoe UI"/>
      <b val="1"/>
      <color rgb="005B21B6"/>
      <sz val="9"/>
    </font>
    <font>
      <name val="Segoe UI"/>
      <b val="1"/>
      <color rgb="0092400E"/>
      <sz val="9"/>
    </font>
    <font>
      <name val="Segoe UI"/>
      <b val="1"/>
      <color rgb="009D174D"/>
      <sz val="9"/>
    </font>
  </fonts>
  <fills count="21">
    <fill>
      <patternFill/>
    </fill>
    <fill>
      <patternFill patternType="gray125"/>
    </fill>
    <fill>
      <patternFill patternType="solid">
        <fgColor rgb="00F1F5F9"/>
        <bgColor rgb="00F1F5F9"/>
      </patternFill>
    </fill>
    <fill>
      <patternFill patternType="solid">
        <fgColor rgb="00FEE2E2"/>
        <bgColor rgb="00FEE2E2"/>
      </patternFill>
    </fill>
    <fill>
      <patternFill patternType="solid">
        <fgColor rgb="000F2537"/>
        <bgColor rgb="000F2537"/>
      </patternFill>
    </fill>
    <fill>
      <patternFill patternType="solid">
        <fgColor rgb="00FFFFFF"/>
        <bgColor rgb="00FFFFFF"/>
      </patternFill>
    </fill>
    <fill>
      <patternFill patternType="solid">
        <fgColor rgb="002C5282"/>
        <bgColor rgb="002C5282"/>
      </patternFill>
    </fill>
    <fill>
      <patternFill patternType="solid">
        <fgColor rgb="00F8FAFC"/>
        <bgColor rgb="00F8FAFC"/>
      </patternFill>
    </fill>
    <fill>
      <patternFill patternType="solid">
        <fgColor rgb="00D4EDDA"/>
        <bgColor rgb="00D4EDDA"/>
      </patternFill>
    </fill>
    <fill>
      <patternFill patternType="solid">
        <fgColor rgb="00FFF3CD"/>
        <bgColor rgb="00FFF3CD"/>
      </patternFill>
    </fill>
    <fill>
      <patternFill patternType="solid">
        <fgColor rgb="00F8D7DA"/>
        <bgColor rgb="00F8D7DA"/>
      </patternFill>
    </fill>
    <fill>
      <patternFill patternType="solid">
        <fgColor rgb="00DCE6F1"/>
        <bgColor rgb="00DCE6F1"/>
      </patternFill>
    </fill>
    <fill>
      <patternFill patternType="solid">
        <fgColor rgb="00FFEDD5"/>
        <bgColor rgb="00FFEDD5"/>
      </patternFill>
    </fill>
    <fill>
      <patternFill patternType="solid">
        <fgColor rgb="001B365D"/>
        <bgColor rgb="001B365D"/>
      </patternFill>
    </fill>
    <fill>
      <patternFill patternType="solid">
        <fgColor rgb="00E0F2FE"/>
        <bgColor rgb="00E0F2FE"/>
      </patternFill>
    </fill>
    <fill>
      <patternFill patternType="solid">
        <fgColor rgb="00DCFCE7"/>
        <bgColor rgb="00DCFCE7"/>
      </patternFill>
    </fill>
    <fill>
      <patternFill patternType="solid">
        <fgColor rgb="00E0E7FF"/>
        <bgColor rgb="00E0E7FF"/>
      </patternFill>
    </fill>
    <fill>
      <patternFill patternType="solid">
        <fgColor rgb="00FEF9C3"/>
        <bgColor rgb="00FEF9C3"/>
      </patternFill>
    </fill>
    <fill>
      <patternFill patternType="solid">
        <fgColor rgb="00FEF3C7"/>
        <bgColor rgb="00FEF3C7"/>
      </patternFill>
    </fill>
    <fill>
      <patternFill patternType="solid">
        <fgColor rgb="00EDE9FE"/>
        <bgColor rgb="00EDE9FE"/>
      </patternFill>
    </fill>
    <fill>
      <patternFill patternType="solid">
        <fgColor rgb="00FCE7F3"/>
        <bgColor rgb="00FCE7F3"/>
      </patternFill>
    </fill>
  </fills>
  <borders count="6">
    <border>
      <left/>
      <right/>
      <top/>
      <bottom/>
      <diagonal/>
    </border>
    <border>
      <left style="thin">
        <color rgb="00CBD5E1"/>
      </left>
      <right style="thin">
        <color rgb="00CBD5E1"/>
      </right>
      <top style="medium">
        <color rgb="000F2537"/>
      </top>
    </border>
    <border>
      <left style="thin">
        <color rgb="00CBD5E1"/>
      </left>
      <right style="thin">
        <color rgb="00CBD5E1"/>
      </right>
    </border>
    <border>
      <left style="thin">
        <color rgb="00CBD5E1"/>
      </left>
      <right style="thin">
        <color rgb="00CBD5E1"/>
      </right>
      <bottom style="medium">
        <color rgb="000F2537"/>
      </bottom>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CBD5E1"/>
      </top>
      <bottom style="double">
        <color rgb="000F2537"/>
      </bottom>
    </border>
  </borders>
  <cellStyleXfs count="1">
    <xf numFmtId="0" fontId="0" fillId="0" borderId="0"/>
  </cellStyleXfs>
  <cellXfs count="7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center"/>
    </xf>
    <xf numFmtId="0" fontId="4" fillId="2" borderId="2" applyAlignment="1" pivotButton="0" quotePrefix="0" xfId="0">
      <alignment horizontal="center" vertical="center"/>
    </xf>
    <xf numFmtId="0" fontId="6" fillId="3" borderId="2" applyAlignment="1" pivotButton="0" quotePrefix="0" xfId="0">
      <alignment horizontal="center" vertical="center"/>
    </xf>
    <xf numFmtId="0" fontId="7" fillId="3" borderId="2" applyAlignment="1" pivotButton="0" quotePrefix="0" xfId="0">
      <alignment horizontal="center" vertical="center"/>
    </xf>
    <xf numFmtId="0" fontId="5" fillId="2" borderId="3" applyAlignment="1" pivotButton="0" quotePrefix="0" xfId="0">
      <alignment horizontal="center" vertical="center"/>
    </xf>
    <xf numFmtId="0" fontId="8" fillId="4" borderId="0" applyAlignment="1" pivotButton="0" quotePrefix="0" xfId="0">
      <alignment horizontal="left" vertical="center"/>
    </xf>
    <xf numFmtId="0" fontId="9" fillId="5" borderId="4" applyAlignment="1" pivotButton="0" quotePrefix="0" xfId="0">
      <alignment horizontal="left" vertical="top" wrapText="1"/>
    </xf>
    <xf numFmtId="0" fontId="0" fillId="0" borderId="4" pivotButton="0" quotePrefix="0" xfId="0"/>
    <xf numFmtId="0" fontId="10" fillId="6" borderId="4" applyAlignment="1" pivotButton="0" quotePrefix="0" xfId="0">
      <alignment horizontal="center" vertical="center" wrapText="1"/>
    </xf>
    <xf numFmtId="0" fontId="11" fillId="7" borderId="4" applyAlignment="1" pivotButton="0" quotePrefix="0" xfId="0">
      <alignment horizontal="left" vertical="center"/>
    </xf>
    <xf numFmtId="0" fontId="9" fillId="7" borderId="4" applyAlignment="1" pivotButton="0" quotePrefix="0" xfId="0">
      <alignment horizontal="center" vertical="center"/>
    </xf>
    <xf numFmtId="0" fontId="11" fillId="8" borderId="4" applyAlignment="1" pivotButton="0" quotePrefix="0" xfId="0">
      <alignment horizontal="center" vertical="center"/>
    </xf>
    <xf numFmtId="164" fontId="11" fillId="8" borderId="4" applyAlignment="1" pivotButton="0" quotePrefix="0" xfId="0">
      <alignment horizontal="center" vertical="center"/>
    </xf>
    <xf numFmtId="0" fontId="11" fillId="9" borderId="4" applyAlignment="1" pivotButton="0" quotePrefix="0" xfId="0">
      <alignment horizontal="center" vertical="center"/>
    </xf>
    <xf numFmtId="164" fontId="11" fillId="9" borderId="4" applyAlignment="1" pivotButton="0" quotePrefix="0" xfId="0">
      <alignment horizontal="center" vertical="center"/>
    </xf>
    <xf numFmtId="164" fontId="11" fillId="7" borderId="4" applyAlignment="1" pivotButton="0" quotePrefix="0" xfId="0">
      <alignment horizontal="center" vertical="center"/>
    </xf>
    <xf numFmtId="164" fontId="9" fillId="10" borderId="4" applyAlignment="1" pivotButton="0" quotePrefix="0" xfId="0">
      <alignment horizontal="center" vertical="center"/>
    </xf>
    <xf numFmtId="0" fontId="11" fillId="5" borderId="4" applyAlignment="1" pivotButton="0" quotePrefix="0" xfId="0">
      <alignment horizontal="left" vertical="center"/>
    </xf>
    <xf numFmtId="0" fontId="9" fillId="5" borderId="4" applyAlignment="1" pivotButton="0" quotePrefix="0" xfId="0">
      <alignment horizontal="center" vertical="center"/>
    </xf>
    <xf numFmtId="164" fontId="11" fillId="5" borderId="4" applyAlignment="1" pivotButton="0" quotePrefix="0" xfId="0">
      <alignment horizontal="center" vertical="center"/>
    </xf>
    <xf numFmtId="0" fontId="11" fillId="11" borderId="5" applyAlignment="1" pivotButton="0" quotePrefix="0" xfId="0">
      <alignment horizontal="left" vertical="center"/>
    </xf>
    <xf numFmtId="0" fontId="11" fillId="11" borderId="5" applyAlignment="1" pivotButton="0" quotePrefix="0" xfId="0">
      <alignment horizontal="center" vertical="center"/>
    </xf>
    <xf numFmtId="165" fontId="11" fillId="11" borderId="5" applyAlignment="1" pivotButton="0" quotePrefix="0" xfId="0">
      <alignment horizontal="center" vertical="center"/>
    </xf>
    <xf numFmtId="164" fontId="11" fillId="11" borderId="5" applyAlignment="1" pivotButton="0" quotePrefix="0" xfId="0">
      <alignment horizontal="center" vertical="center"/>
    </xf>
    <xf numFmtId="0" fontId="11" fillId="0" borderId="4" applyAlignment="1" pivotButton="0" quotePrefix="0" xfId="0">
      <alignment horizontal="left" vertical="center"/>
    </xf>
    <xf numFmtId="0" fontId="9" fillId="0" borderId="4" applyAlignment="1" pivotButton="0" quotePrefix="0" xfId="0">
      <alignment horizontal="center" vertical="center" wrapText="1"/>
    </xf>
    <xf numFmtId="0" fontId="9" fillId="0" borderId="4" applyAlignment="1" pivotButton="0" quotePrefix="0" xfId="0">
      <alignment horizontal="left" vertical="center" wrapText="1"/>
    </xf>
    <xf numFmtId="0" fontId="12" fillId="12" borderId="4" applyAlignment="1" pivotButton="0" quotePrefix="0" xfId="0">
      <alignment horizontal="center" vertical="center"/>
    </xf>
    <xf numFmtId="0" fontId="9" fillId="0" borderId="4" applyAlignment="1" pivotButton="0" quotePrefix="0" xfId="0">
      <alignment horizontal="center" vertical="center"/>
    </xf>
    <xf numFmtId="0" fontId="13" fillId="3" borderId="4" applyAlignment="1" pivotButton="0" quotePrefix="0" xfId="0">
      <alignment horizontal="center" vertical="center"/>
    </xf>
    <xf numFmtId="0" fontId="11" fillId="11" borderId="4" applyAlignment="1" pivotButton="0" quotePrefix="0" xfId="0">
      <alignment horizontal="left" vertical="top"/>
    </xf>
    <xf numFmtId="0" fontId="9" fillId="0" borderId="4" applyAlignment="1" pivotButton="0" quotePrefix="0" xfId="0">
      <alignment horizontal="left" vertical="top" wrapText="1"/>
    </xf>
    <xf numFmtId="0" fontId="10" fillId="13" borderId="4" applyAlignment="1" pivotButton="0" quotePrefix="0" xfId="0">
      <alignment horizontal="center" vertical="center" wrapText="1"/>
    </xf>
    <xf numFmtId="0" fontId="11" fillId="7" borderId="4" applyAlignment="1" pivotButton="0" quotePrefix="0" xfId="0">
      <alignment horizontal="center" vertical="top"/>
    </xf>
    <xf numFmtId="0" fontId="9" fillId="7" borderId="4" applyAlignment="1" pivotButton="0" quotePrefix="0" xfId="0">
      <alignment horizontal="center" vertical="top" wrapText="1"/>
    </xf>
    <xf numFmtId="0" fontId="9" fillId="7" borderId="4" applyAlignment="1" pivotButton="0" quotePrefix="0" xfId="0">
      <alignment horizontal="left" vertical="top" wrapText="1"/>
    </xf>
    <xf numFmtId="0" fontId="14" fillId="14" borderId="4" applyAlignment="1" pivotButton="0" quotePrefix="0" xfId="0">
      <alignment horizontal="center" vertical="top" wrapText="1"/>
    </xf>
    <xf numFmtId="0" fontId="15" fillId="15" borderId="4" applyAlignment="1" pivotButton="0" quotePrefix="0" xfId="0">
      <alignment horizontal="center" vertical="top"/>
    </xf>
    <xf numFmtId="0" fontId="16" fillId="16" borderId="4" applyAlignment="1" pivotButton="0" quotePrefix="0" xfId="0">
      <alignment horizontal="center" vertical="top"/>
    </xf>
    <xf numFmtId="0" fontId="17" fillId="10" borderId="4" applyAlignment="1" pivotButton="0" quotePrefix="0" xfId="0">
      <alignment horizontal="center" vertical="top"/>
    </xf>
    <xf numFmtId="0" fontId="18" fillId="9" borderId="4" applyAlignment="1" pivotButton="0" quotePrefix="0" xfId="0">
      <alignment horizontal="center" vertical="top"/>
    </xf>
    <xf numFmtId="0" fontId="19" fillId="8" borderId="4" applyAlignment="1" pivotButton="0" quotePrefix="0" xfId="0">
      <alignment horizontal="center" vertical="top"/>
    </xf>
    <xf numFmtId="0" fontId="13" fillId="3" borderId="4" applyAlignment="1" pivotButton="0" quotePrefix="0" xfId="0">
      <alignment horizontal="center" vertical="top"/>
    </xf>
    <xf numFmtId="0" fontId="20" fillId="7" borderId="4" applyAlignment="1" pivotButton="0" quotePrefix="0" xfId="0">
      <alignment horizontal="center" vertical="top"/>
    </xf>
    <xf numFmtId="0" fontId="11" fillId="5" borderId="4" applyAlignment="1" pivotButton="0" quotePrefix="0" xfId="0">
      <alignment horizontal="center" vertical="top"/>
    </xf>
    <xf numFmtId="0" fontId="9" fillId="5" borderId="4" applyAlignment="1" pivotButton="0" quotePrefix="0" xfId="0">
      <alignment horizontal="center" vertical="top" wrapText="1"/>
    </xf>
    <xf numFmtId="0" fontId="20" fillId="5" borderId="4" applyAlignment="1" pivotButton="0" quotePrefix="0" xfId="0">
      <alignment horizontal="center" vertical="top"/>
    </xf>
    <xf numFmtId="0" fontId="12" fillId="12" borderId="4" applyAlignment="1" pivotButton="0" quotePrefix="0" xfId="0">
      <alignment horizontal="center" vertical="top"/>
    </xf>
    <xf numFmtId="0" fontId="21" fillId="17" borderId="4" applyAlignment="1" pivotButton="0" quotePrefix="0" xfId="0">
      <alignment horizontal="center" vertical="top"/>
    </xf>
    <xf numFmtId="0" fontId="22" fillId="2" borderId="4" applyAlignment="1" pivotButton="0" quotePrefix="0" xfId="0">
      <alignment horizontal="center" vertical="top"/>
    </xf>
    <xf numFmtId="0" fontId="23" fillId="18" borderId="4" applyAlignment="1" pivotButton="0" quotePrefix="0" xfId="0">
      <alignment horizontal="center" vertical="top" wrapText="1"/>
    </xf>
    <xf numFmtId="0" fontId="9" fillId="10" borderId="4" applyAlignment="1" pivotButton="0" quotePrefix="0" xfId="0">
      <alignment horizontal="center" vertical="center"/>
    </xf>
    <xf numFmtId="0" fontId="9" fillId="5" borderId="4" applyAlignment="1" pivotButton="0" quotePrefix="0" xfId="0">
      <alignment horizontal="left" vertical="center"/>
    </xf>
    <xf numFmtId="0" fontId="9" fillId="7" borderId="4" applyAlignment="1" pivotButton="0" quotePrefix="0" xfId="0">
      <alignment horizontal="left" vertical="center"/>
    </xf>
    <xf numFmtId="0" fontId="24" fillId="14" borderId="4" applyAlignment="1" pivotButton="0" quotePrefix="0" xfId="0">
      <alignment horizontal="center" vertical="top"/>
    </xf>
    <xf numFmtId="0" fontId="11" fillId="7" borderId="4" applyAlignment="1" pivotButton="0" quotePrefix="0" xfId="0">
      <alignment horizontal="left" vertical="top" wrapText="1"/>
    </xf>
    <xf numFmtId="0" fontId="11" fillId="5" borderId="4" applyAlignment="1" pivotButton="0" quotePrefix="0" xfId="0">
      <alignment horizontal="left" vertical="top" wrapText="1"/>
    </xf>
    <xf numFmtId="0" fontId="25" fillId="19" borderId="4" applyAlignment="1" pivotButton="0" quotePrefix="0" xfId="0">
      <alignment horizontal="center" vertical="top"/>
    </xf>
    <xf numFmtId="0" fontId="26" fillId="18" borderId="4" applyAlignment="1" pivotButton="0" quotePrefix="0" xfId="0">
      <alignment horizontal="center" vertical="top"/>
    </xf>
    <xf numFmtId="0" fontId="27" fillId="20" borderId="4" applyAlignment="1" pivotButton="0" quotePrefix="0" xfId="0">
      <alignment horizontal="center" vertical="top"/>
    </xf>
    <xf numFmtId="0" fontId="13" fillId="3" borderId="4" applyAlignment="1" pivotButton="0" quotePrefix="0" xfId="0">
      <alignment horizontal="left" vertical="top" wrapText="1"/>
    </xf>
    <xf numFmtId="0" fontId="9" fillId="7" borderId="4" applyAlignment="1" pivotButton="0" quotePrefix="0" xfId="0">
      <alignment horizontal="center" vertical="top"/>
    </xf>
    <xf numFmtId="0" fontId="9" fillId="5" borderId="4" applyAlignment="1" pivotButton="0" quotePrefix="0" xfId="0">
      <alignment horizontal="center" vertical="top"/>
    </xf>
    <xf numFmtId="0" fontId="12" fillId="12" borderId="4" applyAlignment="1" pivotButton="0" quotePrefix="0" xfId="0">
      <alignment horizontal="left" vertical="top" wrapText="1"/>
    </xf>
    <xf numFmtId="0" fontId="21" fillId="17" borderId="4" applyAlignment="1" pivotButton="0" quotePrefix="0" xfId="0">
      <alignment horizontal="left" vertical="top" wrapText="1"/>
    </xf>
    <xf numFmtId="0" fontId="11" fillId="0" borderId="4" applyAlignment="1" pivotButton="0" quotePrefix="0" xfId="0">
      <alignment horizontal="left" vertical="top"/>
    </xf>
    <xf numFmtId="0" fontId="20" fillId="0" borderId="4" applyAlignment="1" pivotButton="0" quotePrefix="0" xfId="0">
      <alignment horizontal="center" vertical="top"/>
    </xf>
    <xf numFmtId="0" fontId="13" fillId="3" borderId="4" applyAlignment="1" pivotButton="0" quotePrefix="0" xfId="0">
      <alignment horizontal="center" vertical="top" wrapText="1"/>
    </xf>
    <xf numFmtId="0" fontId="9" fillId="0" borderId="4"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ur-lex.europa.eu/eli/reg/2024/2847/oj" TargetMode="External" Id="rId1" /><Relationship Type="http://schemas.openxmlformats.org/officeDocument/2006/relationships/hyperlink" Target="https://eur-lex.europa.eu/eli/reg/2024/2847/oj" TargetMode="External" Id="rId2" /><Relationship Type="http://schemas.openxmlformats.org/officeDocument/2006/relationships/hyperlink" Target="https://eur-lex.europa.eu/eli/reg/2024/2847/oj" TargetMode="External" Id="rId3" /><Relationship Type="http://schemas.openxmlformats.org/officeDocument/2006/relationships/hyperlink" Target="https://eur-lex.europa.eu/eli/reg/2024/2847/oj" TargetMode="External" Id="rId4" /><Relationship Type="http://schemas.openxmlformats.org/officeDocument/2006/relationships/hyperlink" Target="https://eur-lex.europa.eu/eli/reg/2024/2847/oj" TargetMode="External" Id="rId5" /><Relationship Type="http://schemas.openxmlformats.org/officeDocument/2006/relationships/hyperlink" Target="https://eur-lex.europa.eu/eli/reg/2024/2847/oj" TargetMode="External" Id="rId6" /><Relationship Type="http://schemas.openxmlformats.org/officeDocument/2006/relationships/hyperlink" Target="https://eur-lex.europa.eu/eli/reg/2024/2847/oj" TargetMode="External" Id="rId7" /><Relationship Type="http://schemas.openxmlformats.org/officeDocument/2006/relationships/hyperlink" Target="https://eur-lex.europa.eu/eli/reg/2024/2847/oj" TargetMode="External" Id="rId8" /><Relationship Type="http://schemas.openxmlformats.org/officeDocument/2006/relationships/hyperlink" Target="https://eur-lex.europa.eu/eli/reg/2024/2847/oj" TargetMode="External" Id="rId9" /><Relationship Type="http://schemas.openxmlformats.org/officeDocument/2006/relationships/hyperlink" Target="https://eur-lex.europa.eu/eli/reg/2024/2847/oj" TargetMode="External" Id="rId10" /><Relationship Type="http://schemas.openxmlformats.org/officeDocument/2006/relationships/hyperlink" Target="https://eur-lex.europa.eu/eli/reg/2024/2847/oj" TargetMode="External" Id="rId11" /><Relationship Type="http://schemas.openxmlformats.org/officeDocument/2006/relationships/hyperlink" Target="https://eur-lex.europa.eu/eli/reg/2024/2847/oj" TargetMode="External" Id="rId12" /><Relationship Type="http://schemas.openxmlformats.org/officeDocument/2006/relationships/hyperlink" Target="https://eur-lex.europa.eu/eli/reg/2024/2847/oj" TargetMode="External" Id="rId13" /><Relationship Type="http://schemas.openxmlformats.org/officeDocument/2006/relationships/hyperlink" Target="https://eur-lex.europa.eu/eli/reg/2024/2847/oj" TargetMode="External" Id="rId14" /><Relationship Type="http://schemas.openxmlformats.org/officeDocument/2006/relationships/hyperlink" Target="https://eur-lex.europa.eu/eli/reg/2024/2847/oj" TargetMode="External" Id="rId15" /><Relationship Type="http://schemas.openxmlformats.org/officeDocument/2006/relationships/hyperlink" Target="https://eur-lex.europa.eu/eli/reg/2024/2847/oj" TargetMode="External" Id="rId16" /><Relationship Type="http://schemas.openxmlformats.org/officeDocument/2006/relationships/hyperlink" Target="https://eur-lex.europa.eu/eli/reg/2024/2847/oj" TargetMode="External" Id="rId17" /><Relationship Type="http://schemas.openxmlformats.org/officeDocument/2006/relationships/hyperlink" Target="https://eur-lex.europa.eu/eli/reg/2024/2847/oj" TargetMode="External" Id="rId18" /><Relationship Type="http://schemas.openxmlformats.org/officeDocument/2006/relationships/hyperlink" Target="https://eur-lex.europa.eu/eli/reg/2024/2847/oj" TargetMode="External" Id="rId19" /><Relationship Type="http://schemas.openxmlformats.org/officeDocument/2006/relationships/hyperlink" Target="https://eur-lex.europa.eu/eli/reg/2024/2847/oj" TargetMode="External" Id="rId20" /><Relationship Type="http://schemas.openxmlformats.org/officeDocument/2006/relationships/hyperlink" Target="https://eur-lex.europa.eu/eli/reg/2024/2847/oj" TargetMode="External" Id="rId21" /><Relationship Type="http://schemas.openxmlformats.org/officeDocument/2006/relationships/hyperlink" Target="https://eur-lex.europa.eu/eli/reg/2024/2847/oj" TargetMode="External" Id="rId22" /><Relationship Type="http://schemas.openxmlformats.org/officeDocument/2006/relationships/hyperlink" Target="https://eur-lex.europa.eu/eli/reg/2024/2847/oj" TargetMode="External" Id="rId23" /><Relationship Type="http://schemas.openxmlformats.org/officeDocument/2006/relationships/hyperlink" Target="https://eur-lex.europa.eu/eli/reg/2024/2847/oj" TargetMode="External" Id="rId24" /><Relationship Type="http://schemas.openxmlformats.org/officeDocument/2006/relationships/hyperlink" Target="https://eur-lex.europa.eu/eli/reg/2024/2847/oj" TargetMode="External" Id="rId25" /><Relationship Type="http://schemas.openxmlformats.org/officeDocument/2006/relationships/hyperlink" Target="https://eur-lex.europa.eu/eli/reg/2024/2847/oj" TargetMode="External" Id="rId26" /><Relationship Type="http://schemas.openxmlformats.org/officeDocument/2006/relationships/hyperlink" Target="https://eur-lex.europa.eu/eli/reg/2024/2847/oj" TargetMode="External" Id="rId27" /><Relationship Type="http://schemas.openxmlformats.org/officeDocument/2006/relationships/hyperlink" Target="https://eur-lex.europa.eu/eli/reg/2024/2847/oj" TargetMode="External" Id="rId28" /><Relationship Type="http://schemas.openxmlformats.org/officeDocument/2006/relationships/hyperlink" Target="https://eur-lex.europa.eu/eli/reg/2024/2847/oj" TargetMode="External" Id="rId29" /><Relationship Type="http://schemas.openxmlformats.org/officeDocument/2006/relationships/hyperlink" Target="https://eur-lex.europa.eu/eli/reg/2024/2847/oj" TargetMode="External" Id="rId30" /><Relationship Type="http://schemas.openxmlformats.org/officeDocument/2006/relationships/hyperlink" Target="https://eur-lex.europa.eu/eli/reg/2024/2847/oj" TargetMode="External" Id="rId31" /><Relationship Type="http://schemas.openxmlformats.org/officeDocument/2006/relationships/hyperlink" Target="https://eur-lex.europa.eu/eli/reg/2024/2847/oj" TargetMode="External" Id="rId32" /><Relationship Type="http://schemas.openxmlformats.org/officeDocument/2006/relationships/hyperlink" Target="https://eur-lex.europa.eu/eli/reg/2024/2847/oj" TargetMode="External" Id="rId33" /><Relationship Type="http://schemas.openxmlformats.org/officeDocument/2006/relationships/hyperlink" Target="https://eur-lex.europa.eu/eli/reg/2024/2847/oj" TargetMode="External" Id="rId34" /><Relationship Type="http://schemas.openxmlformats.org/officeDocument/2006/relationships/hyperlink" Target="https://eur-lex.europa.eu/eli/reg/2024/2847/oj" TargetMode="External" Id="rId35" /><Relationship Type="http://schemas.openxmlformats.org/officeDocument/2006/relationships/hyperlink" Target="https://eur-lex.europa.eu/eli/reg/2024/2847/oj" TargetMode="External" Id="rId36" /><Relationship Type="http://schemas.openxmlformats.org/officeDocument/2006/relationships/hyperlink" Target="https://eur-lex.europa.eu/eli/reg/2024/2847/oj" TargetMode="External" Id="rId37" /><Relationship Type="http://schemas.openxmlformats.org/officeDocument/2006/relationships/hyperlink" Target="https://eur-lex.europa.eu/eli/reg/2024/2847/oj" TargetMode="External" Id="rId38" /><Relationship Type="http://schemas.openxmlformats.org/officeDocument/2006/relationships/hyperlink" Target="https://eur-lex.europa.eu/eli/reg/2024/2847/oj" TargetMode="External" Id="rId39" /><Relationship Type="http://schemas.openxmlformats.org/officeDocument/2006/relationships/hyperlink" Target="https://eur-lex.europa.eu/eli/reg/2024/2847/oj" TargetMode="External" Id="rId40" /><Relationship Type="http://schemas.openxmlformats.org/officeDocument/2006/relationships/hyperlink" Target="https://eur-lex.europa.eu/eli/reg/2024/2847/oj" TargetMode="External" Id="rId41" /><Relationship Type="http://schemas.openxmlformats.org/officeDocument/2006/relationships/hyperlink" Target="https://eur-lex.europa.eu/eli/reg/2024/2847/oj" TargetMode="External" Id="rId42" /><Relationship Type="http://schemas.openxmlformats.org/officeDocument/2006/relationships/hyperlink" Target="https://eur-lex.europa.eu/eli/reg/2024/2847/oj" TargetMode="External" Id="rId43" /></Relationships>
</file>

<file path=xl/worksheets/_rels/sheet6.xml.rels><Relationships xmlns="http://schemas.openxmlformats.org/package/2006/relationships"><Relationship Type="http://schemas.openxmlformats.org/officeDocument/2006/relationships/hyperlink" Target="https://eur-lex.europa.eu/legal-content/EN/TXT/?uri=OJ:L_202402847" TargetMode="External" Id="rId1" /><Relationship Type="http://schemas.openxmlformats.org/officeDocument/2006/relationships/hyperlink" Target="https://eur-lex.europa.eu/legal-content/EN/TXT/?uri=OJ:L_202490782" TargetMode="External" Id="rId2" /><Relationship Type="http://schemas.openxmlformats.org/officeDocument/2006/relationships/hyperlink" Target="https://eur-lex.europa.eu/legal-content/EN/TXT/?uri=OJ:L_202502392" TargetMode="External" Id="rId3" /><Relationship Type="http://schemas.openxmlformats.org/officeDocument/2006/relationships/hyperlink" Target="https://eur-lex.europa.eu/legal-content/EN/TXT/?uri=OJ:L_202600881" TargetMode="External" Id="rId4" /><Relationship Type="http://schemas.openxmlformats.org/officeDocument/2006/relationships/hyperlink" Target="https://digital-strategy.ec.europa.eu/en/policies/cyber-resilience-act" TargetMode="External" Id="rId5" /><Relationship Type="http://schemas.openxmlformats.org/officeDocument/2006/relationships/hyperlink" Target="https://ec.europa.eu/commission/presscorner/detail/en/qanda_22_5555" TargetMode="External" Id="rId6" /><Relationship Type="http://schemas.openxmlformats.org/officeDocument/2006/relationships/hyperlink" Target="https://eur-lex.europa.eu/legal-content/EN/TXT/?uri=CELEX:52022XC0629(01)" TargetMode="External" Id="rId7" /></Relationships>
</file>

<file path=xl/worksheets/sheet1.xml><?xml version="1.0" encoding="utf-8"?>
<worksheet xmlns="http://schemas.openxmlformats.org/spreadsheetml/2006/main">
  <sheetPr>
    <outlinePr summaryBelow="1" summaryRight="1"/>
    <pageSetUpPr/>
  </sheetPr>
  <dimension ref="A1:J40"/>
  <sheetViews>
    <sheetView showGridLines="1" workbookViewId="0">
      <pane ySplit="3" topLeftCell="A4" activePane="bottomLeft" state="frozen"/>
      <selection pane="bottomLeft" activeCell="A1" sqref="A1"/>
    </sheetView>
  </sheetViews>
  <sheetFormatPr baseColWidth="8" defaultRowHeight="15"/>
  <cols>
    <col width="26" customWidth="1" min="1" max="1"/>
    <col width="22" customWidth="1" min="2" max="2"/>
    <col width="14" customWidth="1" min="3" max="3"/>
    <col width="14" customWidth="1" min="4" max="4"/>
    <col width="14" customWidth="1" min="5" max="5"/>
    <col width="16" customWidth="1" min="6" max="6"/>
    <col width="14" customWidth="1" min="7" max="7"/>
    <col width="22" customWidth="1" min="8" max="8"/>
    <col width="15" customWidth="1" min="9" max="9"/>
    <col width="30" customWidth="1" min="10" max="10"/>
  </cols>
  <sheetData>
    <row r="1" ht="25" customHeight="1">
      <c r="A1" s="1" t="inlineStr">
        <is>
          <t>EU CYBER RESILIENCE ACT (REGULATION (EU) 2024/2847) — EXECUTIVE COMPLIANCE DASHBOARD</t>
        </is>
      </c>
    </row>
    <row r="2" ht="18" customHeight="1">
      <c r="A2" s="2" t="inlineStr">
        <is>
          <t>Executive Overview, KPI Scorecards, Toolchain Coverage Metrics &amp; Strategic Roadmap | Baseline: Standard Commercial Product with Digital Elements | October 2026</t>
        </is>
      </c>
    </row>
    <row r="3"/>
    <row r="4" ht="16" customHeight="1">
      <c r="A4" s="3" t="inlineStr">
        <is>
          <t>TOTAL CRA OBLIGATIONS</t>
        </is>
      </c>
      <c r="C4" s="3" t="inlineStr">
        <is>
          <t>MANDATORY OBLIGATIONS</t>
        </is>
      </c>
      <c r="D4" s="3" t="inlineStr">
        <is>
          <t>CONDITIONAL CLAUSES</t>
        </is>
      </c>
      <c r="E4" s="3" t="inlineStr">
        <is>
          <t>ARTICLE 14 REPORTING DUTY</t>
        </is>
      </c>
      <c r="G4" s="3" t="inlineStr">
        <is>
          <t>CRITICAL REMEDIATION GAPS</t>
        </is>
      </c>
      <c r="I4" s="3" t="inlineStr">
        <is>
          <t>RESIDUAL GOVERNANCE GAPS</t>
        </is>
      </c>
    </row>
    <row r="5" ht="28" customHeight="1">
      <c r="A5" s="4">
        <f>COUNTA('CRA Requirements Matrix'!A4:A46)</f>
        <v/>
      </c>
      <c r="C5" s="4">
        <f>COUNTIF('CRA Requirements Matrix'!F4:F46, "*Mandatory*")</f>
        <v/>
      </c>
      <c r="D5" s="4">
        <f>COUNTIF('CRA Requirements Matrix'!F4:F46, "*Conditional*")</f>
        <v/>
      </c>
      <c r="E5" s="5" t="inlineStr">
        <is>
          <t>LIVE (11 Sept 2026)</t>
        </is>
      </c>
      <c r="G5" s="6">
        <f>COUNTIF('CRA Requirements Matrix'!AC4:AC46, "Critical*")</f>
        <v/>
      </c>
      <c r="I5" s="4">
        <f>COUNTA('Compliance Gaps &amp; Roadmap'!A4:A23)</f>
        <v/>
      </c>
    </row>
    <row r="6" ht="16" customHeight="1">
      <c r="A6" s="7" t="inlineStr">
        <is>
          <t>Independently assessable legal requirements</t>
        </is>
      </c>
      <c r="C6" s="7" t="inlineStr">
        <is>
          <t>Strict baseline statutory requirements</t>
        </is>
      </c>
      <c r="D6" s="7" t="inlineStr">
        <is>
          <t>Tailored B2B / context-specific clauses</t>
        </is>
      </c>
      <c r="E6" s="7" t="inlineStr">
        <is>
          <t>MANDATORY &amp; ENFORCEABLE RIGHT NOW</t>
        </is>
      </c>
      <c r="G6" s="7" t="inlineStr">
        <is>
          <t>Immediate compliance priority items</t>
        </is>
      </c>
      <c r="I6" s="7" t="inlineStr">
        <is>
          <t>Gaps requiring non-tool policies / legal SOPs</t>
        </is>
      </c>
    </row>
    <row r="7"/>
    <row r="8" ht="22" customHeight="1">
      <c r="A8" s="8" t="inlineStr">
        <is>
          <t>1. EXECUTIVE REGULATORY CONTEXT &amp; STRATEGIC MANDATE</t>
        </is>
      </c>
    </row>
    <row r="9">
      <c r="A9" s="9" t="inlineStr">
        <is>
          <t>On 20 November 2024, the European Union published Regulation (EU) 2024/2847 (Cyber Resilience Act — CRA; OJ L, 2024/2847), establishing a mandatory horizontal regulatory framework for products with digital elements (PDEs) placed on the EU single market. Unlike voluntary security certifications (ISO 27001, SOC 2), the CRA enforces direct product-level essential requirements (Annex I), continuous vulnerability handling, and statutory administrative fines of up to €15,000,000 or 2.5% of global turnover.
CRITICAL ENFORCEMENT TIMELINE DISTINCTION (AS OF OCTOBER 2026):
• LIVE TODAY (Statutory Duty since 11 September 2026): Article 14 incident and actively exploited vulnerability reporting is fully live and enforceable right now via the ENISA Single Reporting Platform (SRP). It applies retroactively to all products currently in use on the EU market.
• TARGET DATE (11 December 2027): General application of Annex I essential requirements, conformity assessment (Module A/B/C/H), CE marking, and technical documentation (Annex VII) becomes mandatory for all market placements.
CORE ARCHITECTURAL FINDING:
Automated security tools (SAST, SCA, DAST, Container Scanning) provide vital technical detection and evidence generation for ~28% of CRA requirements. However, more than 50% of CRA obligations represent non-tool organizational, legal, and operational duties—including statutory CSIRT reporting, Coordinated Vulnerability Disclosure (CVD), minimum 5-year support periods, 10-year update archives, Annex VII dossiers, and EU Declarations of Conformity.</t>
        </is>
      </c>
      <c r="B9" s="10" t="n"/>
      <c r="C9" s="10" t="n"/>
      <c r="D9" s="10" t="n"/>
      <c r="E9" s="10" t="n"/>
      <c r="F9" s="10" t="n"/>
      <c r="G9" s="10" t="n"/>
      <c r="H9" s="10" t="n"/>
      <c r="I9" s="10" t="n"/>
      <c r="J9" s="10" t="n"/>
    </row>
    <row r="10">
      <c r="A10" s="10" t="n"/>
      <c r="B10" s="10" t="n"/>
      <c r="C10" s="10" t="n"/>
      <c r="D10" s="10" t="n"/>
      <c r="E10" s="10" t="n"/>
      <c r="F10" s="10" t="n"/>
      <c r="G10" s="10" t="n"/>
      <c r="H10" s="10" t="n"/>
      <c r="I10" s="10" t="n"/>
      <c r="J10" s="10" t="n"/>
    </row>
    <row r="11">
      <c r="A11" s="10" t="n"/>
      <c r="B11" s="10" t="n"/>
      <c r="C11" s="10" t="n"/>
      <c r="D11" s="10" t="n"/>
      <c r="E11" s="10" t="n"/>
      <c r="F11" s="10" t="n"/>
      <c r="G11" s="10" t="n"/>
      <c r="H11" s="10" t="n"/>
      <c r="I11" s="10" t="n"/>
      <c r="J11" s="10" t="n"/>
    </row>
    <row r="12">
      <c r="A12" s="10" t="n"/>
      <c r="B12" s="10" t="n"/>
      <c r="C12" s="10" t="n"/>
      <c r="D12" s="10" t="n"/>
      <c r="E12" s="10" t="n"/>
      <c r="F12" s="10" t="n"/>
      <c r="G12" s="10" t="n"/>
      <c r="H12" s="10" t="n"/>
      <c r="I12" s="10" t="n"/>
      <c r="J12" s="10" t="n"/>
    </row>
    <row r="13">
      <c r="A13" s="10" t="n"/>
      <c r="B13" s="10" t="n"/>
      <c r="C13" s="10" t="n"/>
      <c r="D13" s="10" t="n"/>
      <c r="E13" s="10" t="n"/>
      <c r="F13" s="10" t="n"/>
      <c r="G13" s="10" t="n"/>
      <c r="H13" s="10" t="n"/>
      <c r="I13" s="10" t="n"/>
      <c r="J13" s="10" t="n"/>
    </row>
    <row r="14"/>
    <row r="15" ht="22" customHeight="1">
      <c r="A15" s="8" t="inlineStr">
        <is>
          <t>2. SECURITY TOOLCHAIN COVERAGE SCORECARD (DYNAMIC SYNCHRONIZATION WITH SHEET 2)</t>
        </is>
      </c>
    </row>
    <row r="16" ht="24" customHeight="1">
      <c r="A16" s="11" t="inlineStr">
        <is>
          <t>Security Tool / Activity</t>
        </is>
      </c>
      <c r="B16" s="11" t="inlineStr">
        <is>
          <t>Tool Category</t>
        </is>
      </c>
      <c r="C16" s="11" t="inlineStr">
        <is>
          <t>Total Reqs</t>
        </is>
      </c>
      <c r="D16" s="11" t="inlineStr">
        <is>
          <t>Full Coverage</t>
        </is>
      </c>
      <c r="E16" s="11" t="inlineStr">
        <is>
          <t>Full %</t>
        </is>
      </c>
      <c r="F16" s="11" t="inlineStr">
        <is>
          <t>Partial Coverage</t>
        </is>
      </c>
      <c r="G16" s="11" t="inlineStr">
        <is>
          <t>Partial %</t>
        </is>
      </c>
      <c r="H16" s="11" t="inlineStr">
        <is>
          <t>Direct Tech Contribution %</t>
        </is>
      </c>
      <c r="I16" s="11" t="inlineStr">
        <is>
          <t>None % (Gaps)</t>
        </is>
      </c>
      <c r="J16" s="11" t="inlineStr">
        <is>
          <t>Primary Lifecycle Phase Focus</t>
        </is>
      </c>
    </row>
    <row r="17" ht="22" customHeight="1">
      <c r="A17" s="12">
        <f>'Tool Coverage Summary'!A21</f>
        <v/>
      </c>
      <c r="B17" s="13">
        <f>'Tool Coverage Summary'!B21</f>
        <v/>
      </c>
      <c r="C17" s="13">
        <f>'Tool Coverage Summary'!B21</f>
        <v/>
      </c>
      <c r="D17" s="14">
        <f>'Tool Coverage Summary'!C21</f>
        <v/>
      </c>
      <c r="E17" s="15">
        <f>'Tool Coverage Summary'!D21</f>
        <v/>
      </c>
      <c r="F17" s="16">
        <f>'Tool Coverage Summary'!E21</f>
        <v/>
      </c>
      <c r="G17" s="17">
        <f>'Tool Coverage Summary'!F21</f>
        <v/>
      </c>
      <c r="H17" s="18">
        <f>'Tool Coverage Summary'!I21</f>
        <v/>
      </c>
      <c r="I17" s="19">
        <f>'Tool Coverage Summary'!H21</f>
        <v/>
      </c>
      <c r="J17" s="13">
        <f>'Tool Coverage Summary'!J21</f>
        <v/>
      </c>
    </row>
    <row r="18" ht="22" customHeight="1">
      <c r="A18" s="20">
        <f>'Tool Coverage Summary'!A22</f>
        <v/>
      </c>
      <c r="B18" s="21">
        <f>'Tool Coverage Summary'!B22</f>
        <v/>
      </c>
      <c r="C18" s="21">
        <f>'Tool Coverage Summary'!B22</f>
        <v/>
      </c>
      <c r="D18" s="14">
        <f>'Tool Coverage Summary'!C22</f>
        <v/>
      </c>
      <c r="E18" s="15">
        <f>'Tool Coverage Summary'!D22</f>
        <v/>
      </c>
      <c r="F18" s="16">
        <f>'Tool Coverage Summary'!E22</f>
        <v/>
      </c>
      <c r="G18" s="17">
        <f>'Tool Coverage Summary'!F22</f>
        <v/>
      </c>
      <c r="H18" s="22">
        <f>'Tool Coverage Summary'!I22</f>
        <v/>
      </c>
      <c r="I18" s="19">
        <f>'Tool Coverage Summary'!H22</f>
        <v/>
      </c>
      <c r="J18" s="21">
        <f>'Tool Coverage Summary'!J22</f>
        <v/>
      </c>
    </row>
    <row r="19" ht="22" customHeight="1">
      <c r="A19" s="12">
        <f>'Tool Coverage Summary'!A23</f>
        <v/>
      </c>
      <c r="B19" s="13">
        <f>'Tool Coverage Summary'!B23</f>
        <v/>
      </c>
      <c r="C19" s="13">
        <f>'Tool Coverage Summary'!B23</f>
        <v/>
      </c>
      <c r="D19" s="14">
        <f>'Tool Coverage Summary'!C23</f>
        <v/>
      </c>
      <c r="E19" s="15">
        <f>'Tool Coverage Summary'!D23</f>
        <v/>
      </c>
      <c r="F19" s="16">
        <f>'Tool Coverage Summary'!E23</f>
        <v/>
      </c>
      <c r="G19" s="17">
        <f>'Tool Coverage Summary'!F23</f>
        <v/>
      </c>
      <c r="H19" s="18">
        <f>'Tool Coverage Summary'!I23</f>
        <v/>
      </c>
      <c r="I19" s="19">
        <f>'Tool Coverage Summary'!H23</f>
        <v/>
      </c>
      <c r="J19" s="13">
        <f>'Tool Coverage Summary'!J23</f>
        <v/>
      </c>
    </row>
    <row r="20" ht="22" customHeight="1">
      <c r="A20" s="20">
        <f>'Tool Coverage Summary'!A24</f>
        <v/>
      </c>
      <c r="B20" s="21">
        <f>'Tool Coverage Summary'!B24</f>
        <v/>
      </c>
      <c r="C20" s="21">
        <f>'Tool Coverage Summary'!B24</f>
        <v/>
      </c>
      <c r="D20" s="14">
        <f>'Tool Coverage Summary'!C24</f>
        <v/>
      </c>
      <c r="E20" s="15">
        <f>'Tool Coverage Summary'!D24</f>
        <v/>
      </c>
      <c r="F20" s="16">
        <f>'Tool Coverage Summary'!E24</f>
        <v/>
      </c>
      <c r="G20" s="17">
        <f>'Tool Coverage Summary'!F24</f>
        <v/>
      </c>
      <c r="H20" s="22">
        <f>'Tool Coverage Summary'!I24</f>
        <v/>
      </c>
      <c r="I20" s="19">
        <f>'Tool Coverage Summary'!H24</f>
        <v/>
      </c>
      <c r="J20" s="21">
        <f>'Tool Coverage Summary'!J24</f>
        <v/>
      </c>
    </row>
    <row r="21" ht="22" customHeight="1">
      <c r="A21" s="12">
        <f>'Tool Coverage Summary'!A25</f>
        <v/>
      </c>
      <c r="B21" s="13">
        <f>'Tool Coverage Summary'!B25</f>
        <v/>
      </c>
      <c r="C21" s="13">
        <f>'Tool Coverage Summary'!B25</f>
        <v/>
      </c>
      <c r="D21" s="14">
        <f>'Tool Coverage Summary'!C25</f>
        <v/>
      </c>
      <c r="E21" s="15">
        <f>'Tool Coverage Summary'!D25</f>
        <v/>
      </c>
      <c r="F21" s="16">
        <f>'Tool Coverage Summary'!E25</f>
        <v/>
      </c>
      <c r="G21" s="17">
        <f>'Tool Coverage Summary'!F25</f>
        <v/>
      </c>
      <c r="H21" s="18">
        <f>'Tool Coverage Summary'!I25</f>
        <v/>
      </c>
      <c r="I21" s="19">
        <f>'Tool Coverage Summary'!H25</f>
        <v/>
      </c>
      <c r="J21" s="13">
        <f>'Tool Coverage Summary'!J25</f>
        <v/>
      </c>
    </row>
    <row r="22" ht="22" customHeight="1">
      <c r="A22" s="20">
        <f>'Tool Coverage Summary'!A26</f>
        <v/>
      </c>
      <c r="B22" s="21">
        <f>'Tool Coverage Summary'!B26</f>
        <v/>
      </c>
      <c r="C22" s="21">
        <f>'Tool Coverage Summary'!B26</f>
        <v/>
      </c>
      <c r="D22" s="14">
        <f>'Tool Coverage Summary'!C26</f>
        <v/>
      </c>
      <c r="E22" s="15">
        <f>'Tool Coverage Summary'!D26</f>
        <v/>
      </c>
      <c r="F22" s="16">
        <f>'Tool Coverage Summary'!E26</f>
        <v/>
      </c>
      <c r="G22" s="17">
        <f>'Tool Coverage Summary'!F26</f>
        <v/>
      </c>
      <c r="H22" s="22">
        <f>'Tool Coverage Summary'!I26</f>
        <v/>
      </c>
      <c r="I22" s="19">
        <f>'Tool Coverage Summary'!H26</f>
        <v/>
      </c>
      <c r="J22" s="21">
        <f>'Tool Coverage Summary'!J26</f>
        <v/>
      </c>
    </row>
    <row r="23" ht="22" customHeight="1">
      <c r="A23" s="12">
        <f>'Tool Coverage Summary'!A27</f>
        <v/>
      </c>
      <c r="B23" s="13">
        <f>'Tool Coverage Summary'!B27</f>
        <v/>
      </c>
      <c r="C23" s="13">
        <f>'Tool Coverage Summary'!B27</f>
        <v/>
      </c>
      <c r="D23" s="14">
        <f>'Tool Coverage Summary'!C27</f>
        <v/>
      </c>
      <c r="E23" s="15">
        <f>'Tool Coverage Summary'!D27</f>
        <v/>
      </c>
      <c r="F23" s="16">
        <f>'Tool Coverage Summary'!E27</f>
        <v/>
      </c>
      <c r="G23" s="17">
        <f>'Tool Coverage Summary'!F27</f>
        <v/>
      </c>
      <c r="H23" s="18">
        <f>'Tool Coverage Summary'!I27</f>
        <v/>
      </c>
      <c r="I23" s="19">
        <f>'Tool Coverage Summary'!H27</f>
        <v/>
      </c>
      <c r="J23" s="13">
        <f>'Tool Coverage Summary'!J27</f>
        <v/>
      </c>
    </row>
    <row r="24" ht="22" customHeight="1">
      <c r="A24" s="20">
        <f>'Tool Coverage Summary'!A28</f>
        <v/>
      </c>
      <c r="B24" s="21">
        <f>'Tool Coverage Summary'!B28</f>
        <v/>
      </c>
      <c r="C24" s="21">
        <f>'Tool Coverage Summary'!B28</f>
        <v/>
      </c>
      <c r="D24" s="14">
        <f>'Tool Coverage Summary'!C28</f>
        <v/>
      </c>
      <c r="E24" s="15">
        <f>'Tool Coverage Summary'!D28</f>
        <v/>
      </c>
      <c r="F24" s="16">
        <f>'Tool Coverage Summary'!E28</f>
        <v/>
      </c>
      <c r="G24" s="17">
        <f>'Tool Coverage Summary'!F28</f>
        <v/>
      </c>
      <c r="H24" s="22">
        <f>'Tool Coverage Summary'!I28</f>
        <v/>
      </c>
      <c r="I24" s="19">
        <f>'Tool Coverage Summary'!H28</f>
        <v/>
      </c>
      <c r="J24" s="21">
        <f>'Tool Coverage Summary'!J28</f>
        <v/>
      </c>
    </row>
    <row r="25" ht="22" customHeight="1">
      <c r="A25" s="12">
        <f>'Tool Coverage Summary'!A29</f>
        <v/>
      </c>
      <c r="B25" s="13">
        <f>'Tool Coverage Summary'!B29</f>
        <v/>
      </c>
      <c r="C25" s="13">
        <f>'Tool Coverage Summary'!B29</f>
        <v/>
      </c>
      <c r="D25" s="14">
        <f>'Tool Coverage Summary'!C29</f>
        <v/>
      </c>
      <c r="E25" s="15">
        <f>'Tool Coverage Summary'!D29</f>
        <v/>
      </c>
      <c r="F25" s="16">
        <f>'Tool Coverage Summary'!E29</f>
        <v/>
      </c>
      <c r="G25" s="17">
        <f>'Tool Coverage Summary'!F29</f>
        <v/>
      </c>
      <c r="H25" s="18">
        <f>'Tool Coverage Summary'!I29</f>
        <v/>
      </c>
      <c r="I25" s="19">
        <f>'Tool Coverage Summary'!H29</f>
        <v/>
      </c>
      <c r="J25" s="13">
        <f>'Tool Coverage Summary'!J29</f>
        <v/>
      </c>
    </row>
    <row r="26" ht="22" customHeight="1">
      <c r="A26" s="20">
        <f>'Tool Coverage Summary'!A30</f>
        <v/>
      </c>
      <c r="B26" s="21">
        <f>'Tool Coverage Summary'!B30</f>
        <v/>
      </c>
      <c r="C26" s="21">
        <f>'Tool Coverage Summary'!B30</f>
        <v/>
      </c>
      <c r="D26" s="14">
        <f>'Tool Coverage Summary'!C30</f>
        <v/>
      </c>
      <c r="E26" s="15">
        <f>'Tool Coverage Summary'!D30</f>
        <v/>
      </c>
      <c r="F26" s="16">
        <f>'Tool Coverage Summary'!E30</f>
        <v/>
      </c>
      <c r="G26" s="17">
        <f>'Tool Coverage Summary'!F30</f>
        <v/>
      </c>
      <c r="H26" s="22">
        <f>'Tool Coverage Summary'!I30</f>
        <v/>
      </c>
      <c r="I26" s="19">
        <f>'Tool Coverage Summary'!H30</f>
        <v/>
      </c>
      <c r="J26" s="21">
        <f>'Tool Coverage Summary'!J30</f>
        <v/>
      </c>
    </row>
    <row r="27" ht="25" customHeight="1">
      <c r="A27" s="23" t="inlineStr">
        <is>
          <t>Toolchain Portfolio Average</t>
        </is>
      </c>
      <c r="B27" s="24" t="inlineStr">
        <is>
          <t>Multi-Layered</t>
        </is>
      </c>
      <c r="C27" s="24" t="n">
        <v>43</v>
      </c>
      <c r="D27" s="25">
        <f>AVERAGE(D17:D26)</f>
        <v/>
      </c>
      <c r="E27" s="26">
        <f>AVERAGE(E17:E26)</f>
        <v/>
      </c>
      <c r="F27" s="25">
        <f>AVERAGE(F17:F26)</f>
        <v/>
      </c>
      <c r="G27" s="26">
        <f>AVERAGE(G17:G26)</f>
        <v/>
      </c>
      <c r="H27" s="26">
        <f>AVERAGE(H17:H26)</f>
        <v/>
      </c>
      <c r="I27" s="26">
        <f>AVERAGE(I17:I26)</f>
        <v/>
      </c>
      <c r="J27" s="24" t="inlineStr">
        <is>
          <t>Integrated SDLC Toolchain</t>
        </is>
      </c>
    </row>
    <row r="28"/>
    <row r="29" ht="22" customHeight="1">
      <c r="A29" s="8" t="inlineStr">
        <is>
          <t>3. LIFECYCLE PHASE READINESS &amp; CONTROL GATE ROLLUP</t>
        </is>
      </c>
    </row>
    <row r="30" ht="24" customHeight="1">
      <c r="A30" s="11" t="inlineStr">
        <is>
          <t>Lifecycle Phase</t>
        </is>
      </c>
      <c r="B30" s="11" t="inlineStr">
        <is>
          <t>Mandatory Action Count</t>
        </is>
      </c>
      <c r="C30" s="11" t="inlineStr">
        <is>
          <t>Key Governance Gates</t>
        </is>
      </c>
      <c r="D30" s="11" t="inlineStr">
        <is>
          <t>Primary Supporting Tools / Processes</t>
        </is>
      </c>
      <c r="E30" s="11" t="inlineStr">
        <is>
          <t>Mandatory Regulatory Deliverables</t>
        </is>
      </c>
      <c r="F30" s="11" t="inlineStr">
        <is>
          <t>Estimated Toolchain Coverage Level</t>
        </is>
      </c>
      <c r="G30" s="11" t="inlineStr">
        <is>
          <t>Residual Governance Gap Areas</t>
        </is>
      </c>
      <c r="H30" s="11" t="inlineStr">
        <is>
          <t>Lead Responsible Stakeholders</t>
        </is>
      </c>
      <c r="I30" s="11" t="inlineStr">
        <is>
          <t>Statutory Deadline Cadence</t>
        </is>
      </c>
      <c r="J30" s="11" t="inlineStr">
        <is>
          <t>Audit Risk Level</t>
        </is>
      </c>
    </row>
    <row r="31" ht="30" customHeight="1">
      <c r="A31" s="27" t="inlineStr">
        <is>
          <t>Presales and Product Planning</t>
        </is>
      </c>
      <c r="B31" s="28" t="inlineStr">
        <is>
          <t>6 Actions</t>
        </is>
      </c>
      <c r="C31" s="28" t="inlineStr">
        <is>
          <t>Gate 0 (Scope) &amp; Gate 1 (Claims)</t>
        </is>
      </c>
      <c r="D31" s="29" t="inlineStr">
        <is>
          <t>TARA, Scope Questionnaire, OpenSSF</t>
        </is>
      </c>
      <c r="E31" s="29" t="inlineStr">
        <is>
          <t>Classification Record, 5-Yr Support Statement</t>
        </is>
      </c>
      <c r="F31" s="28" t="inlineStr">
        <is>
          <t>Low (~15% - Analytical / Business)</t>
        </is>
      </c>
      <c r="G31" s="29" t="inlineStr">
        <is>
          <t>Product classification, support pricing, marketing gating</t>
        </is>
      </c>
      <c r="H31" s="29" t="inlineStr">
        <is>
          <t>Presales Lead, Product VP, Legal</t>
        </is>
      </c>
      <c r="I31" s="28" t="inlineStr">
        <is>
          <t>Prior to bid / proposal</t>
        </is>
      </c>
      <c r="J31" s="30" t="inlineStr">
        <is>
          <t>High</t>
        </is>
      </c>
    </row>
    <row r="32" ht="30" customHeight="1">
      <c r="A32" s="27" t="inlineStr">
        <is>
          <t>Development</t>
        </is>
      </c>
      <c r="B32" s="28" t="inlineStr">
        <is>
          <t>12 Actions</t>
        </is>
      </c>
      <c r="C32" s="28" t="inlineStr">
        <is>
          <t>Sprint Security Gates &amp; DPIA Approval</t>
        </is>
      </c>
      <c r="D32" s="29" t="inlineStr">
        <is>
          <t>Coverity, SonarQube, TARA, DPIA</t>
        </is>
      </c>
      <c r="E32" s="29" t="inlineStr">
        <is>
          <t>Threat Model, IAM Matrix, Crypto Spec, DPIA</t>
        </is>
      </c>
      <c r="F32" s="28" t="inlineStr">
        <is>
          <t>Medium (~50% - SAST / DAST)</t>
        </is>
      </c>
      <c r="G32" s="29" t="inlineStr">
        <is>
          <t>Living risk updates, data minimisation, secure defaults</t>
        </is>
      </c>
      <c r="H32" s="29" t="inlineStr">
        <is>
          <t>Lead Architect, DevSecOps Lead</t>
        </is>
      </c>
      <c r="I32" s="28" t="inlineStr">
        <is>
          <t>Daily / Sprint cadence</t>
        </is>
      </c>
      <c r="J32" s="31" t="inlineStr">
        <is>
          <t>Medium</t>
        </is>
      </c>
    </row>
    <row r="33" ht="30" customHeight="1">
      <c r="A33" s="27" t="inlineStr">
        <is>
          <t>Build and Release</t>
        </is>
      </c>
      <c r="B33" s="28" t="inlineStr">
        <is>
          <t>8 Actions</t>
        </is>
      </c>
      <c r="C33" s="28" t="inlineStr">
        <is>
          <t>Build Gates 1-3 &amp; Release Gates 1-5</t>
        </is>
      </c>
      <c r="D33" s="29" t="inlineStr">
        <is>
          <t>Black Duck, Nexus IQ, Sigstore, Pentest</t>
        </is>
      </c>
      <c r="E33" s="29" t="inlineStr">
        <is>
          <t>CycloneDX SBOM, Pentest Report, VEX Record</t>
        </is>
      </c>
      <c r="F33" s="28" t="inlineStr">
        <is>
          <t>High (~75% - Automated SCA/SAST)</t>
        </is>
      </c>
      <c r="G33" s="29" t="inlineStr">
        <is>
          <t>HSM code signing, release gating, CAB substantial checks</t>
        </is>
      </c>
      <c r="H33" s="29" t="inlineStr">
        <is>
          <t>DevSecOps Lead, Release Manager</t>
        </is>
      </c>
      <c r="I33" s="28" t="inlineStr">
        <is>
          <t>Per release build</t>
        </is>
      </c>
      <c r="J33" s="30" t="inlineStr">
        <is>
          <t>High</t>
        </is>
      </c>
    </row>
    <row r="34" ht="30" customHeight="1">
      <c r="A34" s="27" t="inlineStr">
        <is>
          <t>Deployment and Delivery</t>
        </is>
      </c>
      <c r="B34" s="28" t="inlineStr">
        <is>
          <t>8 Actions</t>
        </is>
      </c>
      <c r="C34" s="28" t="inlineStr">
        <is>
          <t>Compliance Gates 1-2 &amp; Delivery Gate</t>
        </is>
      </c>
      <c r="D34" s="29" t="inlineStr">
        <is>
          <t>Annex VII Builder, EU DoC Workflow</t>
        </is>
      </c>
      <c r="E34" s="29" t="inlineStr">
        <is>
          <t>Annex VII Dossier, Signed EU DoC, CE Mark</t>
        </is>
      </c>
      <c r="F34" s="28" t="inlineStr">
        <is>
          <t>Low (~10% - Pure Legal/Conformity)</t>
        </is>
      </c>
      <c r="G34" s="29" t="inlineStr">
        <is>
          <t>Dossier assembly, DoC execution, 10-yr compliance vault</t>
        </is>
      </c>
      <c r="H34" s="29" t="inlineStr">
        <is>
          <t>CEO, Compliance Officer, Quality</t>
        </is>
      </c>
      <c r="I34" s="28" t="inlineStr">
        <is>
          <t>Prior to first customer ship</t>
        </is>
      </c>
      <c r="J34" s="32" t="inlineStr">
        <is>
          <t>Critical</t>
        </is>
      </c>
    </row>
    <row r="35" ht="30" customHeight="1">
      <c r="A35" s="27" t="inlineStr">
        <is>
          <t>Maintenance and RUN</t>
        </is>
      </c>
      <c r="B35" s="28" t="inlineStr">
        <is>
          <t>10 Actions</t>
        </is>
      </c>
      <c r="C35" s="28" t="inlineStr">
        <is>
          <t>Operational Gates &amp; Statutory Clocks</t>
        </is>
      </c>
      <c r="D35" s="29" t="inlineStr">
        <is>
          <t>Dependency-Track, Cyberwatch, ENISA SRP</t>
        </is>
      </c>
      <c r="E35" s="29" t="inlineStr">
        <is>
          <t>Article 14 CSIRT Reports, CSAF Advisories</t>
        </is>
      </c>
      <c r="F35" s="28" t="inlineStr">
        <is>
          <t>Medium (~40% - Continuous CVEs)</t>
        </is>
      </c>
      <c r="G35" s="29" t="inlineStr">
        <is>
          <t>24h/72h ENISA SRP filings, 10-yr patch archive, CVD inbox</t>
        </is>
      </c>
      <c r="H35" s="29" t="inlineStr">
        <is>
          <t>CISO, PSIRT Lead, Legal Counsel</t>
        </is>
      </c>
      <c r="I35" s="28" t="inlineStr">
        <is>
          <t>Continuous (24h/72h statutory)</t>
        </is>
      </c>
      <c r="J35" s="32" t="inlineStr">
        <is>
          <t>Critical</t>
        </is>
      </c>
    </row>
    <row r="36"/>
    <row r="37" ht="22" customHeight="1">
      <c r="A37" s="8" t="inlineStr">
        <is>
          <t>4. STRATEGIC COMPLIANCE ROADMAP RECOMMENDATIONS FOR CISO &amp; ARCHITECTS</t>
        </is>
      </c>
    </row>
    <row r="38" ht="36" customHeight="1">
      <c r="A38" s="33" t="inlineStr">
        <is>
          <t>1. IMMEDIATE ACTION (LIVE STATUTORY DUTY — Q4 2026)</t>
        </is>
      </c>
      <c r="B38" s="10" t="n"/>
      <c r="C38" s="34" t="inlineStr">
        <is>
          <t>Operationalize Article 14 Reporting Runbook immediately. Ensure corporate ENISA Single Reporting Platform (SRP) accounts are active with Primary/Secondary Assigned Representatives (EU Login / FIDO2). Train PSIRT on the 24h Early Warning, 72h Notification, and 14-day Final Report statutory clocks. Deploy RFC 9116 security.txt on all web properties.</t>
        </is>
      </c>
      <c r="D38" s="10" t="n"/>
      <c r="E38" s="10" t="n"/>
      <c r="F38" s="10" t="n"/>
      <c r="G38" s="10" t="n"/>
      <c r="H38" s="10" t="n"/>
      <c r="I38" s="10" t="n"/>
      <c r="J38" s="10" t="n"/>
    </row>
    <row r="39" ht="36" customHeight="1">
      <c r="A39" s="33" t="inlineStr">
        <is>
          <t>2. SDLC TOOLCHAIN INTEGRATION &amp; GATING (H1 2027)</t>
        </is>
      </c>
      <c r="B39" s="10" t="n"/>
      <c r="C39" s="34" t="inlineStr">
        <is>
          <t>Integrate automated SBOM generation (CycloneDX/SPDX) into CI/CD pipelines using Black Duck / Nexus IQ and connect to Dependency-Track for continuous post-market monitoring. Enforce Quality Gates in SonarQube/Coverity breaking builds on unresolved Critical vulnerabilities. Deploy HSM-backed artifact signing (Sigstore/Cosign).</t>
        </is>
      </c>
      <c r="D39" s="10" t="n"/>
      <c r="E39" s="10" t="n"/>
      <c r="F39" s="10" t="n"/>
      <c r="G39" s="10" t="n"/>
      <c r="H39" s="10" t="n"/>
      <c r="I39" s="10" t="n"/>
      <c r="J39" s="10" t="n"/>
    </row>
    <row r="40" ht="36" customHeight="1">
      <c r="A40" s="33" t="inlineStr">
        <is>
          <t>3. CONFORMITY ASSESSMENT &amp; CE MARKING DOSSIER (H2 2027)</t>
        </is>
      </c>
      <c r="B40" s="10" t="n"/>
      <c r="C40" s="34" t="inlineStr">
        <is>
          <t>Compile the formal Annex VII Technical Documentation Dossier consolidating threat models (TARA), risk assessments, test reports, and SBOMs. If product is Important Class I/II under IR (EU) 2025/2392, engage accredited Notified Body immediately. Finalize Annex II user security guides, execute signed EU DoC, and affix CE mark prior to 11 Dec 2027.</t>
        </is>
      </c>
      <c r="D40" s="10" t="n"/>
      <c r="E40" s="10" t="n"/>
      <c r="F40" s="10" t="n"/>
      <c r="G40" s="10" t="n"/>
      <c r="H40" s="10" t="n"/>
      <c r="I40" s="10" t="n"/>
      <c r="J40" s="10" t="n"/>
    </row>
  </sheetData>
  <mergeCells count="25">
    <mergeCell ref="I6:J6"/>
    <mergeCell ref="A8:J8"/>
    <mergeCell ref="E5:F5"/>
    <mergeCell ref="A29:J29"/>
    <mergeCell ref="A6:B6"/>
    <mergeCell ref="E4:F4"/>
    <mergeCell ref="A15:J15"/>
    <mergeCell ref="G6:H6"/>
    <mergeCell ref="A9:J13"/>
    <mergeCell ref="C40:J40"/>
    <mergeCell ref="A1:J1"/>
    <mergeCell ref="E6:F6"/>
    <mergeCell ref="A5:B5"/>
    <mergeCell ref="G5:H5"/>
    <mergeCell ref="I5:J5"/>
    <mergeCell ref="C39:J39"/>
    <mergeCell ref="A4:B4"/>
    <mergeCell ref="G4:H4"/>
    <mergeCell ref="A37:J37"/>
    <mergeCell ref="I4:J4"/>
    <mergeCell ref="A38:B38"/>
    <mergeCell ref="C38:J38"/>
    <mergeCell ref="A2:J2"/>
    <mergeCell ref="A39:B39"/>
    <mergeCell ref="A40:B4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46"/>
  <sheetViews>
    <sheetView showGridLines="1" workbookViewId="0">
      <pane xSplit="3" ySplit="3" topLeftCell="D4" activePane="bottomRight" state="frozen"/>
      <selection pane="topRight"/>
      <selection pane="bottomLeft"/>
      <selection pane="bottomRight" activeCell="A1" sqref="A1"/>
    </sheetView>
  </sheetViews>
  <sheetFormatPr baseColWidth="8" defaultRowHeight="15"/>
  <cols>
    <col width="16" customWidth="1" min="1" max="1"/>
    <col width="24" customWidth="1" min="2" max="2"/>
    <col width="30" customWidth="1" min="3" max="3"/>
    <col width="45" customWidth="1" min="4" max="4"/>
    <col width="20" customWidth="1" min="5" max="5"/>
    <col width="22" customWidth="1" min="6" max="6"/>
    <col width="24" customWidth="1" min="7" max="7"/>
    <col width="14" customWidth="1" min="8" max="8"/>
    <col width="14" customWidth="1" min="9" max="9"/>
    <col width="14" customWidth="1" min="10" max="10"/>
    <col width="14" customWidth="1" min="11" max="11"/>
    <col width="15" customWidth="1" min="12" max="12"/>
    <col width="45" customWidth="1" min="13" max="13"/>
    <col width="45" customWidth="1" min="14" max="14"/>
    <col width="45" customWidth="1" min="15" max="15"/>
    <col width="45" customWidth="1" min="16" max="16"/>
    <col width="14" customWidth="1" min="17" max="17"/>
    <col width="14" customWidth="1" min="18" max="18"/>
    <col width="15" customWidth="1" min="19" max="19"/>
    <col width="15" customWidth="1" min="20" max="20"/>
    <col width="14" customWidth="1" min="21" max="21"/>
    <col width="16" customWidth="1" min="22" max="22"/>
    <col width="15" customWidth="1" min="23" max="23"/>
    <col width="14" customWidth="1" min="24" max="24"/>
    <col width="14" customWidth="1" min="25" max="25"/>
    <col width="14" customWidth="1" min="26" max="26"/>
    <col width="42" customWidth="1" min="27" max="27"/>
    <col width="42" customWidth="1" min="28" max="28"/>
    <col width="15" customWidth="1" min="29" max="29"/>
    <col width="25" customWidth="1" min="30" max="30"/>
    <col width="40" customWidth="1" min="31" max="31"/>
  </cols>
  <sheetData>
    <row r="1" ht="25" customHeight="1">
      <c r="A1" s="1" t="inlineStr">
        <is>
          <t>EU CYBER RESILIENCE ACT (REGULATION (EU) 2024/2847) — COMPLIANCE REQUIREMENTS MATRIX</t>
        </is>
      </c>
    </row>
    <row r="2" ht="18" customHeight="1">
      <c r="A2" s="2" t="inlineStr">
        <is>
          <t>Coverage Definitions: Full (Direct principal technical evidence within scope) | Partial (Supporting evidence; requires complementary controls) | None (No material direct contribution) | Baseline: Standard Product with Digital Elements placed on EU Market</t>
        </is>
      </c>
    </row>
    <row r="3" ht="28" customHeight="1">
      <c r="A3" s="35" t="inlineStr">
        <is>
          <t>Requirement ID</t>
        </is>
      </c>
      <c r="B3" s="35" t="inlineStr">
        <is>
          <t>CRA Legal Reference</t>
        </is>
      </c>
      <c r="C3" s="35" t="inlineStr">
        <is>
          <t>Requirement Title</t>
        </is>
      </c>
      <c r="D3" s="35" t="inlineStr">
        <is>
          <t>Requirement Description &amp; Legal Intent</t>
        </is>
      </c>
      <c r="E3" s="35" t="inlineStr">
        <is>
          <t>Requirement Type</t>
        </is>
      </c>
      <c r="F3" s="35" t="inlineStr">
        <is>
          <t>Applicability</t>
        </is>
      </c>
      <c r="G3" s="35" t="inlineStr">
        <is>
          <t>Responsible Stakeholder</t>
        </is>
      </c>
      <c r="H3" s="35" t="inlineStr">
        <is>
          <t>Presales / Planning</t>
        </is>
      </c>
      <c r="I3" s="35" t="inlineStr">
        <is>
          <t>Development</t>
        </is>
      </c>
      <c r="J3" s="35" t="inlineStr">
        <is>
          <t>Build / Release</t>
        </is>
      </c>
      <c r="K3" s="35" t="inlineStr">
        <is>
          <t>Deployment</t>
        </is>
      </c>
      <c r="L3" s="35" t="inlineStr">
        <is>
          <t>Maintenance / RUN</t>
        </is>
      </c>
      <c r="M3" s="35" t="inlineStr">
        <is>
          <t>Implementation Guidance</t>
        </is>
      </c>
      <c r="N3" s="35" t="inlineStr">
        <is>
          <t>Recommended Technical &amp; Organisational Controls</t>
        </is>
      </c>
      <c r="O3" s="35" t="inlineStr">
        <is>
          <t>Required Evidence &amp; Compliance Deliverables</t>
        </is>
      </c>
      <c r="P3" s="35" t="inlineStr">
        <is>
          <t>Verification or Acceptance Criteria</t>
        </is>
      </c>
      <c r="Q3" s="35" t="inlineStr">
        <is>
          <t>SonarQube Coverage</t>
        </is>
      </c>
      <c r="R3" s="35" t="inlineStr">
        <is>
          <t>Nexus IQ CLM Coverage</t>
        </is>
      </c>
      <c r="S3" s="35" t="inlineStr">
        <is>
          <t>Penetration Testing Coverage</t>
        </is>
      </c>
      <c r="T3" s="35" t="inlineStr">
        <is>
          <t>Nessus / Cyberwatch Coverage</t>
        </is>
      </c>
      <c r="U3" s="35" t="inlineStr">
        <is>
          <t>DPIA Coverage</t>
        </is>
      </c>
      <c r="V3" s="35" t="inlineStr">
        <is>
          <t>Threat Analysis / Risk Analysis Coverage</t>
        </is>
      </c>
      <c r="W3" s="35" t="inlineStr">
        <is>
          <t>Dependency-Track Coverage</t>
        </is>
      </c>
      <c r="X3" s="35" t="inlineStr">
        <is>
          <t>Black Duck Coverage</t>
        </is>
      </c>
      <c r="Y3" s="35" t="inlineStr">
        <is>
          <t>Coverity Coverage</t>
        </is>
      </c>
      <c r="Z3" s="35" t="inlineStr">
        <is>
          <t>OWASP ZAP / Burp Coverage</t>
        </is>
      </c>
      <c r="AA3" s="35" t="inlineStr">
        <is>
          <t>Coverage Limitations &amp; Assumptions</t>
        </is>
      </c>
      <c r="AB3" s="35" t="inlineStr">
        <is>
          <t>Additional Controls or Activities Required</t>
        </is>
      </c>
      <c r="AC3" s="35" t="inlineStr">
        <is>
          <t>Remediation Priority</t>
        </is>
      </c>
      <c r="AD3" s="35" t="inlineStr">
        <is>
          <t>Official Source URL</t>
        </is>
      </c>
      <c r="AE3" s="35" t="inlineStr">
        <is>
          <t>Notes &amp; Product-Specific Applicability Considerations</t>
        </is>
      </c>
    </row>
    <row r="4" ht="65" customHeight="1">
      <c r="A4" s="36" t="inlineStr">
        <is>
          <t>CRA-REQ-GEN-01</t>
        </is>
      </c>
      <c r="B4" s="37" t="inlineStr">
        <is>
          <t>Annex I, Part I, point (1); Art 13(1), Art 13(2)</t>
        </is>
      </c>
      <c r="C4" s="38" t="inlineStr">
        <is>
          <t>Secure-by-Design &amp; Risk-Based Engineering Lifecycle</t>
        </is>
      </c>
      <c r="D4" s="38" t="inlineStr">
        <is>
          <t>Products with digital elements shall be designed, developed, and produced in such a way that they ensure an appropriate level of cybersecurity based on the risks identified in the manufacturer's cybersecurity risk assessment.</t>
        </is>
      </c>
      <c r="E4" s="37" t="inlineStr">
        <is>
          <t>Product cybersecurity</t>
        </is>
      </c>
      <c r="F4" s="39" t="inlineStr">
        <is>
          <t>Mandatory (Applies to all products with digital elements without exception)</t>
        </is>
      </c>
      <c r="G4" s="37" t="inlineStr">
        <is>
          <t>Lead Security Architect, Systems Engineer, CISO</t>
        </is>
      </c>
      <c r="H4" s="40" t="inlineStr">
        <is>
          <t>Yes</t>
        </is>
      </c>
      <c r="I4" s="40" t="inlineStr">
        <is>
          <t>Yes</t>
        </is>
      </c>
      <c r="J4" s="41" t="inlineStr">
        <is>
          <t>Supporting</t>
        </is>
      </c>
      <c r="K4" s="41" t="inlineStr">
        <is>
          <t>Supporting</t>
        </is>
      </c>
      <c r="L4" s="41" t="inlineStr">
        <is>
          <t>Supporting</t>
        </is>
      </c>
      <c r="M4" s="38" t="inlineStr">
        <is>
          <t>Incorporate threat modelling, secure architecture reviews, and risk assessment into early concept and architecture phases. Security requirements must directly derive from identified threat scenarios (STRIDE/PASTA/IEC 62443). Risk assessment must be updated iteratively as architecture evolves.</t>
        </is>
      </c>
      <c r="N4" s="38" t="inlineStr">
        <is>
          <t>Organizational Secure SDLC policy; mandatory threat modeling gates at design review; architectural risk register; security architecture review board sign-off prior to code development.</t>
        </is>
      </c>
      <c r="O4" s="38" t="inlineStr">
        <is>
          <t>Formal Threat Model Document; Cybersecurity Risk Assessment Report (Annex VII Dossier); System Architecture Security Specification; Architectural Gate Review Sign-off.</t>
        </is>
      </c>
      <c r="P4" s="38" t="inlineStr">
        <is>
          <t>All identified threat vectors have mapped, documented security mitigations; residual cybersecurity risk is formally signed off by Lead Architect and CISO as acceptable.</t>
        </is>
      </c>
      <c r="Q4" s="42" t="inlineStr">
        <is>
          <t>None</t>
        </is>
      </c>
      <c r="R4" s="42" t="inlineStr">
        <is>
          <t>None</t>
        </is>
      </c>
      <c r="S4" s="43" t="inlineStr">
        <is>
          <t>Partial</t>
        </is>
      </c>
      <c r="T4" s="42" t="inlineStr">
        <is>
          <t>None</t>
        </is>
      </c>
      <c r="U4" s="43" t="inlineStr">
        <is>
          <t>Partial</t>
        </is>
      </c>
      <c r="V4" s="44" t="inlineStr">
        <is>
          <t>Full</t>
        </is>
      </c>
      <c r="W4" s="42" t="inlineStr">
        <is>
          <t>None</t>
        </is>
      </c>
      <c r="X4" s="42" t="inlineStr">
        <is>
          <t>None</t>
        </is>
      </c>
      <c r="Y4" s="42" t="inlineStr">
        <is>
          <t>None</t>
        </is>
      </c>
      <c r="Z4" s="42" t="inlineStr">
        <is>
          <t>None</t>
        </is>
      </c>
      <c r="AA4" s="38" t="inlineStr">
        <is>
          <t>Automated code scanners and vulnerability tools cannot evaluate high-level architecture, threat models, or design intent. Threat Analysis and Risk Analysis (TARA) provides the primary analytical framework.</t>
        </is>
      </c>
      <c r="AB4" s="38" t="inlineStr">
        <is>
          <t>Formal Threat Modeling process (STRIDE/PASTA); Secure Architecture Review Board; Risk Assessment Methodology aligned with ISO/IEC 27005 / IEC 62443-4-1.</t>
        </is>
      </c>
      <c r="AC4" s="45" t="inlineStr">
        <is>
          <t>Critical</t>
        </is>
      </c>
      <c r="AD4" s="46" t="inlineStr">
        <is>
          <t>https://eur-lex.europa.eu/eli/reg/2024/2847/oj</t>
        </is>
      </c>
      <c r="AE4" s="38" t="inlineStr">
        <is>
          <t>Foundational requirement underpinning all other Annex I controls. Must be documented in the Annex VII Technical Documentation Dossier.</t>
        </is>
      </c>
    </row>
    <row r="5" ht="65" customHeight="1">
      <c r="A5" s="47" t="inlineStr">
        <is>
          <t>CRA-REQ-TECH-01</t>
        </is>
      </c>
      <c r="B5" s="48" t="inlineStr">
        <is>
          <t>Annex I, Part I, point (2)(a); Art 3(41)</t>
        </is>
      </c>
      <c r="C5" s="9" t="inlineStr">
        <is>
          <t>Absence of Known Exploitable Vulnerabilities at Placement</t>
        </is>
      </c>
      <c r="D5" s="9" t="inlineStr">
        <is>
          <t>Products with digital elements shall be delivered without any known exploitable vulnerabilities at the time of placing on the market.</t>
        </is>
      </c>
      <c r="E5" s="48" t="inlineStr">
        <is>
          <t>Product cybersecurity</t>
        </is>
      </c>
      <c r="F5" s="39" t="inlineStr">
        <is>
          <t>Mandatory (Strict liability condition at the moment of market placement)</t>
        </is>
      </c>
      <c r="G5" s="48" t="inlineStr">
        <is>
          <t>DevSecOps Lead, Lead Security Architect, Release Manager</t>
        </is>
      </c>
      <c r="H5" s="41" t="inlineStr">
        <is>
          <t>Supporting</t>
        </is>
      </c>
      <c r="I5" s="40" t="inlineStr">
        <is>
          <t>Yes</t>
        </is>
      </c>
      <c r="J5" s="40" t="inlineStr">
        <is>
          <t>Yes</t>
        </is>
      </c>
      <c r="K5" s="40" t="inlineStr">
        <is>
          <t>Yes</t>
        </is>
      </c>
      <c r="L5" s="41" t="inlineStr">
        <is>
          <t>Supporting</t>
        </is>
      </c>
      <c r="M5" s="9" t="inlineStr">
        <is>
          <t>Implement automated CI/CD gating breaking builds on Critical/High vulnerabilities in custom code or third-party dependencies. Where a known CVE cannot be patched prior to release, conduct a formal VEX (Vulnerability Exploitability eXchange) analysis proving non-exploitability in product context.</t>
        </is>
      </c>
      <c r="N5" s="9" t="inlineStr">
        <is>
          <t>Automated SAST/SCA build quality gates; pre-release penetration testing; automated container/OS scanning; formal VEX assessment process (CSAF/CycloneDX VEX) for justified false positives/unexploitable CVEs.</t>
        </is>
      </c>
      <c r="O5" s="9" t="inlineStr">
        <is>
          <t>Pre-release SAST scan reports; SCA dependency scan reports; Penetration test final report; Signed VEX Declaration; Release Gate Approval Record.</t>
        </is>
      </c>
      <c r="P5" s="9" t="inlineStr">
        <is>
          <t>Zero unresolved Critical/High vulnerabilities without documented, validated 'none_affected' / 'not_exploitable' VEX status; clean penetration testing validation.</t>
        </is>
      </c>
      <c r="Q5" s="43" t="inlineStr">
        <is>
          <t>Partial</t>
        </is>
      </c>
      <c r="R5" s="43" t="inlineStr">
        <is>
          <t>Partial</t>
        </is>
      </c>
      <c r="S5" s="44" t="inlineStr">
        <is>
          <t>Full</t>
        </is>
      </c>
      <c r="T5" s="43" t="inlineStr">
        <is>
          <t>Partial</t>
        </is>
      </c>
      <c r="U5" s="42" t="inlineStr">
        <is>
          <t>None</t>
        </is>
      </c>
      <c r="V5" s="43" t="inlineStr">
        <is>
          <t>Partial</t>
        </is>
      </c>
      <c r="W5" s="43" t="inlineStr">
        <is>
          <t>Partial</t>
        </is>
      </c>
      <c r="X5" s="43" t="inlineStr">
        <is>
          <t>Partial</t>
        </is>
      </c>
      <c r="Y5" s="43" t="inlineStr">
        <is>
          <t>Partial</t>
        </is>
      </c>
      <c r="Z5" s="43" t="inlineStr">
        <is>
          <t>Partial</t>
        </is>
      </c>
      <c r="AA5" s="9" t="inlineStr">
        <is>
          <t>Scanners detect potential vulnerabilities based on signatures/rules; only manual Penetration Testing and contextual VEX analysis can verify real-world exploitability in the integrated environment.</t>
        </is>
      </c>
      <c r="AB5" s="9" t="inlineStr">
        <is>
          <t>Contextual VEX triage board; formal release gating policy; vulnerability waiver process signed by Product Security Officer.</t>
        </is>
      </c>
      <c r="AC5" s="45" t="inlineStr">
        <is>
          <t>Critical</t>
        </is>
      </c>
      <c r="AD5" s="49" t="inlineStr">
        <is>
          <t>https://eur-lex.europa.eu/eli/reg/2024/2847/oj</t>
        </is>
      </c>
      <c r="AE5" s="9" t="inlineStr">
        <is>
          <t>Under Art 3(41), 'exploit' means the capability to breach cybersecurity. Even if upstream CVE exists, if execution path is unreachable, VEX must substantiate this for compliance audit.</t>
        </is>
      </c>
    </row>
    <row r="6" ht="65" customHeight="1">
      <c r="A6" s="36" t="inlineStr">
        <is>
          <t>CRA-REQ-TECH-02</t>
        </is>
      </c>
      <c r="B6" s="37" t="inlineStr">
        <is>
          <t>Annex I, Part I, point (2)(b)</t>
        </is>
      </c>
      <c r="C6" s="38" t="inlineStr">
        <is>
          <t>Secure Default Configuration &amp; Factory Reset Capability</t>
        </is>
      </c>
      <c r="D6" s="38" t="inlineStr">
        <is>
          <t>Products with digital elements shall be delivered with a secure default configuration, including the possibility to reset the product to its original state, and ensuring that users are protected against insecure configurations.</t>
        </is>
      </c>
      <c r="E6" s="37" t="inlineStr">
        <is>
          <t>Product cybersecurity</t>
        </is>
      </c>
      <c r="F6" s="39" t="inlineStr">
        <is>
          <t>Mandatory (Default); Conditional (May be tailored for custom enterprise B2B solutions upon explicit contractual agreement under Recital 64)</t>
        </is>
      </c>
      <c r="G6" s="37" t="inlineStr">
        <is>
          <t>System Architect, Product Engineering Lead, Technical Writer</t>
        </is>
      </c>
      <c r="H6" s="41" t="inlineStr">
        <is>
          <t>Supporting</t>
        </is>
      </c>
      <c r="I6" s="40" t="inlineStr">
        <is>
          <t>Yes</t>
        </is>
      </c>
      <c r="J6" s="40" t="inlineStr">
        <is>
          <t>Yes</t>
        </is>
      </c>
      <c r="K6" s="40" t="inlineStr">
        <is>
          <t>Yes</t>
        </is>
      </c>
      <c r="L6" s="41" t="inlineStr">
        <is>
          <t>Supporting</t>
        </is>
      </c>
      <c r="M6" s="38" t="inlineStr">
        <is>
          <t>Enforce secure-by-default parameters: disable insecure legacy protocols (Telnet, HTTP, SMBv1), enforce unique random passwords per device (no default admin/admin), require password changes on first boot, and provide a verified factory reset mechanism that wipes user data while restoring secure baselines.</t>
        </is>
      </c>
      <c r="N6" s="38" t="inlineStr">
        <is>
          <t>CIS Benchmark / DISA STIG hardening scripts; automated configuration compliance auditing; cryptographically secured factory reset utility; forced password change on first setup.</t>
        </is>
      </c>
      <c r="O6" s="38" t="inlineStr">
        <is>
          <t>CIS Benchmark Configuration Compliance Audit Report; Hardening Specification Document; Factory Reset Verification Test Record; User Manual Secure Configuration Guide (Annex II).</t>
        </is>
      </c>
      <c r="P6" s="38" t="inlineStr">
        <is>
          <t>Default installation passes CIS benchmark with zero high-risk deviations; unique per-device credentials verified; factory reset reliably restores hardened baseline and scrubs credentials.</t>
        </is>
      </c>
      <c r="Q6" s="42" t="inlineStr">
        <is>
          <t>None</t>
        </is>
      </c>
      <c r="R6" s="42" t="inlineStr">
        <is>
          <t>None</t>
        </is>
      </c>
      <c r="S6" s="43" t="inlineStr">
        <is>
          <t>Partial</t>
        </is>
      </c>
      <c r="T6" s="44" t="inlineStr">
        <is>
          <t>Full</t>
        </is>
      </c>
      <c r="U6" s="42" t="inlineStr">
        <is>
          <t>None</t>
        </is>
      </c>
      <c r="V6" s="43" t="inlineStr">
        <is>
          <t>Partial</t>
        </is>
      </c>
      <c r="W6" s="42" t="inlineStr">
        <is>
          <t>None</t>
        </is>
      </c>
      <c r="X6" s="42" t="inlineStr">
        <is>
          <t>None</t>
        </is>
      </c>
      <c r="Y6" s="42" t="inlineStr">
        <is>
          <t>None</t>
        </is>
      </c>
      <c r="Z6" s="43" t="inlineStr">
        <is>
          <t>Partial</t>
        </is>
      </c>
      <c r="AA6" s="38" t="inlineStr">
        <is>
          <t>Code-level SAST and SCA cannot assess deployed system configurations, daemon settings, or reset mechanics. Nessus/Cyberwatch directly audits OS/service hardening against CIS benchmarks.</t>
        </is>
      </c>
      <c r="AB6" s="38" t="inlineStr">
        <is>
          <t>Automated OS/firmware hardening automation (Ansible/Puppet); physical/logical reset button testing; user installation guide gating.</t>
        </is>
      </c>
      <c r="AC6" s="50" t="inlineStr">
        <is>
          <t>High</t>
        </is>
      </c>
      <c r="AD6" s="46" t="inlineStr">
        <is>
          <t>https://eur-lex.europa.eu/eli/reg/2024/2847/oj</t>
        </is>
      </c>
      <c r="AE6" s="38" t="inlineStr">
        <is>
          <t>Recital 64 allows tailor-made bespoke B2B software to negotiate specific configuration defaults with customers, provided the waiver is formally documented in the contract.</t>
        </is>
      </c>
    </row>
    <row r="7" ht="65" customHeight="1">
      <c r="A7" s="47" t="inlineStr">
        <is>
          <t>CRA-REQ-TECH-03</t>
        </is>
      </c>
      <c r="B7" s="48" t="inlineStr">
        <is>
          <t>Annex I, Part I, point (2)(c); Annex I, Part II, point (7)</t>
        </is>
      </c>
      <c r="C7" s="9" t="inlineStr">
        <is>
          <t>Automatic Security Updates by Default with User Notification</t>
        </is>
      </c>
      <c r="D7" s="9" t="inlineStr">
        <is>
          <t>Products with digital elements shall ensure that security updates are delivered automatically by default where technically feasible, with clear user notifications and opt-out capabilities.</t>
        </is>
      </c>
      <c r="E7" s="48" t="inlineStr">
        <is>
          <t>Product cybersecurity</t>
        </is>
      </c>
      <c r="F7" s="39" t="inlineStr">
        <is>
          <t>Mandatory (Where technically feasible; conditional exemption for OT/industrial safety systems where unexpected restarts create operational hazards)</t>
        </is>
      </c>
      <c r="G7" s="48" t="inlineStr">
        <is>
          <t>Firmware / Platform Architect, Release Engineering Lead, Product Manager</t>
        </is>
      </c>
      <c r="H7" s="41" t="inlineStr">
        <is>
          <t>Supporting</t>
        </is>
      </c>
      <c r="I7" s="40" t="inlineStr">
        <is>
          <t>Yes</t>
        </is>
      </c>
      <c r="J7" s="40" t="inlineStr">
        <is>
          <t>Yes</t>
        </is>
      </c>
      <c r="K7" s="40" t="inlineStr">
        <is>
          <t>Yes</t>
        </is>
      </c>
      <c r="L7" s="40" t="inlineStr">
        <is>
          <t>Yes</t>
        </is>
      </c>
      <c r="M7" s="9" t="inlineStr">
        <is>
          <t>Implement an automated background update mechanism for security patches. Users must receive clear notifications prior to/after installation, have an easy opt-out toggle in UI/CLI, and have the ability to defer reboots. Security patches must be separated from functional updates.</t>
        </is>
      </c>
      <c r="N7" s="9" t="inlineStr">
        <is>
          <t>OTA / background update daemon with dual-partition A/B rollback protection; cryptographic signature verification of update packages; update scheduling and user notification UI; opt-out preference persistence.</t>
        </is>
      </c>
      <c r="O7" s="9" t="inlineStr">
        <is>
          <t>Update Architecture Specification; Automated Update Mechanism Test Report; Rollback &amp; Anti-Downgrade Test Record; Annex II User Instructions on Update Configuration.</t>
        </is>
      </c>
      <c r="P7" s="9" t="inlineStr">
        <is>
          <t>Automated update installs successfully in test environments; invalid/corrupt updates automatically trigger rollback; opt-out setting successfully defers automated deployment.</t>
        </is>
      </c>
      <c r="Q7" s="42" t="inlineStr">
        <is>
          <t>None</t>
        </is>
      </c>
      <c r="R7" s="42" t="inlineStr">
        <is>
          <t>None</t>
        </is>
      </c>
      <c r="S7" s="43" t="inlineStr">
        <is>
          <t>Partial</t>
        </is>
      </c>
      <c r="T7" s="42" t="inlineStr">
        <is>
          <t>None</t>
        </is>
      </c>
      <c r="U7" s="42" t="inlineStr">
        <is>
          <t>None</t>
        </is>
      </c>
      <c r="V7" s="43" t="inlineStr">
        <is>
          <t>Partial</t>
        </is>
      </c>
      <c r="W7" s="42" t="inlineStr">
        <is>
          <t>None</t>
        </is>
      </c>
      <c r="X7" s="42" t="inlineStr">
        <is>
          <t>None</t>
        </is>
      </c>
      <c r="Y7" s="42" t="inlineStr">
        <is>
          <t>None</t>
        </is>
      </c>
      <c r="Z7" s="42" t="inlineStr">
        <is>
          <t>None</t>
        </is>
      </c>
      <c r="AA7" s="9" t="inlineStr">
        <is>
          <t>Security scanning tools do not build or test update delivery mechanics. Penetration testing can evaluate rollback resistance and signature verification bypasses.</t>
        </is>
      </c>
      <c r="AB7" s="9" t="inlineStr">
        <is>
          <t>OTA update infrastructure; code-signing HSM integration; update daemon resilience testing; customer operational release runbook.</t>
        </is>
      </c>
      <c r="AC7" s="50" t="inlineStr">
        <is>
          <t>High</t>
        </is>
      </c>
      <c r="AD7" s="49" t="inlineStr">
        <is>
          <t>https://eur-lex.europa.eu/eli/reg/2024/2847/oj</t>
        </is>
      </c>
      <c r="AE7" s="9" t="inlineStr">
        <is>
          <t>For critical infrastructure or OT devices where automatic updates violate safety standards (e.g. IEC 61508), manufacturers must provide clear justification in Annex VII technical documentation.</t>
        </is>
      </c>
    </row>
    <row r="8" ht="65" customHeight="1">
      <c r="A8" s="36" t="inlineStr">
        <is>
          <t>CRA-REQ-TECH-04</t>
        </is>
      </c>
      <c r="B8" s="37" t="inlineStr">
        <is>
          <t>Annex I, Part I, point (2)(d)</t>
        </is>
      </c>
      <c r="C8" s="38" t="inlineStr">
        <is>
          <t>Protection Against Unauthorized Access &amp; Identity Management</t>
        </is>
      </c>
      <c r="D8" s="38" t="inlineStr">
        <is>
          <t>Products with digital elements shall ensure protection from unauthorised access by appropriate control mechanisms, including authentication, identity or access management systems, and report on possible unauthorised access.</t>
        </is>
      </c>
      <c r="E8" s="37" t="inlineStr">
        <is>
          <t>Product cybersecurity</t>
        </is>
      </c>
      <c r="F8" s="39" t="inlineStr">
        <is>
          <t>Mandatory (Applies to all products with user, administrative, or machine-to-machine interfaces)</t>
        </is>
      </c>
      <c r="G8" s="37" t="inlineStr">
        <is>
          <t>Lead Software Architect, DevSecOps Lead, IAM Specialist</t>
        </is>
      </c>
      <c r="H8" s="41" t="inlineStr">
        <is>
          <t>Supporting</t>
        </is>
      </c>
      <c r="I8" s="40" t="inlineStr">
        <is>
          <t>Yes</t>
        </is>
      </c>
      <c r="J8" s="41" t="inlineStr">
        <is>
          <t>Supporting</t>
        </is>
      </c>
      <c r="K8" s="40" t="inlineStr">
        <is>
          <t>Yes</t>
        </is>
      </c>
      <c r="L8" s="41" t="inlineStr">
        <is>
          <t>Supporting</t>
        </is>
      </c>
      <c r="M8" s="38" t="inlineStr">
        <is>
          <t>Implement robust authentication (MFA for administrative interfaces, API key/mTLS for machine interfaces), fine-grained role-based access control (RBAC/ABAC), secure session management (short-lived tokens, secure cookies), rate limiting on authentication endpoints, and brute-force lockout mechanisms.</t>
        </is>
      </c>
      <c r="N8" s="38" t="inlineStr">
        <is>
          <t>Centralized IAM framework (OAuth 2.0 / OIDC / SAML); PBKDF2/Argon2/bcrypt password hashing; mTLS for internal service meshes; account lockout policies; RBAC enforcement on all API routes.</t>
        </is>
      </c>
      <c r="O8" s="38" t="inlineStr">
        <is>
          <t>IAM Architecture Design Document; RBAC Matrix; Authentication Unit &amp; Integration Test Suites; Penetration Testing Report (Auth/Privilege Escalation); DAST Scan Report.</t>
        </is>
      </c>
      <c r="P8" s="38" t="inlineStr">
        <is>
          <t>Zero unauthorized access bypasses in penetration tests; MFA enforced on administrative paths; session tokens cryptographically random with secure flags; brute-force attacks mitigated.</t>
        </is>
      </c>
      <c r="Q8" s="43" t="inlineStr">
        <is>
          <t>Partial</t>
        </is>
      </c>
      <c r="R8" s="42" t="inlineStr">
        <is>
          <t>None</t>
        </is>
      </c>
      <c r="S8" s="44" t="inlineStr">
        <is>
          <t>Full</t>
        </is>
      </c>
      <c r="T8" s="43" t="inlineStr">
        <is>
          <t>Partial</t>
        </is>
      </c>
      <c r="U8" s="43" t="inlineStr">
        <is>
          <t>Partial</t>
        </is>
      </c>
      <c r="V8" s="43" t="inlineStr">
        <is>
          <t>Partial</t>
        </is>
      </c>
      <c r="W8" s="42" t="inlineStr">
        <is>
          <t>None</t>
        </is>
      </c>
      <c r="X8" s="42" t="inlineStr">
        <is>
          <t>None</t>
        </is>
      </c>
      <c r="Y8" s="43" t="inlineStr">
        <is>
          <t>Partial</t>
        </is>
      </c>
      <c r="Z8" s="44" t="inlineStr">
        <is>
          <t>Full</t>
        </is>
      </c>
      <c r="AA8" s="38" t="inlineStr">
        <is>
          <t>SonarQube/Coverity can detect hardcoded credentials and basic session flaws in code. DAST (OWASP ZAP/Burp) and Penetration Testing provide primary direct validation of runtime authentication/authorization logic.</t>
        </is>
      </c>
      <c r="AB8" s="38" t="inlineStr">
        <is>
          <t>Automated API fuzzing for IDOR/BOLA (Broken Object Level Authorization); credential stuffing defenses; periodic identity posture audits.</t>
        </is>
      </c>
      <c r="AC8" s="45" t="inlineStr">
        <is>
          <t>Critical</t>
        </is>
      </c>
      <c r="AD8" s="46" t="inlineStr">
        <is>
          <t>https://eur-lex.europa.eu/eli/reg/2024/2847/oj</t>
        </is>
      </c>
      <c r="AE8" s="38" t="inlineStr">
        <is>
          <t>Covers both human user accounts and automated API / service accounts connecting to or within the PDE and associated Remote Data Processing Solutions (RDPS).</t>
        </is>
      </c>
    </row>
    <row r="9" ht="65" customHeight="1">
      <c r="A9" s="47" t="inlineStr">
        <is>
          <t>CRA-REQ-TECH-05</t>
        </is>
      </c>
      <c r="B9" s="48" t="inlineStr">
        <is>
          <t>Annex I, Part I, point (2)(e)</t>
        </is>
      </c>
      <c r="C9" s="9" t="inlineStr">
        <is>
          <t>Data Confidentiality Protection via State-of-the-Art Cryptography</t>
        </is>
      </c>
      <c r="D9" s="9" t="inlineStr">
        <is>
          <t>Products with digital elements shall protect the confidentiality of stored, transmitted or otherwise processed data, personal or other, such as by encrypting relevant data at rest or in transit by state of the art mechanisms.</t>
        </is>
      </c>
      <c r="E9" s="48" t="inlineStr">
        <is>
          <t>Product cybersecurity</t>
        </is>
      </c>
      <c r="F9" s="39" t="inlineStr">
        <is>
          <t>Mandatory (Applies to all sensitive, credential, telemetry, and personal data processed by the product)</t>
        </is>
      </c>
      <c r="G9" s="48" t="inlineStr">
        <is>
          <t>Security Architect, Cryptographic Engineer, Backend Developer</t>
        </is>
      </c>
      <c r="H9" s="41" t="inlineStr">
        <is>
          <t>Supporting</t>
        </is>
      </c>
      <c r="I9" s="40" t="inlineStr">
        <is>
          <t>Yes</t>
        </is>
      </c>
      <c r="J9" s="41" t="inlineStr">
        <is>
          <t>Supporting</t>
        </is>
      </c>
      <c r="K9" s="40" t="inlineStr">
        <is>
          <t>Yes</t>
        </is>
      </c>
      <c r="L9" s="41" t="inlineStr">
        <is>
          <t>Supporting</t>
        </is>
      </c>
      <c r="M9" s="9" t="inlineStr">
        <is>
          <t>Enforce TLS 1.3 (or strictly configured TLS 1.2 with PFS ciphers) for all data in transit. Enforce AES-256-GCM, ChaCha20-Poly1305, or equivalent modern authenticated encryption for data at rest. Securely manage cryptographic keys using KMS/HSM/TPM; never hardcode keys in source code.</t>
        </is>
      </c>
      <c r="N9" s="9" t="inlineStr">
        <is>
          <t>Standard cryptographic libraries (OpenSSL FIPS, BouncyCastle, libsodium); automated secret scanning in Git/CI; TLS enforcement proxies; transparent database encryption (TDE) or volume encryption.</t>
        </is>
      </c>
      <c r="O9" s="9" t="inlineStr">
        <is>
          <t>Cryptographic Architecture &amp; Key Management Plan; TLS Configuration Audit Report (SSLLabs / Nessus); SAST Secret &amp; Crypto Scan Reports; Static Analysis Crypto API Audit.</t>
        </is>
      </c>
      <c r="P9" s="9" t="inlineStr">
        <is>
          <t>No deprecated ciphers (RC4, 3DES, MD5, SHA1, ECB mode) present; zero plaintext transmissions; keys stored outside codebase in HSM/secret vault; automated scans confirm strong crypto.</t>
        </is>
      </c>
      <c r="Q9" s="43" t="inlineStr">
        <is>
          <t>Partial</t>
        </is>
      </c>
      <c r="R9" s="42" t="inlineStr">
        <is>
          <t>None</t>
        </is>
      </c>
      <c r="S9" s="43" t="inlineStr">
        <is>
          <t>Partial</t>
        </is>
      </c>
      <c r="T9" s="43" t="inlineStr">
        <is>
          <t>Partial</t>
        </is>
      </c>
      <c r="U9" s="43" t="inlineStr">
        <is>
          <t>Partial</t>
        </is>
      </c>
      <c r="V9" s="43" t="inlineStr">
        <is>
          <t>Partial</t>
        </is>
      </c>
      <c r="W9" s="42" t="inlineStr">
        <is>
          <t>None</t>
        </is>
      </c>
      <c r="X9" s="42" t="inlineStr">
        <is>
          <t>None</t>
        </is>
      </c>
      <c r="Y9" s="43" t="inlineStr">
        <is>
          <t>Partial</t>
        </is>
      </c>
      <c r="Z9" s="43" t="inlineStr">
        <is>
          <t>Partial</t>
        </is>
      </c>
      <c r="AA9" s="9" t="inlineStr">
        <is>
          <t>SonarQube and Coverity detect weak crypto algorithms and hardcoded secrets in code; Nessus verifies TLS cipher suites in runtime. Cryptographic key lifecycle management requires architectural policies.</t>
        </is>
      </c>
      <c r="AB9" s="9" t="inlineStr">
        <is>
          <t>Key Management System (KMS) governance; automated Secret Scanner (TruffleHog/GitGuardian); Cryptographic Bill of Materials (CBOM) tracking.</t>
        </is>
      </c>
      <c r="AC9" s="50" t="inlineStr">
        <is>
          <t>High</t>
        </is>
      </c>
      <c r="AD9" s="49" t="inlineStr">
        <is>
          <t>https://eur-lex.europa.eu/eli/reg/2024/2847/oj</t>
        </is>
      </c>
      <c r="AE9" s="9" t="inlineStr">
        <is>
          <t>Alignment with ENISA guidance on cryptographic algorithms and key sizes is strongly recommended to substantiate 'state of the art' legal threshold.</t>
        </is>
      </c>
    </row>
    <row r="10" ht="65" customHeight="1">
      <c r="A10" s="36" t="inlineStr">
        <is>
          <t>CRA-REQ-TECH-06</t>
        </is>
      </c>
      <c r="B10" s="37" t="inlineStr">
        <is>
          <t>Annex I, Part I, point (2)(f)</t>
        </is>
      </c>
      <c r="C10" s="38" t="inlineStr">
        <is>
          <t>Data &amp; Execution Integrity Protection</t>
        </is>
      </c>
      <c r="D10" s="38" t="inlineStr">
        <is>
          <t>Products with digital elements shall protect the integrity of stored, transmitted or otherwise processed data, personal or other, commands, programs and configuration against manipulation or tampering.</t>
        </is>
      </c>
      <c r="E10" s="37" t="inlineStr">
        <is>
          <t>Product cybersecurity</t>
        </is>
      </c>
      <c r="F10" s="39" t="inlineStr">
        <is>
          <t>Mandatory (All critical data streams, firmware images, system files, and command channels)</t>
        </is>
      </c>
      <c r="G10" s="37" t="inlineStr">
        <is>
          <t>Lead Software Architect, DevSecOps Lead, Systems Engineer</t>
        </is>
      </c>
      <c r="H10" s="41" t="inlineStr">
        <is>
          <t>Supporting</t>
        </is>
      </c>
      <c r="I10" s="40" t="inlineStr">
        <is>
          <t>Yes</t>
        </is>
      </c>
      <c r="J10" s="40" t="inlineStr">
        <is>
          <t>Yes</t>
        </is>
      </c>
      <c r="K10" s="40" t="inlineStr">
        <is>
          <t>Yes</t>
        </is>
      </c>
      <c r="L10" s="41" t="inlineStr">
        <is>
          <t>Supporting</t>
        </is>
      </c>
      <c r="M10" s="38" t="inlineStr">
        <is>
          <t>Implement cryptographic signatures (ECDSA/RSA) for firmware, configuration files, and software updates. Use secure boot mechanisms (UEFI Secure Boot, hardware root of trust). Protect API requests against tampering using HMAC, digital signatures, or TLS integrity. Implement memory safety controls against memory corruption tampering.</t>
        </is>
      </c>
      <c r="N10" s="38" t="inlineStr">
        <is>
          <t>Code signing in CI/CD pipeline using hardware HSM; Secure Boot verification; File Integrity Monitoring (FIM); HMAC message authentication; parameterized queries and input validation preventing memory/state corruption.</t>
        </is>
      </c>
      <c r="O10" s="38" t="inlineStr">
        <is>
          <t>Secure Boot &amp; Code Signing Verification Spec; CI/CD Artifact Signing Logs; File Integrity Monitoring Baseline; Pentest Tampering Assessment Report.</t>
        </is>
      </c>
      <c r="P10" s="38" t="inlineStr">
        <is>
          <t>System rejects unsigned/tampered binaries and updates; memory corruption attacks cannot overwrite execution flow; API rejects tampered parameters; FIM alerts on unauthorized configuration changes.</t>
        </is>
      </c>
      <c r="Q10" s="43" t="inlineStr">
        <is>
          <t>Partial</t>
        </is>
      </c>
      <c r="R10" s="42" t="inlineStr">
        <is>
          <t>None</t>
        </is>
      </c>
      <c r="S10" s="43" t="inlineStr">
        <is>
          <t>Partial</t>
        </is>
      </c>
      <c r="T10" s="42" t="inlineStr">
        <is>
          <t>None</t>
        </is>
      </c>
      <c r="U10" s="43" t="inlineStr">
        <is>
          <t>Partial</t>
        </is>
      </c>
      <c r="V10" s="43" t="inlineStr">
        <is>
          <t>Partial</t>
        </is>
      </c>
      <c r="W10" s="42" t="inlineStr">
        <is>
          <t>None</t>
        </is>
      </c>
      <c r="X10" s="42" t="inlineStr">
        <is>
          <t>None</t>
        </is>
      </c>
      <c r="Y10" s="43" t="inlineStr">
        <is>
          <t>Partial</t>
        </is>
      </c>
      <c r="Z10" s="43" t="inlineStr">
        <is>
          <t>Partial</t>
        </is>
      </c>
      <c r="AA10" s="38" t="inlineStr">
        <is>
          <t>SAST (Coverity/SonarQube) detects unsafe memory manipulation and deserialization in code. Penetration testing tests data tampering and command injection in transit. HSM code-signing requires infrastructure controls.</t>
        </is>
      </c>
      <c r="AB10" s="38" t="inlineStr">
        <is>
          <t>Enterprise Code Signing Infrastructure; Sigstore / Cosign container signing; Hardware Security Module (HSM) key protection; SLSA build level verification.</t>
        </is>
      </c>
      <c r="AC10" s="50" t="inlineStr">
        <is>
          <t>High</t>
        </is>
      </c>
      <c r="AD10" s="46" t="inlineStr">
        <is>
          <t>https://eur-lex.europa.eu/eli/reg/2024/2847/oj</t>
        </is>
      </c>
      <c r="AE10" s="38" t="inlineStr">
        <is>
          <t>Covers both data at rest/transit and the execution runtime environment to prevent malicious code injection and binary modification.</t>
        </is>
      </c>
    </row>
    <row r="11" ht="65" customHeight="1">
      <c r="A11" s="47" t="inlineStr">
        <is>
          <t>CRA-REQ-TECH-07</t>
        </is>
      </c>
      <c r="B11" s="48" t="inlineStr">
        <is>
          <t>Annex I, Part I, point (2)(g)</t>
        </is>
      </c>
      <c r="C11" s="9" t="inlineStr">
        <is>
          <t>Data Minimisation &amp; Processing Proportionality</t>
        </is>
      </c>
      <c r="D11" s="9" t="inlineStr">
        <is>
          <t>Products with digital elements shall process only data, personal or other, that are adequate, relevant and limited to what is necessary in relation to the intended purpose of the product.</t>
        </is>
      </c>
      <c r="E11" s="48" t="inlineStr">
        <is>
          <t>Product cybersecurity</t>
        </is>
      </c>
      <c r="F11" s="39" t="inlineStr">
        <is>
          <t>Mandatory (Applies to all data collection, telemetry, analytics, and operational logging)</t>
        </is>
      </c>
      <c r="G11" s="48" t="inlineStr">
        <is>
          <t>Data Protection Officer (DPO), Product Manager, Lead Architect</t>
        </is>
      </c>
      <c r="H11" s="40" t="inlineStr">
        <is>
          <t>Yes</t>
        </is>
      </c>
      <c r="I11" s="40" t="inlineStr">
        <is>
          <t>Yes</t>
        </is>
      </c>
      <c r="J11" s="41" t="inlineStr">
        <is>
          <t>Supporting</t>
        </is>
      </c>
      <c r="K11" s="41" t="inlineStr">
        <is>
          <t>Supporting</t>
        </is>
      </c>
      <c r="L11" s="41" t="inlineStr">
        <is>
          <t>Supporting</t>
        </is>
      </c>
      <c r="M11" s="9" t="inlineStr">
        <is>
          <t>Apply privacy-by-design and data minimisation principles across all features. Remove unnecessary telemetry collection; anonymize/pseudonymize diagnostic data; provide user controls to disable telemetry; establish automated data retention and pruning schedules.</t>
        </is>
      </c>
      <c r="N11" s="9" t="inlineStr">
        <is>
          <t>Data flow mapping; DPIA execution; configurable telemetry opt-out switches; automated database purge jobs; schema reviews preventing excessive field capture.</t>
        </is>
      </c>
      <c r="O11" s="9" t="inlineStr">
        <is>
          <t>Data Protection Impact Assessment (DPIA) Report; Data Inventory and Processing Register (GDPR Art 30 / CRA); Telemetry Configuration Architecture; Privacy Policy / Annex II Disclosure.</t>
        </is>
      </c>
      <c r="P11" s="9" t="inlineStr">
        <is>
          <t>DPIA approved by DPO; no unneeded personal or sensitive data ingested; telemetry collection strictly opt-in or easily disabled; automated data purging verified.</t>
        </is>
      </c>
      <c r="Q11" s="42" t="inlineStr">
        <is>
          <t>None</t>
        </is>
      </c>
      <c r="R11" s="42" t="inlineStr">
        <is>
          <t>None</t>
        </is>
      </c>
      <c r="S11" s="42" t="inlineStr">
        <is>
          <t>None</t>
        </is>
      </c>
      <c r="T11" s="42" t="inlineStr">
        <is>
          <t>None</t>
        </is>
      </c>
      <c r="U11" s="44" t="inlineStr">
        <is>
          <t>Full</t>
        </is>
      </c>
      <c r="V11" s="43" t="inlineStr">
        <is>
          <t>Partial</t>
        </is>
      </c>
      <c r="W11" s="42" t="inlineStr">
        <is>
          <t>None</t>
        </is>
      </c>
      <c r="X11" s="42" t="inlineStr">
        <is>
          <t>None</t>
        </is>
      </c>
      <c r="Y11" s="42" t="inlineStr">
        <is>
          <t>None</t>
        </is>
      </c>
      <c r="Z11" s="42" t="inlineStr">
        <is>
          <t>None</t>
        </is>
      </c>
      <c r="AA11" s="9" t="inlineStr">
        <is>
          <t>Technical vulnerability scanners have zero capability to assess legal data minimization or processing necessity. The DPIA process directly and specifically addresses this legal requirement.</t>
        </is>
      </c>
      <c r="AB11" s="9" t="inlineStr">
        <is>
          <t>Formal GDPR Art 35 DPIA process; Product Privacy Review Gate; Telemetry opt-out UX validation.</t>
        </is>
      </c>
      <c r="AC11" s="51" t="inlineStr">
        <is>
          <t>Medium</t>
        </is>
      </c>
      <c r="AD11" s="49" t="inlineStr">
        <is>
          <t>https://eur-lex.europa.eu/eli/reg/2024/2847/oj</t>
        </is>
      </c>
      <c r="AE11" s="9" t="inlineStr">
        <is>
          <t>Extends beyond GDPR personal data to cover any non-personal data where excessive collection increases cyberattack blast radius.</t>
        </is>
      </c>
    </row>
    <row r="12" ht="65" customHeight="1">
      <c r="A12" s="36" t="inlineStr">
        <is>
          <t>CRA-REQ-TECH-08</t>
        </is>
      </c>
      <c r="B12" s="37" t="inlineStr">
        <is>
          <t>Annex I, Part I, point (2)(h)</t>
        </is>
      </c>
      <c r="C12" s="38" t="inlineStr">
        <is>
          <t>Essential Function Availability &amp; Denial-of-Service Resilience</t>
        </is>
      </c>
      <c r="D12" s="38" t="inlineStr">
        <is>
          <t>Products with digital elements shall protect the availability of essential functions, including resilience against and mitigation of denial-of-service attacks.</t>
        </is>
      </c>
      <c r="E12" s="37" t="inlineStr">
        <is>
          <t>Product cybersecurity</t>
        </is>
      </c>
      <c r="F12" s="39" t="inlineStr">
        <is>
          <t>Mandatory (Critical for products providing operational or network services)</t>
        </is>
      </c>
      <c r="G12" s="37" t="inlineStr">
        <is>
          <t>Infrastructure Architect, Lead Backend Engineer, Network Engineer</t>
        </is>
      </c>
      <c r="H12" s="41" t="inlineStr">
        <is>
          <t>Supporting</t>
        </is>
      </c>
      <c r="I12" s="40" t="inlineStr">
        <is>
          <t>Yes</t>
        </is>
      </c>
      <c r="J12" s="41" t="inlineStr">
        <is>
          <t>Supporting</t>
        </is>
      </c>
      <c r="K12" s="40" t="inlineStr">
        <is>
          <t>Yes</t>
        </is>
      </c>
      <c r="L12" s="40" t="inlineStr">
        <is>
          <t>Yes</t>
        </is>
      </c>
      <c r="M12" s="38" t="inlineStr">
        <is>
          <t>Architect system with graceful degradation and circuit breakers. Implement rate limiting on APIs, resource quotas (CPU, memory, file descriptors, connection limits), request size caps, and anti-amplification controls. For cloud/RDPS backends, deploy DDoS mitigation (CDN, WAF, autoscaling).</t>
        </is>
      </c>
      <c r="N12" s="38" t="inlineStr">
        <is>
          <t>API gateway rate limiting (Token Bucket / Leaky Bucket); ingress request throttling; WAF DDoS protection rules; resource cgroups / container quotas; connection timeout configurations; algorithmic ReDoS protections.</t>
        </is>
      </c>
      <c r="O12" s="38" t="inlineStr">
        <is>
          <t>High Availability &amp; DoS Resilience Architecture Spec; Stress / Load / DoS Simulation Test Report; Penetration Test DoS Resistance Assessment; Cloud WAF Configuration.</t>
        </is>
      </c>
      <c r="P12" s="38" t="inlineStr">
        <is>
          <t>System maintains essential services under sustained simulated traffic spikes/attacks; rate-limiting drops excessive requests without crashing backends; no algorithmic ReDoS crashes.</t>
        </is>
      </c>
      <c r="Q12" s="43" t="inlineStr">
        <is>
          <t>Partial</t>
        </is>
      </c>
      <c r="R12" s="42" t="inlineStr">
        <is>
          <t>None</t>
        </is>
      </c>
      <c r="S12" s="44" t="inlineStr">
        <is>
          <t>Full</t>
        </is>
      </c>
      <c r="T12" s="43" t="inlineStr">
        <is>
          <t>Partial</t>
        </is>
      </c>
      <c r="U12" s="42" t="inlineStr">
        <is>
          <t>None</t>
        </is>
      </c>
      <c r="V12" s="43" t="inlineStr">
        <is>
          <t>Partial</t>
        </is>
      </c>
      <c r="W12" s="42" t="inlineStr">
        <is>
          <t>None</t>
        </is>
      </c>
      <c r="X12" s="42" t="inlineStr">
        <is>
          <t>None</t>
        </is>
      </c>
      <c r="Y12" s="43" t="inlineStr">
        <is>
          <t>Partial</t>
        </is>
      </c>
      <c r="Z12" s="43" t="inlineStr">
        <is>
          <t>Partial</t>
        </is>
      </c>
      <c r="AA12" s="38" t="inlineStr">
        <is>
          <t>SAST tools detect algorithmic complexity flaws (ReDoS) or resource leaks in code; Nessus identifies known DoS CVEs in services. Penetration testing and automated stress testing provide primary empirical verification.</t>
        </is>
      </c>
      <c r="AB12" s="38" t="inlineStr">
        <is>
          <t>Automated Chaos Engineering / DDoS simulation testing; CDN/WAF DDoS mitigation infrastructure; rate-limiting integration tests.</t>
        </is>
      </c>
      <c r="AC12" s="50" t="inlineStr">
        <is>
          <t>High</t>
        </is>
      </c>
      <c r="AD12" s="46" t="inlineStr">
        <is>
          <t>https://eur-lex.europa.eu/eli/reg/2024/2847/oj</t>
        </is>
      </c>
      <c r="AE12" s="38" t="inlineStr">
        <is>
          <t>Essential functions must be explicitly defined in the Annex VII technical documentation and categorized according to failure impact.</t>
        </is>
      </c>
    </row>
    <row r="13" ht="65" customHeight="1">
      <c r="A13" s="47" t="inlineStr">
        <is>
          <t>CRA-REQ-TECH-09</t>
        </is>
      </c>
      <c r="B13" s="48" t="inlineStr">
        <is>
          <t>Annex I, Part I, point (2)(i)</t>
        </is>
      </c>
      <c r="C13" s="9" t="inlineStr">
        <is>
          <t>Minimisation of Impact on External Networks &amp; Connected Devices</t>
        </is>
      </c>
      <c r="D13" s="9" t="inlineStr">
        <is>
          <t>Products with digital elements shall minimise the negative impact by the products themselves or connected devices on the availability of services provided by other devices or networks.</t>
        </is>
      </c>
      <c r="E13" s="48" t="inlineStr">
        <is>
          <t>Product cybersecurity</t>
        </is>
      </c>
      <c r="F13" s="39" t="inlineStr">
        <is>
          <t>Mandatory (Critical for networked devices, IoT endpoints, and client software)</t>
        </is>
      </c>
      <c r="G13" s="48" t="inlineStr">
        <is>
          <t>Network Architect, Systems Engineer, Firmware Developer</t>
        </is>
      </c>
      <c r="H13" s="41" t="inlineStr">
        <is>
          <t>Supporting</t>
        </is>
      </c>
      <c r="I13" s="40" t="inlineStr">
        <is>
          <t>Yes</t>
        </is>
      </c>
      <c r="J13" s="41" t="inlineStr">
        <is>
          <t>Supporting</t>
        </is>
      </c>
      <c r="K13" s="40" t="inlineStr">
        <is>
          <t>Yes</t>
        </is>
      </c>
      <c r="L13" s="41" t="inlineStr">
        <is>
          <t>Supporting</t>
        </is>
      </c>
      <c r="M13" s="9" t="inlineStr">
        <is>
          <t>Prevent product from being weaponized as a botnet node, DDoS reflector, or network flood amplifier. Disable open DNS resolvers, NTP amplification, UPnP, and open proxying. Implement egress filtering, outbound connection rate limiting, and exponential backoff on retries.</t>
        </is>
      </c>
      <c r="N13" s="9" t="inlineStr">
        <is>
          <t>Outbound connection rate limiting; disabling reflection/amplification protocols; DNS request throttling; strict egress firewall rules; jittered exponential backoff on connection retries.</t>
        </is>
      </c>
      <c r="O13" s="9" t="inlineStr">
        <is>
          <t>Network Protocol &amp; Egress Control Specification; Network Traffic Flood / Amplification Test Report; Penetration Test Network Abuse Assessment.</t>
        </is>
      </c>
      <c r="P13" s="9" t="inlineStr">
        <is>
          <t>Product cannot be coerced into generating amplified reflection traffic; outbound retry storms throttled during network outages; no open relay or proxy behavior.</t>
        </is>
      </c>
      <c r="Q13" s="42" t="inlineStr">
        <is>
          <t>None</t>
        </is>
      </c>
      <c r="R13" s="42" t="inlineStr">
        <is>
          <t>None</t>
        </is>
      </c>
      <c r="S13" s="43" t="inlineStr">
        <is>
          <t>Partial</t>
        </is>
      </c>
      <c r="T13" s="43" t="inlineStr">
        <is>
          <t>Partial</t>
        </is>
      </c>
      <c r="U13" s="42" t="inlineStr">
        <is>
          <t>None</t>
        </is>
      </c>
      <c r="V13" s="43" t="inlineStr">
        <is>
          <t>Partial</t>
        </is>
      </c>
      <c r="W13" s="42" t="inlineStr">
        <is>
          <t>None</t>
        </is>
      </c>
      <c r="X13" s="42" t="inlineStr">
        <is>
          <t>None</t>
        </is>
      </c>
      <c r="Y13" s="42" t="inlineStr">
        <is>
          <t>None</t>
        </is>
      </c>
      <c r="Z13" s="43" t="inlineStr">
        <is>
          <t>Partial</t>
        </is>
      </c>
      <c r="AA13" s="9" t="inlineStr">
        <is>
          <t>Nessus scans identify open amplification protocols (DNS, NTP, SNMP, UPnP). Penetration testing and DAST (Burp) test for SSRF and outbound proxy abuse.</t>
        </is>
      </c>
      <c r="AB13" s="9" t="inlineStr">
        <is>
          <t>Network abuse prevention testing; egress traffic filtering verification; outbound retry circuit breakers.</t>
        </is>
      </c>
      <c r="AC13" s="51" t="inlineStr">
        <is>
          <t>Medium</t>
        </is>
      </c>
      <c r="AD13" s="49" t="inlineStr">
        <is>
          <t>https://eur-lex.europa.eu/eli/reg/2024/2847/oj</t>
        </is>
      </c>
      <c r="AE13" s="9" t="inlineStr">
        <is>
          <t>Designed to prevent widespread Mirai-style IoT botnet recruitment and cascading infrastructure disruption across the EU digital single market.</t>
        </is>
      </c>
    </row>
    <row r="14" ht="65" customHeight="1">
      <c r="A14" s="36" t="inlineStr">
        <is>
          <t>CRA-REQ-TECH-10</t>
        </is>
      </c>
      <c r="B14" s="37" t="inlineStr">
        <is>
          <t>Annex I, Part I, point (2)(j)</t>
        </is>
      </c>
      <c r="C14" s="38" t="inlineStr">
        <is>
          <t>Attack Surface Reduction &amp; Interface Pruning</t>
        </is>
      </c>
      <c r="D14" s="38" t="inlineStr">
        <is>
          <t>Products with digital elements shall be designed, developed and produced to limit attack surfaces, including external interfaces, to what is strictly necessary.</t>
        </is>
      </c>
      <c r="E14" s="37" t="inlineStr">
        <is>
          <t>Product cybersecurity</t>
        </is>
      </c>
      <c r="F14" s="39" t="inlineStr">
        <is>
          <t>Mandatory (Applies to all software, hardware, and network interfaces)</t>
        </is>
      </c>
      <c r="G14" s="37" t="inlineStr">
        <is>
          <t>Lead Security Architect, Systems Engineer, Embedded/Platform Lead</t>
        </is>
      </c>
      <c r="H14" s="41" t="inlineStr">
        <is>
          <t>Supporting</t>
        </is>
      </c>
      <c r="I14" s="40" t="inlineStr">
        <is>
          <t>Yes</t>
        </is>
      </c>
      <c r="J14" s="40" t="inlineStr">
        <is>
          <t>Yes</t>
        </is>
      </c>
      <c r="K14" s="40" t="inlineStr">
        <is>
          <t>Yes</t>
        </is>
      </c>
      <c r="L14" s="41" t="inlineStr">
        <is>
          <t>Supporting</t>
        </is>
      </c>
      <c r="M14" s="38" t="inlineStr">
        <is>
          <t>Identify and eliminate unused network ports, background services, APIs, debug interfaces (JTAG, UART, SSH/telnet debug shells), and unneeded software packages. Apply minimal OS images (Distroless, Alpine, minimal Yocto builds). Expose only documented endpoints required for intended functionality.</t>
        </is>
      </c>
      <c r="N14" s="38" t="inlineStr">
        <is>
          <t>Port lockdown and firewalling; removal of debug tools/symbols from production builds; minimal base container images; API gateway endpoint whitelisting; dead code pruning.</t>
        </is>
      </c>
      <c r="O14" s="38" t="inlineStr">
        <is>
          <t>Interface &amp; Port Inventory Document; Port Scan Audit Report (Nessus/Nmap); Build Pipeline Hardening Spec (Debug Symbol Stripping); Penetration Test Attack Surface Assessment.</t>
        </is>
      </c>
      <c r="P14" s="38" t="inlineStr">
        <is>
          <t>Only explicitly justified ports open in production builds; debug interfaces physically/logically disabled; minimal container attack surface verified by scanner.</t>
        </is>
      </c>
      <c r="Q14" s="43" t="inlineStr">
        <is>
          <t>Partial</t>
        </is>
      </c>
      <c r="R14" s="43" t="inlineStr">
        <is>
          <t>Partial</t>
        </is>
      </c>
      <c r="S14" s="43" t="inlineStr">
        <is>
          <t>Partial</t>
        </is>
      </c>
      <c r="T14" s="44" t="inlineStr">
        <is>
          <t>Full</t>
        </is>
      </c>
      <c r="U14" s="42" t="inlineStr">
        <is>
          <t>None</t>
        </is>
      </c>
      <c r="V14" s="44" t="inlineStr">
        <is>
          <t>Full</t>
        </is>
      </c>
      <c r="W14" s="42" t="inlineStr">
        <is>
          <t>None</t>
        </is>
      </c>
      <c r="X14" s="43" t="inlineStr">
        <is>
          <t>Partial</t>
        </is>
      </c>
      <c r="Y14" s="43" t="inlineStr">
        <is>
          <t>Partial</t>
        </is>
      </c>
      <c r="Z14" s="43" t="inlineStr">
        <is>
          <t>Partial</t>
        </is>
      </c>
      <c r="AA14" s="38" t="inlineStr">
        <is>
          <t>Threat Modeling (TARA) establishes the architectural attack surface baseline; Nessus directly audits running network ports and services; Black Duck/Nexus identify unused dependency bloat.</t>
        </is>
      </c>
      <c r="AB14" s="38" t="inlineStr">
        <is>
          <t>Continuous port scanning in staging/production; container base image slimming; CI build compiler flag enforcement (`-O2 -s`).</t>
        </is>
      </c>
      <c r="AC14" s="50" t="inlineStr">
        <is>
          <t>High</t>
        </is>
      </c>
      <c r="AD14" s="46" t="inlineStr">
        <is>
          <t>https://eur-lex.europa.eu/eli/reg/2024/2847/oj</t>
        </is>
      </c>
      <c r="AE14" s="38" t="inlineStr">
        <is>
          <t>Must document all exposed external interfaces and communication protocols in the Annex VII Technical Documentation Dossier.</t>
        </is>
      </c>
    </row>
    <row r="15" ht="65" customHeight="1">
      <c r="A15" s="47" t="inlineStr">
        <is>
          <t>CRA-REQ-TECH-11</t>
        </is>
      </c>
      <c r="B15" s="48" t="inlineStr">
        <is>
          <t>Annex I, Part I, point (2)(k)</t>
        </is>
      </c>
      <c r="C15" s="9" t="inlineStr">
        <is>
          <t>Software Exploitation Mitigation Techniques</t>
        </is>
      </c>
      <c r="D15" s="9" t="inlineStr">
        <is>
          <t>Products with digital elements shall be designed, developed and produced to reduce the impact of an incident using appropriate exploitation mitigation techniques and mechanisms.</t>
        </is>
      </c>
      <c r="E15" s="48" t="inlineStr">
        <is>
          <t>Product cybersecurity</t>
        </is>
      </c>
      <c r="F15" s="39" t="inlineStr">
        <is>
          <t>Mandatory (Applies to all compiled code, runtime execution environments, and containers)</t>
        </is>
      </c>
      <c r="G15" s="48" t="inlineStr">
        <is>
          <t>Platform Architect, DevSecOps Lead, Senior Software Engineer</t>
        </is>
      </c>
      <c r="H15" s="41" t="inlineStr">
        <is>
          <t>Supporting</t>
        </is>
      </c>
      <c r="I15" s="40" t="inlineStr">
        <is>
          <t>Yes</t>
        </is>
      </c>
      <c r="J15" s="40" t="inlineStr">
        <is>
          <t>Yes</t>
        </is>
      </c>
      <c r="K15" s="41" t="inlineStr">
        <is>
          <t>Supporting</t>
        </is>
      </c>
      <c r="L15" s="41" t="inlineStr">
        <is>
          <t>Supporting</t>
        </is>
      </c>
      <c r="M15" s="9" t="inlineStr">
        <is>
          <t>Enforce modern compiler exploit mitigations: ASLR (Address Space Layout Randomization), DEP/NX (Data Execution Prevention), Stack Canaries (`-fstack-protector-strong`), Safe Stack, RELRO (Relocation Read-Only), and CFI (Control Flow Integrity). Use memory-safe programming languages (Rust, Go, Python, modern Java) where feasible. Enforce sandboxing and container isolation (seccomp, AppArmor).</t>
        </is>
      </c>
      <c r="N15" s="9" t="inlineStr">
        <is>
          <t>Compiler security hardening flags in CI/CD toolchain; memory safety linters and deep static analysis; container sandboxing (read-only rootfs, unprivileged user, dropped capabilities); SELinux/AppArmor profiles.</t>
        </is>
      </c>
      <c r="O15" s="9" t="inlineStr">
        <is>
          <t>Compiler Security Flags Verification Report (`checksec` output); Coverity Deep Static Analysis Memory Safety Report; Container Security Runtime Baseline; Pentest Exploit Mitigation Validation.</t>
        </is>
      </c>
      <c r="P15" s="9" t="inlineStr">
        <is>
          <t>`checksec` confirms full RELRO, Canary, NX, and PIE on all compiled binaries; Coverity detects zero critical memory corruption/buffer overflow defects; containers run unprivileged with read-only filesystems.</t>
        </is>
      </c>
      <c r="Q15" s="43" t="inlineStr">
        <is>
          <t>Partial</t>
        </is>
      </c>
      <c r="R15" s="42" t="inlineStr">
        <is>
          <t>None</t>
        </is>
      </c>
      <c r="S15" s="43" t="inlineStr">
        <is>
          <t>Partial</t>
        </is>
      </c>
      <c r="T15" s="43" t="inlineStr">
        <is>
          <t>Partial</t>
        </is>
      </c>
      <c r="U15" s="42" t="inlineStr">
        <is>
          <t>None</t>
        </is>
      </c>
      <c r="V15" s="43" t="inlineStr">
        <is>
          <t>Partial</t>
        </is>
      </c>
      <c r="W15" s="42" t="inlineStr">
        <is>
          <t>None</t>
        </is>
      </c>
      <c r="X15" s="42" t="inlineStr">
        <is>
          <t>None</t>
        </is>
      </c>
      <c r="Y15" s="44" t="inlineStr">
        <is>
          <t>Full</t>
        </is>
      </c>
      <c r="Z15" s="42" t="inlineStr">
        <is>
          <t>None</t>
        </is>
      </c>
      <c r="AA15" s="9" t="inlineStr">
        <is>
          <t>Coverity is the premier deep static analyzer for detecting complex memory corruption, pointer arithmetic, and concurrency flaws in C/C++/Java. `checksec` / binary linters verify compiler mitigations in the CI pipeline.</t>
        </is>
      </c>
      <c r="AB15" s="9" t="inlineStr">
        <is>
          <t>Automated binary analysis with `checksec` in release pipeline; memory-safe language adoption roadmap; hardened runtime execution profiles.</t>
        </is>
      </c>
      <c r="AC15" s="50" t="inlineStr">
        <is>
          <t>High</t>
        </is>
      </c>
      <c r="AD15" s="49" t="inlineStr">
        <is>
          <t>https://eur-lex.europa.eu/eli/reg/2024/2847/oj</t>
        </is>
      </c>
      <c r="AE15" s="9" t="inlineStr">
        <is>
          <t>Essential requirement targeting the mitigation of zero-day exploits and memory safety vulnerabilities.</t>
        </is>
      </c>
    </row>
    <row r="16" ht="65" customHeight="1">
      <c r="A16" s="36" t="inlineStr">
        <is>
          <t>CRA-REQ-TECH-12</t>
        </is>
      </c>
      <c r="B16" s="37" t="inlineStr">
        <is>
          <t>Annex I, Part I, point (2)(l)</t>
        </is>
      </c>
      <c r="C16" s="38" t="inlineStr">
        <is>
          <t>Security-Relevant Event Logging &amp; Audit Monitoring</t>
        </is>
      </c>
      <c r="D16" s="38" t="inlineStr">
        <is>
          <t>Products with digital elements shall record and store relevant internal activity related to cybersecurity, including the logging of events, and provide the possibility for the user to access and delete the logs, with opt-out mechanisms where appropriate.</t>
        </is>
      </c>
      <c r="E16" s="37" t="inlineStr">
        <is>
          <t>Product cybersecurity</t>
        </is>
      </c>
      <c r="F16" s="39" t="inlineStr">
        <is>
          <t>Mandatory (Security logging is mandatory; user opt-out and deletion apply to non-essential diagnostic/activity logs without compromising core audit integrity)</t>
        </is>
      </c>
      <c r="G16" s="37" t="inlineStr">
        <is>
          <t>Security Engineer, Platform Architect, Operations / SRE Lead</t>
        </is>
      </c>
      <c r="H16" s="41" t="inlineStr">
        <is>
          <t>Supporting</t>
        </is>
      </c>
      <c r="I16" s="40" t="inlineStr">
        <is>
          <t>Yes</t>
        </is>
      </c>
      <c r="J16" s="41" t="inlineStr">
        <is>
          <t>Supporting</t>
        </is>
      </c>
      <c r="K16" s="40" t="inlineStr">
        <is>
          <t>Yes</t>
        </is>
      </c>
      <c r="L16" s="40" t="inlineStr">
        <is>
          <t>Yes</t>
        </is>
      </c>
      <c r="M16" s="38" t="inlineStr">
        <is>
          <t>Implement standardized audit logging for authentication events, privilege changes, administrative actions, access control denials, and system configuration modifications. Ensure logs are tamper-resistant, timestamped (NTP synchronized), and do not record sensitive data (passwords, encryption keys, PII). Provide export capabilities (Syslog/SIEM integration).</t>
        </is>
      </c>
      <c r="N16" s="38" t="inlineStr">
        <is>
          <t>Structured audit logging framework (JSON/Syslog); NTP time synchronization; log sanitization filters preventing secret leakage; log forwarding to secure SIEM; local log rotation and storage caps.</t>
        </is>
      </c>
      <c r="O16" s="38" t="inlineStr">
        <is>
          <t>Security Logging Architecture &amp; Event Taxonomy; Log Sanitization Verification Test Record; Penetration Test Audit Log Tampering Assessment; User Manual Log Management Guide.</t>
        </is>
      </c>
      <c r="P16" s="38" t="inlineStr">
        <is>
          <t>All security events generate audit logs with accurate timestamps; zero passwords/keys written to logs (verified by SAST); logs exportable via standard formats; local logs protected against unauthorized tampering.</t>
        </is>
      </c>
      <c r="Q16" s="43" t="inlineStr">
        <is>
          <t>Partial</t>
        </is>
      </c>
      <c r="R16" s="42" t="inlineStr">
        <is>
          <t>None</t>
        </is>
      </c>
      <c r="S16" s="43" t="inlineStr">
        <is>
          <t>Partial</t>
        </is>
      </c>
      <c r="T16" s="43" t="inlineStr">
        <is>
          <t>Partial</t>
        </is>
      </c>
      <c r="U16" s="43" t="inlineStr">
        <is>
          <t>Partial</t>
        </is>
      </c>
      <c r="V16" s="43" t="inlineStr">
        <is>
          <t>Partial</t>
        </is>
      </c>
      <c r="W16" s="42" t="inlineStr">
        <is>
          <t>None</t>
        </is>
      </c>
      <c r="X16" s="42" t="inlineStr">
        <is>
          <t>None</t>
        </is>
      </c>
      <c r="Y16" s="43" t="inlineStr">
        <is>
          <t>Partial</t>
        </is>
      </c>
      <c r="Z16" s="42" t="inlineStr">
        <is>
          <t>None</t>
        </is>
      </c>
      <c r="AA16" s="38" t="inlineStr">
        <is>
          <t>SonarQube and Coverity detect CWE-117 (Log Injection) and accidental secret logging in source code. Penetration testing tests log evasion and tampering during attack simulations.</t>
        </is>
      </c>
      <c r="AB16" s="38" t="inlineStr">
        <is>
          <t>SIEM / centralized log forwarding integration; audit log retention policies; user privacy controls for diagnostic logging.</t>
        </is>
      </c>
      <c r="AC16" s="50" t="inlineStr">
        <is>
          <t>High</t>
        </is>
      </c>
      <c r="AD16" s="46" t="inlineStr">
        <is>
          <t>https://eur-lex.europa.eu/eli/reg/2024/2847/oj</t>
        </is>
      </c>
      <c r="AE16" s="38" t="inlineStr">
        <is>
          <t>Logs containing personal data must comply with GDPR proportionality while maintaining forensic readiness under CRA and NIS2.</t>
        </is>
      </c>
    </row>
    <row r="17" ht="65" customHeight="1">
      <c r="A17" s="47" t="inlineStr">
        <is>
          <t>CRA-REQ-TECH-13</t>
        </is>
      </c>
      <c r="B17" s="48" t="inlineStr">
        <is>
          <t>Annex I, Part I, point (2)(m)</t>
        </is>
      </c>
      <c r="C17" s="9" t="inlineStr">
        <is>
          <t>Secure Decommissioning &amp; Permanent Data Erasure</t>
        </is>
      </c>
      <c r="D17" s="9" t="inlineStr">
        <is>
          <t>Products with digital elements shall provide the possibility for users to permanently and securely erase all data and configurations, including any integrated remote data processing solutions, prior to decommissioning or transferring the product.</t>
        </is>
      </c>
      <c r="E17" s="48" t="inlineStr">
        <is>
          <t>Product cybersecurity</t>
        </is>
      </c>
      <c r="F17" s="39" t="inlineStr">
        <is>
          <t>Mandatory (Applies to all products storing user data, credentials, or proprietary configurations)</t>
        </is>
      </c>
      <c r="G17" s="48" t="inlineStr">
        <is>
          <t>Product Security Engineer, Firmware Lead, DPO</t>
        </is>
      </c>
      <c r="H17" s="41" t="inlineStr">
        <is>
          <t>Supporting</t>
        </is>
      </c>
      <c r="I17" s="40" t="inlineStr">
        <is>
          <t>Yes</t>
        </is>
      </c>
      <c r="J17" s="41" t="inlineStr">
        <is>
          <t>Supporting</t>
        </is>
      </c>
      <c r="K17" s="40" t="inlineStr">
        <is>
          <t>Yes</t>
        </is>
      </c>
      <c r="L17" s="40" t="inlineStr">
        <is>
          <t>Yes</t>
        </is>
      </c>
      <c r="M17" s="9" t="inlineStr">
        <is>
          <t>Provide an accessible, documented secure data wipe / sanitization routine adhering to NIST SP 800-88 Rev. 1 or IEEE 2883-2022 standards. The routine must overwrite non-volatile storage, scrub cryptographic keys, revoke cloud session tokens, and de-register associated Remote Data Processing Solutions (RDPS).</t>
        </is>
      </c>
      <c r="N17" s="9" t="inlineStr">
        <is>
          <t>Cryptographic erase (crypto-shredding) implementation; NIST SP 800-88 Purge/Clear automation; RDPS cloud tenant de-provisioning API; decommissioning verification checklist.</t>
        </is>
      </c>
      <c r="O17" s="9" t="inlineStr">
        <is>
          <t>Data Sanitization &amp; Decommissioning Architecture; NIST SP 800-88 Data Erasure Verification Test Report; DPIA Data Disposal Sign-off; Customer Decommissioning Guide (Annex II).</t>
        </is>
      </c>
      <c r="P17" s="9" t="inlineStr">
        <is>
          <t>Data erasure permanently destroys cryptographic keys and storage blocks; zero recoverable sensitive data post-wipe; cloud backend associations terminated.</t>
        </is>
      </c>
      <c r="Q17" s="42" t="inlineStr">
        <is>
          <t>None</t>
        </is>
      </c>
      <c r="R17" s="42" t="inlineStr">
        <is>
          <t>None</t>
        </is>
      </c>
      <c r="S17" s="43" t="inlineStr">
        <is>
          <t>Partial</t>
        </is>
      </c>
      <c r="T17" s="42" t="inlineStr">
        <is>
          <t>None</t>
        </is>
      </c>
      <c r="U17" s="44" t="inlineStr">
        <is>
          <t>Full</t>
        </is>
      </c>
      <c r="V17" s="43" t="inlineStr">
        <is>
          <t>Partial</t>
        </is>
      </c>
      <c r="W17" s="42" t="inlineStr">
        <is>
          <t>None</t>
        </is>
      </c>
      <c r="X17" s="42" t="inlineStr">
        <is>
          <t>None</t>
        </is>
      </c>
      <c r="Y17" s="42" t="inlineStr">
        <is>
          <t>None</t>
        </is>
      </c>
      <c r="Z17" s="42" t="inlineStr">
        <is>
          <t>None</t>
        </is>
      </c>
      <c r="AA17" s="9" t="inlineStr">
        <is>
          <t>Automated scanning tools cannot test physical or cryptographic memory sanitization. DPIA establishes erasure compliance; Penetration testing / forensic recovery tests verify absence of residual data.</t>
        </is>
      </c>
      <c r="AB17" s="9" t="inlineStr">
        <is>
          <t>Cryptographic erasure mechanism; physical flash sanitization testing; customer decommissioning SOP.</t>
        </is>
      </c>
      <c r="AC17" s="51" t="inlineStr">
        <is>
          <t>Medium</t>
        </is>
      </c>
      <c r="AD17" s="49" t="inlineStr">
        <is>
          <t>https://eur-lex.europa.eu/eli/reg/2024/2847/oj</t>
        </is>
      </c>
      <c r="AE17" s="9" t="inlineStr">
        <is>
          <t>Critical for enterprise B2B products being retired, returned, or transferred between commercial entities to prevent residual data leaks.</t>
        </is>
      </c>
    </row>
    <row r="18" ht="65" customHeight="1">
      <c r="A18" s="36" t="inlineStr">
        <is>
          <t>CRA-REQ-VULN-01</t>
        </is>
      </c>
      <c r="B18" s="37" t="inlineStr">
        <is>
          <t>Annex I, Part II, point (1); Art 13(24)</t>
        </is>
      </c>
      <c r="C18" s="38" t="inlineStr">
        <is>
          <t>Continuous Component Identification &amp; Machine-Readable SBOM</t>
        </is>
      </c>
      <c r="D18" s="38" t="inlineStr">
        <is>
          <t>Manufacturers shall identify and document vulnerabilities and components contained in products with digital elements, including by drawing up a Software Bill of Materials (SBOM) in a commonly used and machine-readable format, covering at the very least top-level dependencies.</t>
        </is>
      </c>
      <c r="E18" s="37" t="inlineStr">
        <is>
          <t>Vulnerability handling</t>
        </is>
      </c>
      <c r="F18" s="39" t="inlineStr">
        <is>
          <t>Mandatory (Applies to all products containing third-party or open source software)</t>
        </is>
      </c>
      <c r="G18" s="37" t="inlineStr">
        <is>
          <t>DevSecOps Lead, Lead Software Architect, Release Manager</t>
        </is>
      </c>
      <c r="H18" s="41" t="inlineStr">
        <is>
          <t>Supporting</t>
        </is>
      </c>
      <c r="I18" s="40" t="inlineStr">
        <is>
          <t>Yes</t>
        </is>
      </c>
      <c r="J18" s="40" t="inlineStr">
        <is>
          <t>Yes</t>
        </is>
      </c>
      <c r="K18" s="40" t="inlineStr">
        <is>
          <t>Yes</t>
        </is>
      </c>
      <c r="L18" s="40" t="inlineStr">
        <is>
          <t>Yes</t>
        </is>
      </c>
      <c r="M18" s="38" t="inlineStr">
        <is>
          <t>Integrate automated SBOM generation into CI/CD build pipelines using standard formats (CycloneDX v1.5/1.6 or SPDX v2.3/v3.0). Capture direct and transitive dependencies, package hashes, licenses, and suppliers. Ingest generated SBOMs into Dependency-Track or Black Duck for continuous post-market vulnerability monitoring.</t>
        </is>
      </c>
      <c r="N18" s="38" t="inlineStr">
        <is>
          <t>Automated build-time SBOM generators (cdxgen, syft, Black Duck Detect); continuous SBOM management platform (Dependency-Track); SBOM archive repository; automated delta checking between releases.</t>
        </is>
      </c>
      <c r="O18" s="38" t="inlineStr">
        <is>
          <t>Machine-readable SBOM files (CycloneDX JSON / SPDX XML) for every released build; Dependency-Track component inventory; CI/CD SBOM generation build logs.</t>
        </is>
      </c>
      <c r="P18" s="38" t="inlineStr">
        <is>
          <t>Every production release artifact is accompanied by a cryptographically signed, machine-readable SBOM covering 100% of direct dependencies and known transitives; verified by Dependency-Track / Black Duck.</t>
        </is>
      </c>
      <c r="Q18" s="42" t="inlineStr">
        <is>
          <t>None</t>
        </is>
      </c>
      <c r="R18" s="44" t="inlineStr">
        <is>
          <t>Full</t>
        </is>
      </c>
      <c r="S18" s="42" t="inlineStr">
        <is>
          <t>None</t>
        </is>
      </c>
      <c r="T18" s="42" t="inlineStr">
        <is>
          <t>None</t>
        </is>
      </c>
      <c r="U18" s="42" t="inlineStr">
        <is>
          <t>None</t>
        </is>
      </c>
      <c r="V18" s="42" t="inlineStr">
        <is>
          <t>None</t>
        </is>
      </c>
      <c r="W18" s="44" t="inlineStr">
        <is>
          <t>Full</t>
        </is>
      </c>
      <c r="X18" s="44" t="inlineStr">
        <is>
          <t>Full</t>
        </is>
      </c>
      <c r="Y18" s="42" t="inlineStr">
        <is>
          <t>None</t>
        </is>
      </c>
      <c r="Z18" s="42" t="inlineStr">
        <is>
          <t>None</t>
        </is>
      </c>
      <c r="AA18" s="38" t="inlineStr">
        <is>
          <t>SonarQube, Coverity, Nessus, and Pentest do not generate or manage machine-readable SBOMs. Black Duck and Nexus IQ generate SBOMs; Dependency-Track provides dedicated ingestion and continuous lifecycle vulnerability analysis.</t>
        </is>
      </c>
      <c r="AB18" s="38" t="inlineStr">
        <is>
          <t>Centralized SBOM repository; automated signing of SBOMs (Cosign/Sigstore); market surveillance export procedure.</t>
        </is>
      </c>
      <c r="AC18" s="45" t="inlineStr">
        <is>
          <t>Critical</t>
        </is>
      </c>
      <c r="AD18" s="46" t="inlineStr">
        <is>
          <t>https://eur-lex.europa.eu/eli/reg/2024/2847/oj</t>
        </is>
      </c>
      <c r="AE18" s="38" t="inlineStr">
        <is>
          <t>Under Art 13(24), manufacturers must supply the machine-readable SBOM to national market surveillance authorities upon reasoned request without undue delay.</t>
        </is>
      </c>
    </row>
    <row r="19" ht="65" customHeight="1">
      <c r="A19" s="47" t="inlineStr">
        <is>
          <t>CRA-REQ-VULN-02</t>
        </is>
      </c>
      <c r="B19" s="48" t="inlineStr">
        <is>
          <t>Annex I, Part II, point (2); Art 13(10)</t>
        </is>
      </c>
      <c r="C19" s="9" t="inlineStr">
        <is>
          <t>Vulnerability Remediation Without Delay via Security Updates</t>
        </is>
      </c>
      <c r="D19" s="9" t="inlineStr">
        <is>
          <t>In relation to the risks identified, manufacturers shall address and remediate vulnerabilities without delay, including by providing security updates, and where applicable, automatic security updates.</t>
        </is>
      </c>
      <c r="E19" s="48" t="inlineStr">
        <is>
          <t>Vulnerability handling</t>
        </is>
      </c>
      <c r="F19" s="39" t="inlineStr">
        <is>
          <t>Mandatory (Binding operational duty across the entire declared support period)</t>
        </is>
      </c>
      <c r="G19" s="48" t="inlineStr">
        <is>
          <t>Product Security Incident Response Team (PSIRT), Sustaining Engineering Lead</t>
        </is>
      </c>
      <c r="H19" s="41" t="inlineStr">
        <is>
          <t>Supporting</t>
        </is>
      </c>
      <c r="I19" s="41" t="inlineStr">
        <is>
          <t>Supporting</t>
        </is>
      </c>
      <c r="J19" s="40" t="inlineStr">
        <is>
          <t>Yes</t>
        </is>
      </c>
      <c r="K19" s="40" t="inlineStr">
        <is>
          <t>Yes</t>
        </is>
      </c>
      <c r="L19" s="40" t="inlineStr">
        <is>
          <t>Yes</t>
        </is>
      </c>
      <c r="M19" s="9" t="inlineStr">
        <is>
          <t>Establish a formalized PSIRT vulnerability remediation SLA: Critical CVEs triaged within 24 hours, patch released within 7-14 calendar days; High CVEs within 30 days. Maintain backporting capability for supported release branches. Deliver patches as modular, standalone security updates.</t>
        </is>
      </c>
      <c r="N19" s="9" t="inlineStr">
        <is>
          <t>PSIRT remediation runbook; automated CVE triage alerts; branch maintenance policies for supported versions; fast-track emergency CI/CD release pipeline.</t>
        </is>
      </c>
      <c r="O19" s="9" t="inlineStr">
        <is>
          <t>PSIRT Ticket Tracking Logs; Vulnerability Triage Records; Emergency Patch Release Notes; Time-to-Remediate (MTTR) Compliance Metrics.</t>
        </is>
      </c>
      <c r="P19" s="9" t="inlineStr">
        <is>
          <t>Documented adherence to vulnerability remediation SLAs; 100% of identified exploitable vulnerabilities addressed via patch or verified workaround within SLA windows.</t>
        </is>
      </c>
      <c r="Q19" s="42" t="inlineStr">
        <is>
          <t>None</t>
        </is>
      </c>
      <c r="R19" s="43" t="inlineStr">
        <is>
          <t>Partial</t>
        </is>
      </c>
      <c r="S19" s="42" t="inlineStr">
        <is>
          <t>None</t>
        </is>
      </c>
      <c r="T19" s="42" t="inlineStr">
        <is>
          <t>None</t>
        </is>
      </c>
      <c r="U19" s="42" t="inlineStr">
        <is>
          <t>None</t>
        </is>
      </c>
      <c r="V19" s="42" t="inlineStr">
        <is>
          <t>None</t>
        </is>
      </c>
      <c r="W19" s="43" t="inlineStr">
        <is>
          <t>Partial</t>
        </is>
      </c>
      <c r="X19" s="43" t="inlineStr">
        <is>
          <t>Partial</t>
        </is>
      </c>
      <c r="Y19" s="42" t="inlineStr">
        <is>
          <t>None</t>
        </is>
      </c>
      <c r="Z19" s="42" t="inlineStr">
        <is>
          <t>None</t>
        </is>
      </c>
      <c r="AA19" s="9" t="inlineStr">
        <is>
          <t>Tools detect vulnerabilities; they do not write patches, manage engineering sprints, or execute release pipelines. Nexus IQ and Black Duck provide automated PR guidance; Dependency-Track tracks remediation status.</t>
        </is>
      </c>
      <c r="AB19" s="9" t="inlineStr">
        <is>
          <t>Dedicated PSIRT team; emergency patch release pipeline; contractual SLA monitoring; engineering backport capacity.</t>
        </is>
      </c>
      <c r="AC19" s="45" t="inlineStr">
        <is>
          <t>Critical</t>
        </is>
      </c>
      <c r="AD19" s="49" t="inlineStr">
        <is>
          <t>https://eur-lex.europa.eu/eli/reg/2024/2847/oj</t>
        </is>
      </c>
      <c r="AE19" s="9" t="inlineStr">
        <is>
          <t>Failure to address known exploitable vulnerabilities without delay constitutes a direct violation of Annex I, Part II, incurring fines under Art 64.</t>
        </is>
      </c>
    </row>
    <row r="20" ht="65" customHeight="1">
      <c r="A20" s="36" t="inlineStr">
        <is>
          <t>CRA-REQ-VULN-03</t>
        </is>
      </c>
      <c r="B20" s="37" t="inlineStr">
        <is>
          <t>Annex I, Part II, point (3)</t>
        </is>
      </c>
      <c r="C20" s="38" t="inlineStr">
        <is>
          <t>Regular Security Testing, Verification &amp; Attack Surface Review</t>
        </is>
      </c>
      <c r="D20" s="38" t="inlineStr">
        <is>
          <t>Manufacturers shall apply effective and regular tests and reviews of the security of the product with digital elements, including during its development and throughout the support period.</t>
        </is>
      </c>
      <c r="E20" s="37" t="inlineStr">
        <is>
          <t>Vulnerability handling</t>
        </is>
      </c>
      <c r="F20" s="39" t="inlineStr">
        <is>
          <t>Mandatory (Continuous across development and post-market support phases)</t>
        </is>
      </c>
      <c r="G20" s="37" t="inlineStr">
        <is>
          <t>DevSecOps Lead, Security QA Lead, Third-Party Pentest Firm</t>
        </is>
      </c>
      <c r="H20" s="41" t="inlineStr">
        <is>
          <t>Supporting</t>
        </is>
      </c>
      <c r="I20" s="40" t="inlineStr">
        <is>
          <t>Yes</t>
        </is>
      </c>
      <c r="J20" s="40" t="inlineStr">
        <is>
          <t>Yes</t>
        </is>
      </c>
      <c r="K20" s="40" t="inlineStr">
        <is>
          <t>Yes</t>
        </is>
      </c>
      <c r="L20" s="40" t="inlineStr">
        <is>
          <t>Yes</t>
        </is>
      </c>
      <c r="M20" s="38" t="inlineStr">
        <is>
          <t>Establish a multi-layered verification strategy combining automated continuous testing (SAST, SCA, container scanning) in daily CI/CD with periodic deep dynamic testing (DAST) and annual independent third-party penetration testing. Re-test immediately upon significant architectural changes.</t>
        </is>
      </c>
      <c r="N20" s="38" t="inlineStr">
        <is>
          <t>CI/CD automated security testing pipelines; scheduled bi-weekly Nessus/Cyberwatch scans; automated DAST regression suites; annual third-party penetration test engagements.</t>
        </is>
      </c>
      <c r="O20" s="38" t="inlineStr">
        <is>
          <t>Annual Penetration Testing Reports; CI/CD Automated Test Execution Logs; DAST Scan Run Logs; Nessus/Cyberwatch Infrastructure Scan Reports.</t>
        </is>
      </c>
      <c r="P20" s="38" t="inlineStr">
        <is>
          <t>All scheduled scans and tests executed according to calendar; zero unaddressed High/Critical findings past remediation SLA; independent test re-validation sign-off.</t>
        </is>
      </c>
      <c r="Q20" s="43" t="inlineStr">
        <is>
          <t>Partial</t>
        </is>
      </c>
      <c r="R20" s="43" t="inlineStr">
        <is>
          <t>Partial</t>
        </is>
      </c>
      <c r="S20" s="44" t="inlineStr">
        <is>
          <t>Full</t>
        </is>
      </c>
      <c r="T20" s="43" t="inlineStr">
        <is>
          <t>Partial</t>
        </is>
      </c>
      <c r="U20" s="42" t="inlineStr">
        <is>
          <t>None</t>
        </is>
      </c>
      <c r="V20" s="43" t="inlineStr">
        <is>
          <t>Partial</t>
        </is>
      </c>
      <c r="W20" s="43" t="inlineStr">
        <is>
          <t>Partial</t>
        </is>
      </c>
      <c r="X20" s="43" t="inlineStr">
        <is>
          <t>Partial</t>
        </is>
      </c>
      <c r="Y20" s="43" t="inlineStr">
        <is>
          <t>Partial</t>
        </is>
      </c>
      <c r="Z20" s="43" t="inlineStr">
        <is>
          <t>Partial</t>
        </is>
      </c>
      <c r="AA20" s="38" t="inlineStr">
        <is>
          <t>No single tool covers all testing dimensions. Full compliance requires an integrated toolchain combining SAST (Coverity/SonarQube), SCA (Black Duck/Nexus), DAST (Burp/ZAP), and manual Penetration Testing.</t>
        </is>
      </c>
      <c r="AB20" s="38" t="inlineStr">
        <is>
          <t>Annual third-party security audit budget; automated regression testing suites; DevSecOps pipeline orchestrator.</t>
        </is>
      </c>
      <c r="AC20" s="50" t="inlineStr">
        <is>
          <t>High</t>
        </is>
      </c>
      <c r="AD20" s="46" t="inlineStr">
        <is>
          <t>https://eur-lex.europa.eu/eli/reg/2024/2847/oj</t>
        </is>
      </c>
      <c r="AE20" s="38" t="inlineStr">
        <is>
          <t>Testing records must be systematically cataloged and retained as part of the Annex VII technical documentation.</t>
        </is>
      </c>
    </row>
    <row r="21" ht="65" customHeight="1">
      <c r="A21" s="47" t="inlineStr">
        <is>
          <t>CRA-REQ-VULN-04</t>
        </is>
      </c>
      <c r="B21" s="48" t="inlineStr">
        <is>
          <t>Annex I, Part II, point (4)</t>
        </is>
      </c>
      <c r="C21" s="9" t="inlineStr">
        <is>
          <t>Public Disclosure of Remediated Vulnerabilities (Security Advisories)</t>
        </is>
      </c>
      <c r="D21" s="9" t="inlineStr">
        <is>
          <t>Once a security update has been made available, manufacturers shall publicly disclose information about the fixed vulnerabilities, including a description, information on how to obtain the update, and the severity rating.</t>
        </is>
      </c>
      <c r="E21" s="48" t="inlineStr">
        <is>
          <t>Vulnerability handling</t>
        </is>
      </c>
      <c r="F21" s="39" t="inlineStr">
        <is>
          <t>Mandatory (Mandatory for all publicly released security patches; timing must coordinate with update availability)</t>
        </is>
      </c>
      <c r="G21" s="48" t="inlineStr">
        <is>
          <t>PSIRT Lead, Technical Communications, Legal / Compliance</t>
        </is>
      </c>
      <c r="H21" s="52" t="inlineStr">
        <is>
          <t>No</t>
        </is>
      </c>
      <c r="I21" s="52" t="inlineStr">
        <is>
          <t>No</t>
        </is>
      </c>
      <c r="J21" s="41" t="inlineStr">
        <is>
          <t>Supporting</t>
        </is>
      </c>
      <c r="K21" s="40" t="inlineStr">
        <is>
          <t>Yes</t>
        </is>
      </c>
      <c r="L21" s="40" t="inlineStr">
        <is>
          <t>Yes</t>
        </is>
      </c>
      <c r="M21" s="9" t="inlineStr">
        <is>
          <t>Publish standardized security advisories (Common Security Advisory Framework - CSAF 2.0 JSON and human-readable HTML) on a dedicated security portal. Disclose CVE identifier, CVSS v3.1/v4.0 score and vector, affected product versions, remediated versions, and workarounds for unpatched systems.</t>
        </is>
      </c>
      <c r="N21" s="9" t="inlineStr">
        <is>
          <t>CSAF advisory authoring pipeline; public security portal (`security.company.com/advisories`); RSS/email alert distribution feed; CVE Numbering Authority (CNA) coordination.</t>
        </is>
      </c>
      <c r="O21" s="9" t="inlineStr">
        <is>
          <t>Published Security Advisories (HTML and CSAF 2.0 JSON); CVE Registry Records; Customer Advisory Email Broadcast Logs.</t>
        </is>
      </c>
      <c r="P21" s="9" t="inlineStr">
        <is>
          <t>Advisory published synchronously with or immediately following patch availability; CSAF format validates against OASIS schema; accurate CVE and CVSS ratings included.</t>
        </is>
      </c>
      <c r="Q21" s="42" t="inlineStr">
        <is>
          <t>None</t>
        </is>
      </c>
      <c r="R21" s="42" t="inlineStr">
        <is>
          <t>None</t>
        </is>
      </c>
      <c r="S21" s="42" t="inlineStr">
        <is>
          <t>None</t>
        </is>
      </c>
      <c r="T21" s="42" t="inlineStr">
        <is>
          <t>None</t>
        </is>
      </c>
      <c r="U21" s="42" t="inlineStr">
        <is>
          <t>None</t>
        </is>
      </c>
      <c r="V21" s="42" t="inlineStr">
        <is>
          <t>None</t>
        </is>
      </c>
      <c r="W21" s="42" t="inlineStr">
        <is>
          <t>None</t>
        </is>
      </c>
      <c r="X21" s="42" t="inlineStr">
        <is>
          <t>None</t>
        </is>
      </c>
      <c r="Y21" s="42" t="inlineStr">
        <is>
          <t>None</t>
        </is>
      </c>
      <c r="Z21" s="42" t="inlineStr">
        <is>
          <t>None</t>
        </is>
      </c>
      <c r="AA21" s="9" t="inlineStr">
        <is>
          <t>Vulnerability scanners do not author, review, or publish legal security advisories or operate CSAF advisory portals. Entirely an organizational PSIRT and communications process.</t>
        </is>
      </c>
      <c r="AB21" s="9" t="inlineStr">
        <is>
          <t>CSAF 2.0 automation toolchain; CVE Numbering Authority (CNA) partnership or coordination; PSIRT advisory review workflow.</t>
        </is>
      </c>
      <c r="AC21" s="50" t="inlineStr">
        <is>
          <t>High</t>
        </is>
      </c>
      <c r="AD21" s="49" t="inlineStr">
        <is>
          <t>https://eur-lex.europa.eu/eli/reg/2024/2847/oj</t>
        </is>
      </c>
      <c r="AE21" s="9" t="inlineStr">
        <is>
          <t>Public disclosure must not precede update availability to prevent weaponization against unpatched users, unless coordinated with CSIRTs.</t>
        </is>
      </c>
    </row>
    <row r="22" ht="65" customHeight="1">
      <c r="A22" s="36" t="inlineStr">
        <is>
          <t>CRA-REQ-VULN-05</t>
        </is>
      </c>
      <c r="B22" s="37" t="inlineStr">
        <is>
          <t>Annex I, Part II, point (5); Art 13(19)</t>
        </is>
      </c>
      <c r="C22" s="38" t="inlineStr">
        <is>
          <t>Coordinated Vulnerability Disclosure (CVD) Policy</t>
        </is>
      </c>
      <c r="D22" s="38" t="inlineStr">
        <is>
          <t>Manufacturers shall put in place and enforce a policy on coordinated vulnerability disclosure, aligned with international standards such as ISO/IEC 29147 and ISO/IEC 30111.</t>
        </is>
      </c>
      <c r="E22" s="37" t="inlineStr">
        <is>
          <t>Vulnerability handling</t>
        </is>
      </c>
      <c r="F22" s="39" t="inlineStr">
        <is>
          <t>Mandatory (Must be publicly accessible and operational before placing product on market)</t>
        </is>
      </c>
      <c r="G22" s="37" t="inlineStr">
        <is>
          <t>CISO, PSIRT Lead, Legal Counsel</t>
        </is>
      </c>
      <c r="H22" s="41" t="inlineStr">
        <is>
          <t>Supporting</t>
        </is>
      </c>
      <c r="I22" s="41" t="inlineStr">
        <is>
          <t>Supporting</t>
        </is>
      </c>
      <c r="J22" s="52" t="inlineStr">
        <is>
          <t>No</t>
        </is>
      </c>
      <c r="K22" s="40" t="inlineStr">
        <is>
          <t>Yes</t>
        </is>
      </c>
      <c r="L22" s="40" t="inlineStr">
        <is>
          <t>Yes</t>
        </is>
      </c>
      <c r="M22" s="38" t="inlineStr">
        <is>
          <t>Draft, approve, and publish a formal Coordinated Vulnerability Disclosure Policy aligned with ISO/IEC 29147. Specify scope of in-scope products, safe harbor protections for good-faith security researchers, reporting instructions, PGP communication keys, expected triage response times, and disclosure embargo terms.</t>
        </is>
      </c>
      <c r="N22" s="38" t="inlineStr">
        <is>
          <t>Formal CVD policy document approved by CISO and Legal; public web page (`/security/disclosure`); PGP key infrastructure; safe harbor legal commitment.</t>
        </is>
      </c>
      <c r="O22" s="38" t="inlineStr">
        <is>
          <t>Published CVD Policy Document; PGP Public Key in Registry; ISO/IEC 29147 Alignment Matrix; Legal Safe Harbor Clause.</t>
        </is>
      </c>
      <c r="P22" s="38" t="inlineStr">
        <is>
          <t>CVD policy accessible publicly without authentication; clear scope and safe harbor terms; valid PGP key published; response timeline commitments defined.</t>
        </is>
      </c>
      <c r="Q22" s="42" t="inlineStr">
        <is>
          <t>None</t>
        </is>
      </c>
      <c r="R22" s="42" t="inlineStr">
        <is>
          <t>None</t>
        </is>
      </c>
      <c r="S22" s="42" t="inlineStr">
        <is>
          <t>None</t>
        </is>
      </c>
      <c r="T22" s="42" t="inlineStr">
        <is>
          <t>None</t>
        </is>
      </c>
      <c r="U22" s="42" t="inlineStr">
        <is>
          <t>None</t>
        </is>
      </c>
      <c r="V22" s="42" t="inlineStr">
        <is>
          <t>None</t>
        </is>
      </c>
      <c r="W22" s="42" t="inlineStr">
        <is>
          <t>None</t>
        </is>
      </c>
      <c r="X22" s="42" t="inlineStr">
        <is>
          <t>None</t>
        </is>
      </c>
      <c r="Y22" s="42" t="inlineStr">
        <is>
          <t>None</t>
        </is>
      </c>
      <c r="Z22" s="42" t="inlineStr">
        <is>
          <t>None</t>
        </is>
      </c>
      <c r="AA22" s="38" t="inlineStr">
        <is>
          <t>Zero automated tool coverage. CVD policy is a governance, legal, and operational framework.</t>
        </is>
      </c>
      <c r="AB22" s="38" t="inlineStr">
        <is>
          <t>CVD Policy Authoring &amp; Legal Review; alignment with ISO/IEC 29147; integration with Bug Bounty / Researcher platforms (HackerOne/Bugcrowd).</t>
        </is>
      </c>
      <c r="AC22" s="50" t="inlineStr">
        <is>
          <t>High</t>
        </is>
      </c>
      <c r="AD22" s="46" t="inlineStr">
        <is>
          <t>https://eur-lex.europa.eu/eli/reg/2024/2847/oj</t>
        </is>
      </c>
      <c r="AE22" s="38" t="inlineStr">
        <is>
          <t>CRA explicitly cites CVD as a key mechanism for collaborative security across the Union.</t>
        </is>
      </c>
    </row>
    <row r="23" ht="65" customHeight="1">
      <c r="A23" s="47" t="inlineStr">
        <is>
          <t>CRA-REQ-VULN-06</t>
        </is>
      </c>
      <c r="B23" s="48" t="inlineStr">
        <is>
          <t>Annex I, Part II, point (6); Art 13(19)</t>
        </is>
      </c>
      <c r="C23" s="9" t="inlineStr">
        <is>
          <t>Public External Vulnerability Reporting Contact Point</t>
        </is>
      </c>
      <c r="D23" s="9" t="inlineStr">
        <is>
          <t>Manufacturers shall facilitate the sharing of information about potential vulnerabilities by providing a contact address for the reporting of vulnerabilities discovered in the product with digital elements.</t>
        </is>
      </c>
      <c r="E23" s="48" t="inlineStr">
        <is>
          <t>Vulnerability handling</t>
        </is>
      </c>
      <c r="F23" s="39" t="inlineStr">
        <is>
          <t>Mandatory (Single contact point must be active 24/7/365)</t>
        </is>
      </c>
      <c r="G23" s="48" t="inlineStr">
        <is>
          <t>PSIRT Lead, Webmaster, Security Operations Lead</t>
        </is>
      </c>
      <c r="H23" s="52" t="inlineStr">
        <is>
          <t>No</t>
        </is>
      </c>
      <c r="I23" s="52" t="inlineStr">
        <is>
          <t>No</t>
        </is>
      </c>
      <c r="J23" s="41" t="inlineStr">
        <is>
          <t>Supporting</t>
        </is>
      </c>
      <c r="K23" s="40" t="inlineStr">
        <is>
          <t>Yes</t>
        </is>
      </c>
      <c r="L23" s="40" t="inlineStr">
        <is>
          <t>Yes</t>
        </is>
      </c>
      <c r="M23" s="9" t="inlineStr">
        <is>
          <t>Deploy RFC 9116 compliant `security.txt` file at `/.well-known/security.txt` and `/security.txt` on all public domains. Maintain a dedicated, monitored email intake inbox (`security@company.com`) backed by an encrypted intake form or bug bounty portal. Provide public PGP encryption keys for secure submissions.</t>
        </is>
      </c>
      <c r="N23" s="9" t="inlineStr">
        <is>
          <t>RFC 9116 `security.txt` deployment; dedicated PSIRT ticketing queue; 24/7 inbox monitoring with automated acknowledgment; published PGP encryption key.</t>
        </is>
      </c>
      <c r="O23" s="9" t="inlineStr">
        <is>
          <t>RFC 9116 `security.txt` file URL and content; PSIRT Intake Queue Architecture; First-Response SLA Tracking Logs; Published PGP Public Key.</t>
        </is>
      </c>
      <c r="P23" s="9" t="inlineStr">
        <is>
          <t>`security.txt` validates against RFC 9116 schema; submission to `security@` receives automated acknowledgment within 24 hours; researcher reports routed to PSIRT ticketing.</t>
        </is>
      </c>
      <c r="Q23" s="42" t="inlineStr">
        <is>
          <t>None</t>
        </is>
      </c>
      <c r="R23" s="42" t="inlineStr">
        <is>
          <t>None</t>
        </is>
      </c>
      <c r="S23" s="42" t="inlineStr">
        <is>
          <t>None</t>
        </is>
      </c>
      <c r="T23" s="42" t="inlineStr">
        <is>
          <t>None</t>
        </is>
      </c>
      <c r="U23" s="42" t="inlineStr">
        <is>
          <t>None</t>
        </is>
      </c>
      <c r="V23" s="42" t="inlineStr">
        <is>
          <t>None</t>
        </is>
      </c>
      <c r="W23" s="42" t="inlineStr">
        <is>
          <t>None</t>
        </is>
      </c>
      <c r="X23" s="42" t="inlineStr">
        <is>
          <t>None</t>
        </is>
      </c>
      <c r="Y23" s="42" t="inlineStr">
        <is>
          <t>None</t>
        </is>
      </c>
      <c r="Z23" s="42" t="inlineStr">
        <is>
          <t>None</t>
        </is>
      </c>
      <c r="AA23" s="9" t="inlineStr">
        <is>
          <t>Zero tool coverage. This is an operational intake channel and communications endpoint.</t>
        </is>
      </c>
      <c r="AB23" s="9" t="inlineStr">
        <is>
          <t>RFC 9116 `security.txt` web deployment; PSIRT ticketing system integration (Jira Service Desk / ServiceNow); PGP key rotation procedure.</t>
        </is>
      </c>
      <c r="AC23" s="50" t="inlineStr">
        <is>
          <t>High</t>
        </is>
      </c>
      <c r="AD23" s="49" t="inlineStr">
        <is>
          <t>https://eur-lex.europa.eu/eli/reg/2024/2847/oj</t>
        </is>
      </c>
      <c r="AE23" s="9" t="inlineStr">
        <is>
          <t>Contact point must be documented in Annex II Instructions for Use supplied with the product.</t>
        </is>
      </c>
    </row>
    <row r="24" ht="65" customHeight="1">
      <c r="A24" s="36" t="inlineStr">
        <is>
          <t>CRA-REQ-VULN-07</t>
        </is>
      </c>
      <c r="B24" s="37" t="inlineStr">
        <is>
          <t>Annex I, Part II, point (7)</t>
        </is>
      </c>
      <c r="C24" s="38" t="inlineStr">
        <is>
          <t>Cryptographically Secured Update Distribution Infrastructure</t>
        </is>
      </c>
      <c r="D24" s="38" t="inlineStr">
        <is>
          <t>Manufacturers shall ensure that security updates are distributed securely, including by being cryptographically signed, distributed through authentic channels, and protected against manipulation or downgrade attacks.</t>
        </is>
      </c>
      <c r="E24" s="37" t="inlineStr">
        <is>
          <t>Vulnerability handling</t>
        </is>
      </c>
      <c r="F24" s="39" t="inlineStr">
        <is>
          <t>Mandatory (All update release channels, binaries, and firmware distribution servers)</t>
        </is>
      </c>
      <c r="G24" s="37" t="inlineStr">
        <is>
          <t>DevSecOps Lead, Release Manager, Infrastructure Security Lead</t>
        </is>
      </c>
      <c r="H24" s="41" t="inlineStr">
        <is>
          <t>Supporting</t>
        </is>
      </c>
      <c r="I24" s="41" t="inlineStr">
        <is>
          <t>Supporting</t>
        </is>
      </c>
      <c r="J24" s="40" t="inlineStr">
        <is>
          <t>Yes</t>
        </is>
      </c>
      <c r="K24" s="40" t="inlineStr">
        <is>
          <t>Yes</t>
        </is>
      </c>
      <c r="L24" s="40" t="inlineStr">
        <is>
          <t>Yes</t>
        </is>
      </c>
      <c r="M24" s="38" t="inlineStr">
        <is>
          <t>Sign all update packages and binaries using cryptographic keys protected inside hardware security modules (HSM) or cloud KMS (Sigstore / Cosign). Enforce signature verification on client devices prior to installation. Distribute updates over TLS-only CDN channels with mutual TLS or strict certificate pinning. Implement anti-rollback / anti-downgrade monotonic version checks.</t>
        </is>
      </c>
      <c r="N24" s="38" t="inlineStr">
        <is>
          <t>HSM-backed automated code signing in CI/CD; client-side cryptographic signature verification daemon; TLS 1.3 update repository; monotonic counter anti-rollback enforcement.</t>
        </is>
      </c>
      <c r="O24" s="38" t="inlineStr">
        <is>
          <t>Code Signing Architecture &amp; Key Custody Procedure; Client Signature Verification Code Review / Unit Tests; Anti-Downgrade Test Record; Penetration Test Update Tampering Assessment.</t>
        </is>
      </c>
      <c r="P24" s="38" t="inlineStr">
        <is>
          <t>Client device strictly rejects unsigned, modified, or expired update binaries; downgrade to older vulnerable version is rejected; signing keys secured in HSM with split-custody access.</t>
        </is>
      </c>
      <c r="Q24" s="42" t="inlineStr">
        <is>
          <t>None</t>
        </is>
      </c>
      <c r="R24" s="42" t="inlineStr">
        <is>
          <t>None</t>
        </is>
      </c>
      <c r="S24" s="43" t="inlineStr">
        <is>
          <t>Partial</t>
        </is>
      </c>
      <c r="T24" s="42" t="inlineStr">
        <is>
          <t>None</t>
        </is>
      </c>
      <c r="U24" s="42" t="inlineStr">
        <is>
          <t>None</t>
        </is>
      </c>
      <c r="V24" s="43" t="inlineStr">
        <is>
          <t>Partial</t>
        </is>
      </c>
      <c r="W24" s="42" t="inlineStr">
        <is>
          <t>None</t>
        </is>
      </c>
      <c r="X24" s="42" t="inlineStr">
        <is>
          <t>None</t>
        </is>
      </c>
      <c r="Y24" s="42" t="inlineStr">
        <is>
          <t>None</t>
        </is>
      </c>
      <c r="Z24" s="42" t="inlineStr">
        <is>
          <t>None</t>
        </is>
      </c>
      <c r="AA24" s="38" t="inlineStr">
        <is>
          <t>Scanners cannot evaluate PKI signing ceremonies or client verification logic. Penetration testing tests client signature verification bypasses and man-in-the-middle tampering.</t>
        </is>
      </c>
      <c r="AB24" s="38" t="inlineStr">
        <is>
          <t>HSM Key Management infrastructure; update distribution CDN hardening; anti-rollback firmware fuses/counters.</t>
        </is>
      </c>
      <c r="AC24" s="45" t="inlineStr">
        <is>
          <t>Critical</t>
        </is>
      </c>
      <c r="AD24" s="46" t="inlineStr">
        <is>
          <t>https://eur-lex.europa.eu/eli/reg/2024/2847/oj</t>
        </is>
      </c>
      <c r="AE24" s="38" t="inlineStr">
        <is>
          <t>Failure in update security can compromise the entire fleet simultaneously, making this a top priority during conformity assessment.</t>
        </is>
      </c>
    </row>
    <row r="25" ht="65" customHeight="1">
      <c r="A25" s="47" t="inlineStr">
        <is>
          <t>CRA-REQ-VULN-08</t>
        </is>
      </c>
      <c r="B25" s="48" t="inlineStr">
        <is>
          <t>Annex I, Part II, point (8); Art 13(10)</t>
        </is>
      </c>
      <c r="C25" s="9" t="inlineStr">
        <is>
          <t>Free-of-Charge Security Updates &amp; Feature Decoupling</t>
        </is>
      </c>
      <c r="D25" s="9" t="inlineStr">
        <is>
          <t>Manufacturers shall ensure that security updates are made available free of charge throughout the support period, and that security updates are separated from functional updates where technically feasible.</t>
        </is>
      </c>
      <c r="E25" s="48" t="inlineStr">
        <is>
          <t>Vulnerability handling</t>
        </is>
      </c>
      <c r="F25" s="39" t="inlineStr">
        <is>
          <t>Mandatory (Default); Conditional (Narrow contractual waiver permitted for bespoke tailor-made B2B software under Recital 64)</t>
        </is>
      </c>
      <c r="G25" s="48" t="inlineStr">
        <is>
          <t>Product Manager, Finance Director, Legal Counsel, Software Architect</t>
        </is>
      </c>
      <c r="H25" s="40" t="inlineStr">
        <is>
          <t>Yes</t>
        </is>
      </c>
      <c r="I25" s="41" t="inlineStr">
        <is>
          <t>Supporting</t>
        </is>
      </c>
      <c r="J25" s="40" t="inlineStr">
        <is>
          <t>Yes</t>
        </is>
      </c>
      <c r="K25" s="40" t="inlineStr">
        <is>
          <t>Yes</t>
        </is>
      </c>
      <c r="L25" s="40" t="inlineStr">
        <is>
          <t>Yes</t>
        </is>
      </c>
      <c r="M25" s="9" t="inlineStr">
        <is>
          <t>Structure commercial software contracts and pricing models to guarantee free security patches for the full duration of the declared support period. Decouple security patches from commercial feature upgrades in Git branches and release artifacts, enabling users to patch without being forced to license new features.</t>
        </is>
      </c>
      <c r="N25" s="9" t="inlineStr">
        <is>
          <t>Dual-track release branching strategy (LTS security-only branch vs main feature branch); commercial contract terms template; public update repository with unrestricted access for security patches.</t>
        </is>
      </c>
      <c r="O25" s="9" t="inlineStr">
        <is>
          <t>Release Branching Architecture Spec; Standard Commercial Terms &amp; Conditions (CRA Free Update Guarantee); Multi-Year Software Maintenance Financial Model.</t>
        </is>
      </c>
      <c r="P25" s="9" t="inlineStr">
        <is>
          <t>Security patches compile and deploy independently of paid feature releases; customers can download security patches without subscription renewal or paywall.</t>
        </is>
      </c>
      <c r="Q25" s="42" t="inlineStr">
        <is>
          <t>None</t>
        </is>
      </c>
      <c r="R25" s="42" t="inlineStr">
        <is>
          <t>None</t>
        </is>
      </c>
      <c r="S25" s="42" t="inlineStr">
        <is>
          <t>None</t>
        </is>
      </c>
      <c r="T25" s="42" t="inlineStr">
        <is>
          <t>None</t>
        </is>
      </c>
      <c r="U25" s="42" t="inlineStr">
        <is>
          <t>None</t>
        </is>
      </c>
      <c r="V25" s="42" t="inlineStr">
        <is>
          <t>None</t>
        </is>
      </c>
      <c r="W25" s="42" t="inlineStr">
        <is>
          <t>None</t>
        </is>
      </c>
      <c r="X25" s="42" t="inlineStr">
        <is>
          <t>None</t>
        </is>
      </c>
      <c r="Y25" s="42" t="inlineStr">
        <is>
          <t>None</t>
        </is>
      </c>
      <c r="Z25" s="42" t="inlineStr">
        <is>
          <t>None</t>
        </is>
      </c>
      <c r="AA25" s="9" t="inlineStr">
        <is>
          <t>Zero tool coverage. Entirely a commercial, architectural, and contractual obligation.</t>
        </is>
      </c>
      <c r="AB25" s="9" t="inlineStr">
        <is>
          <t>Software release branching policy; commercial contract review; long-term engineering maintenance funding.</t>
        </is>
      </c>
      <c r="AC25" s="50" t="inlineStr">
        <is>
          <t>High</t>
        </is>
      </c>
      <c r="AD25" s="49" t="inlineStr">
        <is>
          <t>https://eur-lex.europa.eu/eli/reg/2024/2847/oj</t>
        </is>
      </c>
      <c r="AE25" s="9" t="inlineStr">
        <is>
          <t>Recital 64 permits custom enterprise software agreements to explicitly negotiate bespoke commercial maintenance terms, provided this is documented in writing.</t>
        </is>
      </c>
    </row>
    <row r="26" ht="65" customHeight="1">
      <c r="A26" s="36" t="inlineStr">
        <is>
          <t>CRA-REQ-MGT-01</t>
        </is>
      </c>
      <c r="B26" s="37" t="inlineStr">
        <is>
          <t>Art 13(2)–(4); Annex VII, point 1(b)</t>
        </is>
      </c>
      <c r="C26" s="38" t="inlineStr">
        <is>
          <t>Cybersecurity Risk Assessment Across Full Product Lifecycle</t>
        </is>
      </c>
      <c r="D26" s="38" t="inlineStr">
        <is>
          <t>Manufacturers shall undertake an assessment of the cybersecurity risks associated with a product with digital elements and take the outcome of that assessment into account during the planning, design, development, production, delivery and maintenance phases, including risks from third-party components.</t>
        </is>
      </c>
      <c r="E26" s="37" t="inlineStr">
        <is>
          <t>Product cybersecurity</t>
        </is>
      </c>
      <c r="F26" s="39" t="inlineStr">
        <is>
          <t>Mandatory (Mandatory statutory prerequisite for Technical Documentation Annex VII and CE marking)</t>
        </is>
      </c>
      <c r="G26" s="37" t="inlineStr">
        <is>
          <t>Lead Security Architect, CISO, Product Manager</t>
        </is>
      </c>
      <c r="H26" s="40" t="inlineStr">
        <is>
          <t>Yes</t>
        </is>
      </c>
      <c r="I26" s="40" t="inlineStr">
        <is>
          <t>Yes</t>
        </is>
      </c>
      <c r="J26" s="41" t="inlineStr">
        <is>
          <t>Supporting</t>
        </is>
      </c>
      <c r="K26" s="41" t="inlineStr">
        <is>
          <t>Supporting</t>
        </is>
      </c>
      <c r="L26" s="40" t="inlineStr">
        <is>
          <t>Yes</t>
        </is>
      </c>
      <c r="M26" s="38" t="inlineStr">
        <is>
          <t>Execute structured Threat Analysis and Risk Analysis (TARA) using STRIDE, PASTA, ISO/IEC 27005, or IEC 62443-4-1 methodologies. Identify operational assets, threat actors, attack surfaces, and third-party dependencies. Document technical and organizational mitigations. Re-evaluate and update the risk assessment at every major release and during post-market maintenance.</t>
        </is>
      </c>
      <c r="N26" s="38" t="inlineStr">
        <is>
          <t>Organizational Risk Assessment Standard; Threat Modeling Software / Templates; Living Cybersecurity Risk Register; annual risk assessment re-certification gate.</t>
        </is>
      </c>
      <c r="O26" s="38" t="inlineStr">
        <is>
          <t>Formal Cybersecurity Risk Assessment Document (Annex VII dossier element); Threat Model Architecture Schemas; Residual Risk Acceptance Sign-off; Third-Party Risk Analysis Appendices.</t>
        </is>
      </c>
      <c r="P26" s="38" t="inlineStr">
        <is>
          <t>Risk assessment covers 100% of functional components and external data interfaces; all High/Critical risks mitigated to acceptable levels; formal annual sign-off by CISO.</t>
        </is>
      </c>
      <c r="Q26" s="42" t="inlineStr">
        <is>
          <t>None</t>
        </is>
      </c>
      <c r="R26" s="42" t="inlineStr">
        <is>
          <t>None</t>
        </is>
      </c>
      <c r="S26" s="43" t="inlineStr">
        <is>
          <t>Partial</t>
        </is>
      </c>
      <c r="T26" s="42" t="inlineStr">
        <is>
          <t>None</t>
        </is>
      </c>
      <c r="U26" s="43" t="inlineStr">
        <is>
          <t>Partial</t>
        </is>
      </c>
      <c r="V26" s="44" t="inlineStr">
        <is>
          <t>Full</t>
        </is>
      </c>
      <c r="W26" s="42" t="inlineStr">
        <is>
          <t>None</t>
        </is>
      </c>
      <c r="X26" s="42" t="inlineStr">
        <is>
          <t>None</t>
        </is>
      </c>
      <c r="Y26" s="42" t="inlineStr">
        <is>
          <t>None</t>
        </is>
      </c>
      <c r="Z26" s="42" t="inlineStr">
        <is>
          <t>None</t>
        </is>
      </c>
      <c r="AA26" s="38" t="inlineStr">
        <is>
          <t>Scanning tools test code syntax and known signatures; they cannot conduct high-level risk assessments. TARA is the dedicated engineering process. Penetration testing supplies empirical validation data.</t>
        </is>
      </c>
      <c r="AB26" s="38" t="inlineStr">
        <is>
          <t>Living Threat Modeling Program; Risk Assessment Methodology standard; Executive Risk Governance Board.</t>
        </is>
      </c>
      <c r="AC26" s="45" t="inlineStr">
        <is>
          <t>Critical</t>
        </is>
      </c>
      <c r="AD26" s="46" t="inlineStr">
        <is>
          <t>https://eur-lex.europa.eu/eli/reg/2024/2847/oj</t>
        </is>
      </c>
      <c r="AE26" s="38" t="inlineStr">
        <is>
          <t>Failure to produce an up-to-date Cybersecurity Risk Assessment invalidates the Annex VII Technical Documentation and exposes the manufacturer to market withdrawal.</t>
        </is>
      </c>
    </row>
    <row r="27" ht="65" customHeight="1">
      <c r="A27" s="47" t="inlineStr">
        <is>
          <t>CRA-REQ-MGT-02</t>
        </is>
      </c>
      <c r="B27" s="48" t="inlineStr">
        <is>
          <t>Art 13(5); Recitals 33–36</t>
        </is>
      </c>
      <c r="C27" s="9" t="inlineStr">
        <is>
          <t>Due Diligence &amp; Security Screening of Third-Party &amp; Open Source Components</t>
        </is>
      </c>
      <c r="D27" s="9" t="inlineStr">
        <is>
          <t>When integrating components sourced from third parties, including open-source software, manufacturers shall exercise due diligence to ensure that those components do not compromise the cybersecurity of the product with digital elements.</t>
        </is>
      </c>
      <c r="E27" s="48" t="inlineStr">
        <is>
          <t>Governance</t>
        </is>
      </c>
      <c r="F27" s="39" t="inlineStr">
        <is>
          <t>Mandatory (Applies to all integrated commercial COTS, third-party libraries, and open-source packages)</t>
        </is>
      </c>
      <c r="G27" s="48" t="inlineStr">
        <is>
          <t>DevSecOps Lead, Procurement Manager, Software Architect</t>
        </is>
      </c>
      <c r="H27" s="40" t="inlineStr">
        <is>
          <t>Yes</t>
        </is>
      </c>
      <c r="I27" s="40" t="inlineStr">
        <is>
          <t>Yes</t>
        </is>
      </c>
      <c r="J27" s="40" t="inlineStr">
        <is>
          <t>Yes</t>
        </is>
      </c>
      <c r="K27" s="41" t="inlineStr">
        <is>
          <t>Supporting</t>
        </is>
      </c>
      <c r="L27" s="40" t="inlineStr">
        <is>
          <t>Yes</t>
        </is>
      </c>
      <c r="M27" s="9" t="inlineStr">
        <is>
          <t>Establish open-source and third-party component selection policies: evaluate repository maintenance health (OpenSSF Scorecard, commit frequency, active maintainers, vulnerability response history), verify license compliance, screen for known vulnerabilities before ingestion, and enforce automated SCA gating in CI/CD.</t>
        </is>
      </c>
      <c r="N27" s="9" t="inlineStr">
        <is>
          <t>Enterprise Open Source Software (OSS) Ingestion Policy; automated SCA pre-merge pull-request gating; internal curated package repository (Artifactory / Nexus Repository); vendor security evaluation questionnaires.</t>
        </is>
      </c>
      <c r="O27" s="9" t="inlineStr">
        <is>
          <t>Third-Party Component Due Diligence Procedure; Black Duck / Nexus IQ Ingestion Scan Records; OpenSSF Scorecard Audit Logs; Approved Component Whitelist.</t>
        </is>
      </c>
      <c r="P27" s="9" t="inlineStr">
        <is>
          <t>Zero unvetted third-party components merged into production builds; all dependencies pass automated SCA security quality gates; high-risk/abandoned libraries rejected.</t>
        </is>
      </c>
      <c r="Q27" s="42" t="inlineStr">
        <is>
          <t>None</t>
        </is>
      </c>
      <c r="R27" s="44" t="inlineStr">
        <is>
          <t>Full</t>
        </is>
      </c>
      <c r="S27" s="42" t="inlineStr">
        <is>
          <t>None</t>
        </is>
      </c>
      <c r="T27" s="42" t="inlineStr">
        <is>
          <t>None</t>
        </is>
      </c>
      <c r="U27" s="42" t="inlineStr">
        <is>
          <t>None</t>
        </is>
      </c>
      <c r="V27" s="43" t="inlineStr">
        <is>
          <t>Partial</t>
        </is>
      </c>
      <c r="W27" s="43" t="inlineStr">
        <is>
          <t>Partial</t>
        </is>
      </c>
      <c r="X27" s="44" t="inlineStr">
        <is>
          <t>Full</t>
        </is>
      </c>
      <c r="Y27" s="42" t="inlineStr">
        <is>
          <t>None</t>
        </is>
      </c>
      <c r="Z27" s="42" t="inlineStr">
        <is>
          <t>None</t>
        </is>
      </c>
      <c r="AA27" s="9" t="inlineStr">
        <is>
          <t>SAST scanners and pentesting do not assess supplier due diligence or package hygiene. Nexus IQ Lifecycle and Black Duck provide the core SCA engines for vetting open-source health, licenses, and CVEs.</t>
        </is>
      </c>
      <c r="AB27" s="9" t="inlineStr">
        <is>
          <t>Curated internal artifact repository; procurement vendor assessment checklist; OpenSSF Scorecard automation.</t>
        </is>
      </c>
      <c r="AC27" s="50" t="inlineStr">
        <is>
          <t>High</t>
        </is>
      </c>
      <c r="AD27" s="49" t="inlineStr">
        <is>
          <t>https://eur-lex.europa.eu/eli/reg/2024/2847/oj</t>
        </is>
      </c>
      <c r="AE27" s="9" t="inlineStr">
        <is>
          <t>Manufacturers retain full legal product liability under CRA even when the vulnerability originates in an unmaintained open-source library.</t>
        </is>
      </c>
    </row>
    <row r="28" ht="65" customHeight="1">
      <c r="A28" s="36" t="inlineStr">
        <is>
          <t>CRA-REQ-MGT-03</t>
        </is>
      </c>
      <c r="B28" s="37" t="inlineStr">
        <is>
          <t>Art 13(6)</t>
        </is>
      </c>
      <c r="C28" s="38" t="inlineStr">
        <is>
          <t>Mandatory Reporting of Vulnerabilities in Upstream Components</t>
        </is>
      </c>
      <c r="D28" s="38" t="inlineStr">
        <is>
          <t>Manufacturers shall, upon identifying a vulnerability in a component, including in an open-source component, integrated in the product with digital elements, report the vulnerability to the person or entity maintaining the component, and address and remediate it.</t>
        </is>
      </c>
      <c r="E28" s="37" t="inlineStr">
        <is>
          <t>Vulnerability handling</t>
        </is>
      </c>
      <c r="F28" s="39" t="inlineStr">
        <is>
          <t>Mandatory (Statutory duty whenever internal security testing discovers a zero-day or unpatched flaw in an upstream component)</t>
        </is>
      </c>
      <c r="G28" s="37" t="inlineStr">
        <is>
          <t>PSIRT Lead, DevSecOps Lead, Open Source Program Office (OSPO)</t>
        </is>
      </c>
      <c r="H28" s="52" t="inlineStr">
        <is>
          <t>No</t>
        </is>
      </c>
      <c r="I28" s="40" t="inlineStr">
        <is>
          <t>Yes</t>
        </is>
      </c>
      <c r="J28" s="41" t="inlineStr">
        <is>
          <t>Supporting</t>
        </is>
      </c>
      <c r="K28" s="41" t="inlineStr">
        <is>
          <t>Supporting</t>
        </is>
      </c>
      <c r="L28" s="40" t="inlineStr">
        <is>
          <t>Yes</t>
        </is>
      </c>
      <c r="M28" s="38" t="inlineStr">
        <is>
          <t>Establish a formalized Upstream Vulnerability Disclosure SOP: when internal testing (fuzzing, code review, pentest) finds a previously undisclosed vulnerability in an upstream COTS or OSS library, responsibly notify the upstream maintainer via their CVD channel, share proof-of-concept and proposed patches, and coordinate public disclosure.</t>
        </is>
      </c>
      <c r="N28" s="38" t="inlineStr">
        <is>
          <t>Upstream Disclosure Operating Procedure; secure PGP communication channels; patch contribution workflow; tracking log of upstream outreach tickets.</t>
        </is>
      </c>
      <c r="O28" s="38" t="inlineStr">
        <is>
          <t>Upstream Vulnerability Disclosure Notifications; GitHub Security Advisory / Email Transmission Records; Upstream Pull Request / Patch Contributions; PSIRT Disclosure Audit Log.</t>
        </is>
      </c>
      <c r="P28" s="38" t="inlineStr">
        <is>
          <t>All internally discovered third-party vulnerabilities reported to upstream maintainer within 5 business days; proof of outreach recorded in PSIRT audit trail.</t>
        </is>
      </c>
      <c r="Q28" s="42" t="inlineStr">
        <is>
          <t>None</t>
        </is>
      </c>
      <c r="R28" s="42" t="inlineStr">
        <is>
          <t>None</t>
        </is>
      </c>
      <c r="S28" s="42" t="inlineStr">
        <is>
          <t>None</t>
        </is>
      </c>
      <c r="T28" s="42" t="inlineStr">
        <is>
          <t>None</t>
        </is>
      </c>
      <c r="U28" s="42" t="inlineStr">
        <is>
          <t>None</t>
        </is>
      </c>
      <c r="V28" s="42" t="inlineStr">
        <is>
          <t>None</t>
        </is>
      </c>
      <c r="W28" s="42" t="inlineStr">
        <is>
          <t>None</t>
        </is>
      </c>
      <c r="X28" s="42" t="inlineStr">
        <is>
          <t>None</t>
        </is>
      </c>
      <c r="Y28" s="42" t="inlineStr">
        <is>
          <t>None</t>
        </is>
      </c>
      <c r="Z28" s="42" t="inlineStr">
        <is>
          <t>None</t>
        </is>
      </c>
      <c r="AA28" s="38" t="inlineStr">
        <is>
          <t>Zero tool coverage. Tools may identify the bug, but executing responsible upstream disclosure is an organizational and community engagement process.</t>
        </is>
      </c>
      <c r="AB28" s="38" t="inlineStr">
        <is>
          <t>Upstream Vulnerability Disclosure SOP; OSPO coordination; secure researcher communication channels.</t>
        </is>
      </c>
      <c r="AC28" s="51" t="inlineStr">
        <is>
          <t>Medium</t>
        </is>
      </c>
      <c r="AD28" s="46" t="inlineStr">
        <is>
          <t>https://eur-lex.europa.eu/eli/reg/2024/2847/oj</t>
        </is>
      </c>
      <c r="AE28" s="38" t="inlineStr">
        <is>
          <t>Crucial community reciprocity mechanism designed to improve the collective cybersecurity baseline of the open-source ecosystem.</t>
        </is>
      </c>
    </row>
    <row r="29" ht="65" customHeight="1">
      <c r="A29" s="47" t="inlineStr">
        <is>
          <t>CRA-REQ-MGT-04</t>
        </is>
      </c>
      <c r="B29" s="48" t="inlineStr">
        <is>
          <t>Art 13(7); Annex I, Part II</t>
        </is>
      </c>
      <c r="C29" s="9" t="inlineStr">
        <is>
          <t>Post-Market Vulnerability Monitoring &amp; Continuous Handling Program</t>
        </is>
      </c>
      <c r="D29" s="9" t="inlineStr">
        <is>
          <t>Manufacturers shall systematically document and handle vulnerabilities throughout the support period, investigating reports, maintaining records, and updating their cybersecurity risk assessment accordingly.</t>
        </is>
      </c>
      <c r="E29" s="48" t="inlineStr">
        <is>
          <t>Vulnerability handling</t>
        </is>
      </c>
      <c r="F29" s="39" t="inlineStr">
        <is>
          <t>Mandatory (Continuous statutory duty lasting for the entire declared support period of every product placed on the market)</t>
        </is>
      </c>
      <c r="G29" s="48" t="inlineStr">
        <is>
          <t>CISO, PSIRT Lead, Security Operations Manager</t>
        </is>
      </c>
      <c r="H29" s="41" t="inlineStr">
        <is>
          <t>Supporting</t>
        </is>
      </c>
      <c r="I29" s="41" t="inlineStr">
        <is>
          <t>Supporting</t>
        </is>
      </c>
      <c r="J29" s="41" t="inlineStr">
        <is>
          <t>Supporting</t>
        </is>
      </c>
      <c r="K29" s="41" t="inlineStr">
        <is>
          <t>Supporting</t>
        </is>
      </c>
      <c r="L29" s="40" t="inlineStr">
        <is>
          <t>Yes</t>
        </is>
      </c>
      <c r="M29" s="9" t="inlineStr">
        <is>
          <t>Deploy an automated, continuous post-market vulnerability monitoring system. Ingest production SBOMs into Dependency-Track or Black Duck to continuously correlate deployed component inventories against newly published CVEs from NVD, OSV, and security advisories. Route new alerts to PSIRT triage queues.</t>
        </is>
      </c>
      <c r="N29" s="9" t="inlineStr">
        <is>
          <t>Continuous SBOM correlation engine (Dependency-Track / Black Duck); 24/7 NVD/OSV feed synchronization; automated Jira/ServiceNow ticket creation; weekly PSIRT vulnerability triage review.</t>
        </is>
      </c>
      <c r="O29" s="9" t="inlineStr">
        <is>
          <t>Continuous Vulnerability Monitoring Platform Audit Logs; PSIRT Weekly Triage Minutes; Vulnerability Ingestion &amp; Resolution Metrics Dashboard; Updated Risk Assessment Addenda.</t>
        </is>
      </c>
      <c r="P29" s="9" t="inlineStr">
        <is>
          <t>100% of released product versions actively monitored; newly published CVEs matching product SBOM alerted within 24 hours of NVD/OSV disclosure; triage initiated immediately.</t>
        </is>
      </c>
      <c r="Q29" s="42" t="inlineStr">
        <is>
          <t>None</t>
        </is>
      </c>
      <c r="R29" s="43" t="inlineStr">
        <is>
          <t>Partial</t>
        </is>
      </c>
      <c r="S29" s="43" t="inlineStr">
        <is>
          <t>Partial</t>
        </is>
      </c>
      <c r="T29" s="44" t="inlineStr">
        <is>
          <t>Full</t>
        </is>
      </c>
      <c r="U29" s="42" t="inlineStr">
        <is>
          <t>None</t>
        </is>
      </c>
      <c r="V29" s="42" t="inlineStr">
        <is>
          <t>None</t>
        </is>
      </c>
      <c r="W29" s="44" t="inlineStr">
        <is>
          <t>Full</t>
        </is>
      </c>
      <c r="X29" s="44" t="inlineStr">
        <is>
          <t>Full</t>
        </is>
      </c>
      <c r="Y29" s="42" t="inlineStr">
        <is>
          <t>None</t>
        </is>
      </c>
      <c r="Z29" s="42" t="inlineStr">
        <is>
          <t>None</t>
        </is>
      </c>
      <c r="AA29" s="9" t="inlineStr">
        <is>
          <t>Code-level SAST does not monitor deployed production fleets. Dependency-Track and Black Duck provide dedicated continuous post-release SBOM monitoring; Nessus/Cyberwatch monitors live infrastructure.</t>
        </is>
      </c>
      <c r="AB29" s="9" t="inlineStr">
        <is>
          <t>Standing PSIRT operations team; threat intelligence feed integration; quarterly post-market risk review cadence.</t>
        </is>
      </c>
      <c r="AC29" s="45" t="inlineStr">
        <is>
          <t>Critical</t>
        </is>
      </c>
      <c r="AD29" s="49" t="inlineStr">
        <is>
          <t>https://eur-lex.europa.eu/eli/reg/2024/2847/oj</t>
        </is>
      </c>
      <c r="AE29" s="9" t="inlineStr">
        <is>
          <t>Applies across all active customer installations and historical versions that remain within their declared support period.</t>
        </is>
      </c>
    </row>
    <row r="30" ht="65" customHeight="1">
      <c r="A30" s="36" t="inlineStr">
        <is>
          <t>CRA-REQ-MGT-05</t>
        </is>
      </c>
      <c r="B30" s="37" t="inlineStr">
        <is>
          <t>Art 13(8); Annex II, point 8</t>
        </is>
      </c>
      <c r="C30" s="38" t="inlineStr">
        <is>
          <t>Guaranteed Security Support Period Determination &amp; Communication</t>
        </is>
      </c>
      <c r="D30" s="38" t="inlineStr">
        <is>
          <t>Manufacturers shall determine and explicitly state the support period during which vulnerabilities will be handled effectively, taking into account user expectations and product lifetime (at least 5 years unless a shorter period is justified by the product's nature).</t>
        </is>
      </c>
      <c r="E30" s="37" t="inlineStr">
        <is>
          <t>Governance</t>
        </is>
      </c>
      <c r="F30" s="39" t="inlineStr">
        <is>
          <t>Mandatory (Support period must be contractually and publicly stated prior to placing product on market)</t>
        </is>
      </c>
      <c r="G30" s="37" t="inlineStr">
        <is>
          <t>Product Management VP, Business Unit Director, Legal Counsel, Finance Lead</t>
        </is>
      </c>
      <c r="H30" s="40" t="inlineStr">
        <is>
          <t>Yes</t>
        </is>
      </c>
      <c r="I30" s="41" t="inlineStr">
        <is>
          <t>Supporting</t>
        </is>
      </c>
      <c r="J30" s="41" t="inlineStr">
        <is>
          <t>Supporting</t>
        </is>
      </c>
      <c r="K30" s="40" t="inlineStr">
        <is>
          <t>Yes</t>
        </is>
      </c>
      <c r="L30" s="40" t="inlineStr">
        <is>
          <t>Yes</t>
        </is>
      </c>
      <c r="M30" s="38" t="inlineStr">
        <is>
          <t>Establish a formal methodology to calculate product support lifetime. The statutory baseline is at least 5 years from placing on the market unless an explicitly shorter expected lifetime (e.g. 2-year disposable IoT sensor) is objectively justified and documented. Disclose exact end-of-support date on public website, marketing materials, and Annex II documentation.</t>
        </is>
      </c>
      <c r="N30" s="38" t="inlineStr">
        <is>
          <t>Executive Support Period Governance Policy; multi-year engineering maintenance cost model; public support lifecycle web portal (`company.com/lifecycle`); Annex II datasheet disclosure template.</t>
        </is>
      </c>
      <c r="O30" s="38" t="inlineStr">
        <is>
          <t>Formal Support Period Determination Record; Multi-Year Sustaining Engineering Budget Model; Public End-of-Support Disclosure Web Page; Annex II User Instructions Statement.</t>
        </is>
      </c>
      <c r="P30" s="38" t="inlineStr">
        <is>
          <t>Support period documented in Annex VII dossier and Annex II user instructions; minimum 5 years guaranteed unless shorter period formally justified and approved by Legal; public disclosure accessible.</t>
        </is>
      </c>
      <c r="Q30" s="42" t="inlineStr">
        <is>
          <t>None</t>
        </is>
      </c>
      <c r="R30" s="42" t="inlineStr">
        <is>
          <t>None</t>
        </is>
      </c>
      <c r="S30" s="42" t="inlineStr">
        <is>
          <t>None</t>
        </is>
      </c>
      <c r="T30" s="42" t="inlineStr">
        <is>
          <t>None</t>
        </is>
      </c>
      <c r="U30" s="42" t="inlineStr">
        <is>
          <t>None</t>
        </is>
      </c>
      <c r="V30" s="42" t="inlineStr">
        <is>
          <t>None</t>
        </is>
      </c>
      <c r="W30" s="42" t="inlineStr">
        <is>
          <t>None</t>
        </is>
      </c>
      <c r="X30" s="42" t="inlineStr">
        <is>
          <t>None</t>
        </is>
      </c>
      <c r="Y30" s="42" t="inlineStr">
        <is>
          <t>None</t>
        </is>
      </c>
      <c r="Z30" s="42" t="inlineStr">
        <is>
          <t>None</t>
        </is>
      </c>
      <c r="AA30" s="38" t="inlineStr">
        <is>
          <t>Zero tool coverage. Support period determination is an executive business, financial, and legal commitment requiring multi-year resource provisioning.</t>
        </is>
      </c>
      <c r="AB30" s="38" t="inlineStr">
        <is>
          <t>Support period financial provisioning; executive governance approval gate; public product lifecycle registry.</t>
        </is>
      </c>
      <c r="AC30" s="45" t="inlineStr">
        <is>
          <t>Critical</t>
        </is>
      </c>
      <c r="AD30" s="46" t="inlineStr">
        <is>
          <t>https://eur-lex.europa.eu/eli/reg/2024/2847/oj</t>
        </is>
      </c>
      <c r="AE30" s="38" t="inlineStr">
        <is>
          <t>Under Commission Guidance C(2026) 5252, stating 'supported until further notice' is strictly non-compliant; an explicit calendar date or definitive calculation rule is required.</t>
        </is>
      </c>
    </row>
    <row r="31" ht="65" customHeight="1">
      <c r="A31" s="47" t="inlineStr">
        <is>
          <t>CRA-REQ-MGT-06</t>
        </is>
      </c>
      <c r="B31" s="48" t="inlineStr">
        <is>
          <t>Art 13(9)</t>
        </is>
      </c>
      <c r="C31" s="9" t="inlineStr">
        <is>
          <t>Mandatory 10-Year Retention of Released Security Updates in Public Archive</t>
        </is>
      </c>
      <c r="D31" s="9" t="inlineStr">
        <is>
          <t>Manufacturers shall ensure that each security update made available during the support period remains available for at least 10 years after the product has been placed on the market, or for the remainder of the support period, whichever is longer.</t>
        </is>
      </c>
      <c r="E31" s="48" t="inlineStr">
        <is>
          <t>Governance</t>
        </is>
      </c>
      <c r="F31" s="39" t="inlineStr">
        <is>
          <t>Mandatory (Statutory IT archiving and repository retention duty)</t>
        </is>
      </c>
      <c r="G31" s="48" t="inlineStr">
        <is>
          <t>Release Engineering Lead, DevOps Infrastructure Lead, Legal Counsel</t>
        </is>
      </c>
      <c r="H31" s="41" t="inlineStr">
        <is>
          <t>Supporting</t>
        </is>
      </c>
      <c r="I31" s="52" t="inlineStr">
        <is>
          <t>No</t>
        </is>
      </c>
      <c r="J31" s="40" t="inlineStr">
        <is>
          <t>Yes</t>
        </is>
      </c>
      <c r="K31" s="40" t="inlineStr">
        <is>
          <t>Yes</t>
        </is>
      </c>
      <c r="L31" s="40" t="inlineStr">
        <is>
          <t>Yes</t>
        </is>
      </c>
      <c r="M31" s="9" t="inlineStr">
        <is>
          <t>Establish an immutable, long-term binary archive repository (e.g., S3 Glacier / Artifactory cold storage) retaining all compiled security updates, patches, firmware images, and associated release notes. Ensure public or customer accessibility for at least 10 years following initial market placement.</t>
        </is>
      </c>
      <c r="N31" s="9" t="inlineStr">
        <is>
          <t>Immutable cloud storage bucket with WORM (Write Once, Read Many) policies; automated post-release archiving pipeline; public patch archive index; retention policy audit automation.</t>
        </is>
      </c>
      <c r="O31" s="9" t="inlineStr">
        <is>
          <t>Long-Term Update Archive Architecture Specification; Cloud Immutable Storage Policy Verification; Patch Archive Directory Listing &amp; Health Check Report; 10-Year Retention Compliance Record.</t>
        </is>
      </c>
      <c r="P31" s="9" t="inlineStr">
        <is>
          <t>All historical security updates downloadable and integrity-verified via SHA-256 hashes; deletion or alteration blocked by cloud WORM retention lock for 10 years.</t>
        </is>
      </c>
      <c r="Q31" s="42" t="inlineStr">
        <is>
          <t>None</t>
        </is>
      </c>
      <c r="R31" s="42" t="inlineStr">
        <is>
          <t>None</t>
        </is>
      </c>
      <c r="S31" s="42" t="inlineStr">
        <is>
          <t>None</t>
        </is>
      </c>
      <c r="T31" s="42" t="inlineStr">
        <is>
          <t>None</t>
        </is>
      </c>
      <c r="U31" s="42" t="inlineStr">
        <is>
          <t>None</t>
        </is>
      </c>
      <c r="V31" s="42" t="inlineStr">
        <is>
          <t>None</t>
        </is>
      </c>
      <c r="W31" s="42" t="inlineStr">
        <is>
          <t>None</t>
        </is>
      </c>
      <c r="X31" s="42" t="inlineStr">
        <is>
          <t>None</t>
        </is>
      </c>
      <c r="Y31" s="42" t="inlineStr">
        <is>
          <t>None</t>
        </is>
      </c>
      <c r="Z31" s="42" t="inlineStr">
        <is>
          <t>None</t>
        </is>
      </c>
      <c r="AA31" s="9" t="inlineStr">
        <is>
          <t>Zero tool coverage. Dedicated DevOps and infrastructure archiving obligation.</t>
        </is>
      </c>
      <c r="AB31" s="9" t="inlineStr">
        <is>
          <t>WORM-compliant binary storage; automated backup and escrow procedures; long-term domain and CDN maintenance plan.</t>
        </is>
      </c>
      <c r="AC31" s="50" t="inlineStr">
        <is>
          <t>High</t>
        </is>
      </c>
      <c r="AD31" s="49" t="inlineStr">
        <is>
          <t>https://eur-lex.europa.eu/eli/reg/2024/2847/oj</t>
        </is>
      </c>
      <c r="AE31" s="9" t="inlineStr">
        <is>
          <t>Ensures that users operating products across their operational lifecycles retain access to critical security remediation patches.</t>
        </is>
      </c>
    </row>
    <row r="32" ht="65" customHeight="1">
      <c r="A32" s="36" t="inlineStr">
        <is>
          <t>CRA-REQ-MGT-07</t>
        </is>
      </c>
      <c r="B32" s="37" t="inlineStr">
        <is>
          <t>Art 13(10)</t>
        </is>
      </c>
      <c r="C32" s="38" t="inlineStr">
        <is>
          <t>Single-Version Patching Governance &amp; Free Customer Upgrade Paths</t>
        </is>
      </c>
      <c r="D32" s="38" t="inlineStr">
        <is>
          <t>Where a manufacturer applies security updates only to the latest version of the product, it shall ensure that customers can easily and free of charge upgrade to that version throughout the support period.</t>
        </is>
      </c>
      <c r="E32" s="37" t="inlineStr">
        <is>
          <t>Governance</t>
        </is>
      </c>
      <c r="F32" s="53" t="inlineStr">
        <is>
          <t>Conditional (Applies when engineering strategy opts NOT to backport security patches to older minor/major versions)</t>
        </is>
      </c>
      <c r="G32" s="37" t="inlineStr">
        <is>
          <t>Lead Software Architect, Product Management VP, Release Engineering Lead</t>
        </is>
      </c>
      <c r="H32" s="41" t="inlineStr">
        <is>
          <t>Supporting</t>
        </is>
      </c>
      <c r="I32" s="41" t="inlineStr">
        <is>
          <t>Supporting</t>
        </is>
      </c>
      <c r="J32" s="40" t="inlineStr">
        <is>
          <t>Yes</t>
        </is>
      </c>
      <c r="K32" s="40" t="inlineStr">
        <is>
          <t>Yes</t>
        </is>
      </c>
      <c r="L32" s="40" t="inlineStr">
        <is>
          <t>Yes</t>
        </is>
      </c>
      <c r="M32" s="38" t="inlineStr">
        <is>
          <t>If the organization decides not to backport security patches across multiple historical branches, it must guarantee that upgrading to the patched latest version is seamless, non-breaking, automated, and free of charge. Breaking changes or paid license upgrades cannot block access to security fixes.</t>
        </is>
      </c>
      <c r="N32" s="38" t="inlineStr">
        <is>
          <t>Automated migration scripts / backward-compatible schema evolutions; free upgrade licensing terms; automated compatibility test suites across major upgrade jumps.</t>
        </is>
      </c>
      <c r="O32" s="38" t="inlineStr">
        <is>
          <t>Single-Version Maintenance Strategy Policy; Automated Upgrade &amp; Database Migration Test Reports; Zero-Cost License Upgrade Verification; Customer Release Communications.</t>
        </is>
      </c>
      <c r="P32" s="38" t="inlineStr">
        <is>
          <t>Automated upgrade from any supported version to latest version succeeds without manual intervention or data loss; zero commercial licensing fees required to access security fixes.</t>
        </is>
      </c>
      <c r="Q32" s="42" t="inlineStr">
        <is>
          <t>None</t>
        </is>
      </c>
      <c r="R32" s="42" t="inlineStr">
        <is>
          <t>None</t>
        </is>
      </c>
      <c r="S32" s="42" t="inlineStr">
        <is>
          <t>None</t>
        </is>
      </c>
      <c r="T32" s="42" t="inlineStr">
        <is>
          <t>None</t>
        </is>
      </c>
      <c r="U32" s="42" t="inlineStr">
        <is>
          <t>None</t>
        </is>
      </c>
      <c r="V32" s="42" t="inlineStr">
        <is>
          <t>None</t>
        </is>
      </c>
      <c r="W32" s="42" t="inlineStr">
        <is>
          <t>None</t>
        </is>
      </c>
      <c r="X32" s="42" t="inlineStr">
        <is>
          <t>None</t>
        </is>
      </c>
      <c r="Y32" s="42" t="inlineStr">
        <is>
          <t>None</t>
        </is>
      </c>
      <c r="Z32" s="42" t="inlineStr">
        <is>
          <t>None</t>
        </is>
      </c>
      <c r="AA32" s="38" t="inlineStr">
        <is>
          <t>Zero tool coverage. Software release architecture, migration engineering, and commercial licensing governance.</t>
        </is>
      </c>
      <c r="AB32" s="38" t="inlineStr">
        <is>
          <t>Backward-compatibility automated testing suite; smooth migration path engineering; contractual free upgrade guarantee.</t>
        </is>
      </c>
      <c r="AC32" s="50" t="inlineStr">
        <is>
          <t>High</t>
        </is>
      </c>
      <c r="AD32" s="46" t="inlineStr">
        <is>
          <t>https://eur-lex.europa.eu/eli/reg/2024/2847/oj</t>
        </is>
      </c>
      <c r="AE32" s="38" t="inlineStr">
        <is>
          <t>Prevents manufacturers from forcing customers to pay for new software features or major version upgrades just to obtain critical security patches.</t>
        </is>
      </c>
    </row>
    <row r="33" ht="65" customHeight="1">
      <c r="A33" s="47" t="inlineStr">
        <is>
          <t>CRA-REQ-DOC-01</t>
        </is>
      </c>
      <c r="B33" s="48" t="inlineStr">
        <is>
          <t>Art 13(11), Art 31; Annex VII</t>
        </is>
      </c>
      <c r="C33" s="9" t="inlineStr">
        <is>
          <t>Technical Documentation Dossier Compilation Prior to Market Placement</t>
        </is>
      </c>
      <c r="D33" s="9" t="inlineStr">
        <is>
          <t>Manufacturers shall draw up the technical documentation containing all relevant data or details of the means used by the manufacturer to ensure that the product with digital elements complies with the essential requirements set out in Annex I.</t>
        </is>
      </c>
      <c r="E33" s="48" t="inlineStr">
        <is>
          <t>Documentation</t>
        </is>
      </c>
      <c r="F33" s="39" t="inlineStr">
        <is>
          <t>Mandatory (Statutory prerequisite for CE marking and market placement under Art 31 and Annex VII)</t>
        </is>
      </c>
      <c r="G33" s="48" t="inlineStr">
        <is>
          <t>Regulatory Compliance Lead, Product Security Architect, Lead Systems Engineer</t>
        </is>
      </c>
      <c r="H33" s="41" t="inlineStr">
        <is>
          <t>Supporting</t>
        </is>
      </c>
      <c r="I33" s="40" t="inlineStr">
        <is>
          <t>Yes</t>
        </is>
      </c>
      <c r="J33" s="40" t="inlineStr">
        <is>
          <t>Yes</t>
        </is>
      </c>
      <c r="K33" s="40" t="inlineStr">
        <is>
          <t>Yes</t>
        </is>
      </c>
      <c r="L33" s="41" t="inlineStr">
        <is>
          <t>Supporting</t>
        </is>
      </c>
      <c r="M33" s="9" t="inlineStr">
        <is>
          <t>Assemble a comprehensive Technical Documentation Dossier meeting Annex VII requirements: product overview, system architecture diagrams, cybersecurity risk assessment report, design specifications, SBOM, test verification records (SAST, SCA, DAST, pentest), user instructions (Annex II), and EU Declaration of Conformity.</t>
        </is>
      </c>
      <c r="N33" s="9" t="inlineStr">
        <is>
          <t>Annex VII Documentation Management System; automated compilation of CI/CD scan artifacts; formal Technical Dossier Review and Approval Gate prior to release.</t>
        </is>
      </c>
      <c r="O33" s="9" t="inlineStr">
        <is>
          <t>Completed Annex VII Technical Documentation Dossier; System Architecture Diagrams; Risk Assessment Dossier; Security Verification Test Dossier; Bill of Materials Dossier.</t>
        </is>
      </c>
      <c r="P33" s="9" t="inlineStr">
        <is>
          <t>Dossier contains all 11 mandatory elements specified in Annex VII; formally approved and signed by Chief Engineer and Compliance Officer prior to commercial release.</t>
        </is>
      </c>
      <c r="Q33" s="43" t="inlineStr">
        <is>
          <t>Partial</t>
        </is>
      </c>
      <c r="R33" s="43" t="inlineStr">
        <is>
          <t>Partial</t>
        </is>
      </c>
      <c r="S33" s="43" t="inlineStr">
        <is>
          <t>Partial</t>
        </is>
      </c>
      <c r="T33" s="43" t="inlineStr">
        <is>
          <t>Partial</t>
        </is>
      </c>
      <c r="U33" s="43" t="inlineStr">
        <is>
          <t>Partial</t>
        </is>
      </c>
      <c r="V33" s="44" t="inlineStr">
        <is>
          <t>Full</t>
        </is>
      </c>
      <c r="W33" s="43" t="inlineStr">
        <is>
          <t>Partial</t>
        </is>
      </c>
      <c r="X33" s="43" t="inlineStr">
        <is>
          <t>Partial</t>
        </is>
      </c>
      <c r="Y33" s="43" t="inlineStr">
        <is>
          <t>Partial</t>
        </is>
      </c>
      <c r="Z33" s="43" t="inlineStr">
        <is>
          <t>Partial</t>
        </is>
      </c>
      <c r="AA33" s="9" t="inlineStr">
        <is>
          <t>Tools generate raw scan reports and data feeds that serve as evidence attachments; the compilation, structuring, and authoring of the Annex VII technical dossier is a human governance process.</t>
        </is>
      </c>
      <c r="AB33" s="9" t="inlineStr">
        <is>
          <t>Technical Dossier Authoring Standard; Annex VII Compliance Checklist; Executive Engineering Sign-off Gate.</t>
        </is>
      </c>
      <c r="AC33" s="45" t="inlineStr">
        <is>
          <t>Critical</t>
        </is>
      </c>
      <c r="AD33" s="49" t="inlineStr">
        <is>
          <t>https://eur-lex.europa.eu/eli/reg/2024/2847/oj</t>
        </is>
      </c>
      <c r="AE33" s="9" t="inlineStr">
        <is>
          <t>Must be made available to national market surveillance authorities within 10 days of a reasoned request in an official Union language.</t>
        </is>
      </c>
    </row>
    <row r="34" ht="65" customHeight="1">
      <c r="A34" s="36" t="inlineStr">
        <is>
          <t>CRA-REQ-DOC-02</t>
        </is>
      </c>
      <c r="B34" s="37" t="inlineStr">
        <is>
          <t>Art 13(12), Art 13(14), Art 31(3)</t>
        </is>
      </c>
      <c r="C34" s="38" t="inlineStr">
        <is>
          <t>10-Year Retention of Technical Documentation Dossier and EU DoC</t>
        </is>
      </c>
      <c r="D34" s="38" t="inlineStr">
        <is>
          <t>Manufacturers shall keep the technical documentation and the EU declaration of conformity at the disposal of market surveillance authorities for at least 10 years after the product has been placed on the market, or for the support period, whichever is longer.</t>
        </is>
      </c>
      <c r="E34" s="37" t="inlineStr">
        <is>
          <t>Documentation</t>
        </is>
      </c>
      <c r="F34" s="39" t="inlineStr">
        <is>
          <t>Mandatory (Mandatory statutory records retention obligation)</t>
        </is>
      </c>
      <c r="G34" s="37" t="inlineStr">
        <is>
          <t>Compliance Officer, Legal Counsel, Corporate Records Archivist</t>
        </is>
      </c>
      <c r="H34" s="41" t="inlineStr">
        <is>
          <t>Supporting</t>
        </is>
      </c>
      <c r="I34" s="52" t="inlineStr">
        <is>
          <t>No</t>
        </is>
      </c>
      <c r="J34" s="52" t="inlineStr">
        <is>
          <t>No</t>
        </is>
      </c>
      <c r="K34" s="40" t="inlineStr">
        <is>
          <t>Yes</t>
        </is>
      </c>
      <c r="L34" s="40" t="inlineStr">
        <is>
          <t>Yes</t>
        </is>
      </c>
      <c r="M34" s="38" t="inlineStr">
        <is>
          <t>Store all versions of the Annex VII technical documentation, test reports, and signed EU Declarations of Conformity in a secure, tamper-evident corporate compliance archive. Implement strict 10-year retention policies, disaster recovery backups, and designated custodian roles.</t>
        </is>
      </c>
      <c r="N34" s="38" t="inlineStr">
        <is>
          <t>Enterprise Compliance Document Management System; immutable legal hold archiving; annual archive integrity audits; designated regulatory record keeper.</t>
        </is>
      </c>
      <c r="O34" s="38" t="inlineStr">
        <is>
          <t>Compliance Archive Access Log; 10-Year Retention Policy Document; Archival Verification Audit Trail; Signed DoC Repository Index.</t>
        </is>
      </c>
      <c r="P34" s="38" t="inlineStr">
        <is>
          <t>Dossiers for all placed products indexed, searchable, and retrievable within 24 hours; records protected against deletion for minimum 10 years from market placement.</t>
        </is>
      </c>
      <c r="Q34" s="42" t="inlineStr">
        <is>
          <t>None</t>
        </is>
      </c>
      <c r="R34" s="42" t="inlineStr">
        <is>
          <t>None</t>
        </is>
      </c>
      <c r="S34" s="42" t="inlineStr">
        <is>
          <t>None</t>
        </is>
      </c>
      <c r="T34" s="42" t="inlineStr">
        <is>
          <t>None</t>
        </is>
      </c>
      <c r="U34" s="42" t="inlineStr">
        <is>
          <t>None</t>
        </is>
      </c>
      <c r="V34" s="42" t="inlineStr">
        <is>
          <t>None</t>
        </is>
      </c>
      <c r="W34" s="42" t="inlineStr">
        <is>
          <t>None</t>
        </is>
      </c>
      <c r="X34" s="42" t="inlineStr">
        <is>
          <t>None</t>
        </is>
      </c>
      <c r="Y34" s="42" t="inlineStr">
        <is>
          <t>None</t>
        </is>
      </c>
      <c r="Z34" s="42" t="inlineStr">
        <is>
          <t>None</t>
        </is>
      </c>
      <c r="AA34" s="38" t="inlineStr">
        <is>
          <t>Zero tool coverage. Corporate legal records management and archiving duty.</t>
        </is>
      </c>
      <c r="AB34" s="38" t="inlineStr">
        <is>
          <t>Enterprise Records Management System; legal retention schedules; regulatory audit readiness runbook.</t>
        </is>
      </c>
      <c r="AC34" s="50" t="inlineStr">
        <is>
          <t>High</t>
        </is>
      </c>
      <c r="AD34" s="46" t="inlineStr">
        <is>
          <t>https://eur-lex.europa.eu/eli/reg/2024/2847/oj</t>
        </is>
      </c>
      <c r="AE34" s="38" t="inlineStr">
        <is>
          <t>Even if the product line is discontinued, the retention duty remains legally binding on the legal entity.</t>
        </is>
      </c>
    </row>
    <row r="35" ht="65" customHeight="1">
      <c r="A35" s="47" t="inlineStr">
        <is>
          <t>CRA-REQ-DOC-03</t>
        </is>
      </c>
      <c r="B35" s="48" t="inlineStr">
        <is>
          <t>Art 13(18); Annex II</t>
        </is>
      </c>
      <c r="C35" s="9" t="inlineStr">
        <is>
          <t>Customer Technical Security Information &amp; Instructions for Use</t>
        </is>
      </c>
      <c r="D35" s="9" t="inlineStr">
        <is>
          <t>Manufacturers shall provide the information and instructions for use set out in Annex II with the product with digital elements, in paper or electronic form, ensuring that users are informed of security parameters, secure installation, support period, and CVD contact.</t>
        </is>
      </c>
      <c r="E35" s="48" t="inlineStr">
        <is>
          <t>Documentation</t>
        </is>
      </c>
      <c r="F35" s="39" t="inlineStr">
        <is>
          <t>Mandatory (Must accompany the product at delivery in official Union language(s) required by Member States)</t>
        </is>
      </c>
      <c r="G35" s="48" t="inlineStr">
        <is>
          <t>Lead Technical Writer, Product Security Architect, Product Manager</t>
        </is>
      </c>
      <c r="H35" s="40" t="inlineStr">
        <is>
          <t>Yes</t>
        </is>
      </c>
      <c r="I35" s="41" t="inlineStr">
        <is>
          <t>Supporting</t>
        </is>
      </c>
      <c r="J35" s="41" t="inlineStr">
        <is>
          <t>Supporting</t>
        </is>
      </c>
      <c r="K35" s="40" t="inlineStr">
        <is>
          <t>Yes</t>
        </is>
      </c>
      <c r="L35" s="41" t="inlineStr">
        <is>
          <t>Supporting</t>
        </is>
      </c>
      <c r="M35" s="9" t="inlineStr">
        <is>
          <t>Author and publish the Annex II User Security Guide: product intended use, cybersecurity properties, hardware/software requirements, secure installation and hardening instructions, default passwords policy, update configuration, explicit end-of-support date, and single contact point for vulnerability reporting.</t>
        </is>
      </c>
      <c r="N35" s="9" t="inlineStr">
        <is>
          <t>Annex II Documentation Authoring Checklist; technical review gate by Product Security Architect; customer documentation publishing workflow; multi-language translation management.</t>
        </is>
      </c>
      <c r="O35" s="9" t="inlineStr">
        <is>
          <t>Published User Manual &amp; Security Guide (Annex II Dossier); Online Documentation Portal URL; Packaging Quick-Start Security Leaflet; Translation Certification Records.</t>
        </is>
      </c>
      <c r="P35" s="9" t="inlineStr">
        <is>
          <t>User documentation includes all 9 mandatory points from Annex II; clearly specifies support period end date and CVD contact point; available in required Member State languages.</t>
        </is>
      </c>
      <c r="Q35" s="42" t="inlineStr">
        <is>
          <t>None</t>
        </is>
      </c>
      <c r="R35" s="42" t="inlineStr">
        <is>
          <t>None</t>
        </is>
      </c>
      <c r="S35" s="42" t="inlineStr">
        <is>
          <t>None</t>
        </is>
      </c>
      <c r="T35" s="42" t="inlineStr">
        <is>
          <t>None</t>
        </is>
      </c>
      <c r="U35" s="42" t="inlineStr">
        <is>
          <t>None</t>
        </is>
      </c>
      <c r="V35" s="42" t="inlineStr">
        <is>
          <t>None</t>
        </is>
      </c>
      <c r="W35" s="42" t="inlineStr">
        <is>
          <t>None</t>
        </is>
      </c>
      <c r="X35" s="42" t="inlineStr">
        <is>
          <t>None</t>
        </is>
      </c>
      <c r="Y35" s="42" t="inlineStr">
        <is>
          <t>None</t>
        </is>
      </c>
      <c r="Z35" s="42" t="inlineStr">
        <is>
          <t>None</t>
        </is>
      </c>
      <c r="AA35" s="9" t="inlineStr">
        <is>
          <t>Zero tool coverage. Technical writing, product security communications, and customer documentation process.</t>
        </is>
      </c>
      <c r="AB35" s="9" t="inlineStr">
        <is>
          <t>Annex II Compliance Checklist; technical writing review gate; customer documentation portal.</t>
        </is>
      </c>
      <c r="AC35" s="50" t="inlineStr">
        <is>
          <t>High</t>
        </is>
      </c>
      <c r="AD35" s="49" t="inlineStr">
        <is>
          <t>https://eur-lex.europa.eu/eli/reg/2024/2847/oj</t>
        </is>
      </c>
      <c r="AE35" s="9" t="inlineStr">
        <is>
          <t>Electronic format is permitted, but must be easily accessible to the user and maintained online throughout the product support period.</t>
        </is>
      </c>
    </row>
    <row r="36" ht="65" customHeight="1">
      <c r="A36" s="36" t="inlineStr">
        <is>
          <t>CRA-REQ-DOC-04</t>
        </is>
      </c>
      <c r="B36" s="37" t="inlineStr">
        <is>
          <t>Art 13(21), Art 13(24)</t>
        </is>
      </c>
      <c r="C36" s="38" t="inlineStr">
        <is>
          <t>Cooperation with Market Surveillance Authorities &amp; SBOM Provisioning</t>
        </is>
      </c>
      <c r="D36" s="38" t="inlineStr">
        <is>
          <t>Manufacturers shall, upon a reasoned request from a market surveillance authority, provide that authority with all information and documentation necessary to demonstrate conformity, and provide the machine-readable SBOM.</t>
        </is>
      </c>
      <c r="E36" s="37" t="inlineStr">
        <is>
          <t>Governance</t>
        </is>
      </c>
      <c r="F36" s="39" t="inlineStr">
        <is>
          <t>Mandatory (Statutory regulatory inspection cooperation duty)</t>
        </is>
      </c>
      <c r="G36" s="37" t="inlineStr">
        <is>
          <t>Legal Counsel, Chief Compliance Officer, PSIRT Lead</t>
        </is>
      </c>
      <c r="H36" s="52" t="inlineStr">
        <is>
          <t>No</t>
        </is>
      </c>
      <c r="I36" s="52" t="inlineStr">
        <is>
          <t>No</t>
        </is>
      </c>
      <c r="J36" s="41" t="inlineStr">
        <is>
          <t>Supporting</t>
        </is>
      </c>
      <c r="K36" s="41" t="inlineStr">
        <is>
          <t>Supporting</t>
        </is>
      </c>
      <c r="L36" s="40" t="inlineStr">
        <is>
          <t>Yes</t>
        </is>
      </c>
      <c r="M36" s="38" t="inlineStr">
        <is>
          <t>Establish a Market Surveillance Authority Response Procedure: designate point of contact, define workflow to retrieve Annex VII dossier, test reports, and generate machine-readable SBOM within statutory response window (typically 10-15 business days). Maintain confidentiality protocols for proprietary code disclosures.</t>
        </is>
      </c>
      <c r="N36" s="38" t="inlineStr">
        <is>
          <t>Market Surveillance Interaction SOP; designated Single Point of Contact (SPOC); automated SBOM export pipeline from Dependency-Track / Black Duck; executive response escalation path.</t>
        </is>
      </c>
      <c r="O36" s="38" t="inlineStr">
        <is>
          <t>Market Surveillance Response Operating Procedure; Designated Authority Contact Record; Test Drill SBOM Export Logs; Authority Request Tracking Register.</t>
        </is>
      </c>
      <c r="P36" s="38" t="inlineStr">
        <is>
          <t>Procedure tested via annual drill; ability to produce complete Annex VII dossier and validated machine-readable SBOM within 5 business days of request.</t>
        </is>
      </c>
      <c r="Q36" s="42" t="inlineStr">
        <is>
          <t>None</t>
        </is>
      </c>
      <c r="R36" s="42" t="inlineStr">
        <is>
          <t>None</t>
        </is>
      </c>
      <c r="S36" s="42" t="inlineStr">
        <is>
          <t>None</t>
        </is>
      </c>
      <c r="T36" s="42" t="inlineStr">
        <is>
          <t>None</t>
        </is>
      </c>
      <c r="U36" s="42" t="inlineStr">
        <is>
          <t>None</t>
        </is>
      </c>
      <c r="V36" s="42" t="inlineStr">
        <is>
          <t>None</t>
        </is>
      </c>
      <c r="W36" s="43" t="inlineStr">
        <is>
          <t>Partial</t>
        </is>
      </c>
      <c r="X36" s="43" t="inlineStr">
        <is>
          <t>Partial</t>
        </is>
      </c>
      <c r="Y36" s="42" t="inlineStr">
        <is>
          <t>None</t>
        </is>
      </c>
      <c r="Z36" s="42" t="inlineStr">
        <is>
          <t>None</t>
        </is>
      </c>
      <c r="AA36" s="38" t="inlineStr">
        <is>
          <t>Dependency-Track and Black Duck can export the machine-readable SBOM in CycloneDX/SPDX format. The formal interaction and legal defense is a legal/compliance function.</t>
        </is>
      </c>
      <c r="AB36" s="38" t="inlineStr">
        <is>
          <t>Market Surveillance Response Runbook; legal escalation tree; authority inquiry drill.</t>
        </is>
      </c>
      <c r="AC36" s="51" t="inlineStr">
        <is>
          <t>Medium</t>
        </is>
      </c>
      <c r="AD36" s="46" t="inlineStr">
        <is>
          <t>https://eur-lex.europa.eu/eli/reg/2024/2847/oj</t>
        </is>
      </c>
      <c r="AE36" s="38" t="inlineStr">
        <is>
          <t>Failure to cooperate with market surveillance authorities can trigger administrative fines under Art 64(3) up to €10,000,000 or 2% of turnover.</t>
        </is>
      </c>
    </row>
    <row r="37" ht="65" customHeight="1">
      <c r="A37" s="47" t="inlineStr">
        <is>
          <t>CRA-REQ-CONF-01</t>
        </is>
      </c>
      <c r="B37" s="48" t="inlineStr">
        <is>
          <t>Art 7, Art 8, Art 32; Annexes III, IV; IR (EU) 2025/2392</t>
        </is>
      </c>
      <c r="C37" s="9" t="inlineStr">
        <is>
          <t>Product Classification &amp; Conformity Assessment Route Selection</t>
        </is>
      </c>
      <c r="D37" s="9" t="inlineStr">
        <is>
          <t>Manufacturers shall classify the product with digital elements into the Default, Important Class I, Important Class II, or Critical category, and execute the corresponding conformity assessment procedure (Module A, Module B+C, Module H, or European Cybersecurity Certification).</t>
        </is>
      </c>
      <c r="E37" s="48" t="inlineStr">
        <is>
          <t>Conformity assessment</t>
        </is>
      </c>
      <c r="F37" s="39" t="inlineStr">
        <is>
          <t>Mandatory (Statutory requirement determining conformity route and Notified Body engagement)</t>
        </is>
      </c>
      <c r="G37" s="48" t="inlineStr">
        <is>
          <t>Lead Product Architect, Regulatory Compliance Officer, Legal Counsel</t>
        </is>
      </c>
      <c r="H37" s="40" t="inlineStr">
        <is>
          <t>Yes</t>
        </is>
      </c>
      <c r="I37" s="41" t="inlineStr">
        <is>
          <t>Supporting</t>
        </is>
      </c>
      <c r="J37" s="41" t="inlineStr">
        <is>
          <t>Supporting</t>
        </is>
      </c>
      <c r="K37" s="40" t="inlineStr">
        <is>
          <t>Yes</t>
        </is>
      </c>
      <c r="L37" s="41" t="inlineStr">
        <is>
          <t>Supporting</t>
        </is>
      </c>
      <c r="M37" s="9" t="inlineStr">
        <is>
          <t>Assess product core functionality against Annex III and Implementing Regulation (EU) 2025/2392: Default products use Module A (Internal Control); Important Class I uses Module A (if harmonised standards applied) or Module B+C / Module H; Important Class II requires mandatory Notified Body assessment (Module B+C or Module H); Critical products under Annex IV may require EUCC certification.</t>
        </is>
      </c>
      <c r="N37" s="9" t="inlineStr">
        <is>
          <t>Product Classification Decision Matrix; early Notified Body engagement procedure (if Class I/II); conformity assessment project plan.</t>
        </is>
      </c>
      <c r="O37" s="9" t="inlineStr">
        <is>
          <t>Formal Product Classification Record; Conformity Assessment Strategy Document; Notified Body Engagement Agreement / Quotation (if Class I/II); Internal Control Plan (Module A).</t>
        </is>
      </c>
      <c r="P37" s="9" t="inlineStr">
        <is>
          <t>Classification verified against IR 2025/2392; correct conformity route selected; if Class I/II, Notified Body engagement scheduled 6+ months ahead of release.</t>
        </is>
      </c>
      <c r="Q37" s="42" t="inlineStr">
        <is>
          <t>None</t>
        </is>
      </c>
      <c r="R37" s="42" t="inlineStr">
        <is>
          <t>None</t>
        </is>
      </c>
      <c r="S37" s="42" t="inlineStr">
        <is>
          <t>None</t>
        </is>
      </c>
      <c r="T37" s="42" t="inlineStr">
        <is>
          <t>None</t>
        </is>
      </c>
      <c r="U37" s="42" t="inlineStr">
        <is>
          <t>None</t>
        </is>
      </c>
      <c r="V37" s="42" t="inlineStr">
        <is>
          <t>None</t>
        </is>
      </c>
      <c r="W37" s="42" t="inlineStr">
        <is>
          <t>None</t>
        </is>
      </c>
      <c r="X37" s="42" t="inlineStr">
        <is>
          <t>None</t>
        </is>
      </c>
      <c r="Y37" s="42" t="inlineStr">
        <is>
          <t>None</t>
        </is>
      </c>
      <c r="Z37" s="42" t="inlineStr">
        <is>
          <t>None</t>
        </is>
      </c>
      <c r="AA37" s="9" t="inlineStr">
        <is>
          <t>Zero tool coverage. Strategic product classification and regulatory assessment process.</t>
        </is>
      </c>
      <c r="AB37" s="9" t="inlineStr">
        <is>
          <t>CRA Product Classification Checklist; legal review of intended use and marketing claims; Notified Body procurement process.</t>
        </is>
      </c>
      <c r="AC37" s="45" t="inlineStr">
        <is>
          <t>Critical</t>
        </is>
      </c>
      <c r="AD37" s="49" t="inlineStr">
        <is>
          <t>https://eur-lex.europa.eu/eli/reg/2024/2847/oj</t>
        </is>
      </c>
      <c r="AE37" s="9" t="inlineStr">
        <is>
          <t>Marketing claims must align strictly with assessed intended use; claiming security functionality (e.g. firewall/IAM) may unintentionally escalate product into Important Class I/II.</t>
        </is>
      </c>
    </row>
    <row r="38" ht="65" customHeight="1">
      <c r="A38" s="36" t="inlineStr">
        <is>
          <t>CRA-REQ-CONF-02</t>
        </is>
      </c>
      <c r="B38" s="37" t="inlineStr">
        <is>
          <t>Art 13(13), Art 28; Annex V</t>
        </is>
      </c>
      <c r="C38" s="38" t="inlineStr">
        <is>
          <t>Execution &amp; Signing of the EU Declaration of Conformity</t>
        </is>
      </c>
      <c r="D38" s="38" t="inlineStr">
        <is>
          <t>The manufacturer shall draw up an EU declaration of conformity stating that the fulfilment of the applicable essential cybersecurity requirements set out in Annex I has been demonstrated.</t>
        </is>
      </c>
      <c r="E38" s="37" t="inlineStr">
        <is>
          <t>Conformity assessment</t>
        </is>
      </c>
      <c r="F38" s="39" t="inlineStr">
        <is>
          <t>Mandatory (Statutory legal instrument required before CE mark can be affixed or product placed on market)</t>
        </is>
      </c>
      <c r="G38" s="37" t="inlineStr">
        <is>
          <t>Managing Director / CEO, VP Engineering, Regulatory Affairs Lead</t>
        </is>
      </c>
      <c r="H38" s="41" t="inlineStr">
        <is>
          <t>Supporting</t>
        </is>
      </c>
      <c r="I38" s="52" t="inlineStr">
        <is>
          <t>No</t>
        </is>
      </c>
      <c r="J38" s="41" t="inlineStr">
        <is>
          <t>Supporting</t>
        </is>
      </c>
      <c r="K38" s="40" t="inlineStr">
        <is>
          <t>Yes</t>
        </is>
      </c>
      <c r="L38" s="41" t="inlineStr">
        <is>
          <t>Supporting</t>
        </is>
      </c>
      <c r="M38" s="38" t="inlineStr">
        <is>
          <t>Draft the EU Declaration of Conformity strictly adhering to Annex V: product identification (name, type, batch/serial number), manufacturer details, statement of sole responsibility, conformity assessment module applied, references to relevant harmonised standards or common specifications, Notified Body certificate details (if applicable), and authorized executive signature.</t>
        </is>
      </c>
      <c r="N38" s="38" t="inlineStr">
        <is>
          <t>EU Declaration of Conformity authoring workflow; executive signature authorization matrix; DoC repository management; customer delivery bundling.</t>
        </is>
      </c>
      <c r="O38" s="38" t="inlineStr">
        <is>
          <t>Signed EU Declaration of Conformity (PDF / Annex V Dossier); Executive Board Resolution Authorizing Signatory; Harmonised Standards / Specification Mapping Record.</t>
        </is>
      </c>
      <c r="P38" s="38" t="inlineStr">
        <is>
          <t>DoC contains all 8 mandatory fields from Annex V; signed by duly authorized corporate officer; verified alignment with technical documentation dossier.</t>
        </is>
      </c>
      <c r="Q38" s="42" t="inlineStr">
        <is>
          <t>None</t>
        </is>
      </c>
      <c r="R38" s="42" t="inlineStr">
        <is>
          <t>None</t>
        </is>
      </c>
      <c r="S38" s="42" t="inlineStr">
        <is>
          <t>None</t>
        </is>
      </c>
      <c r="T38" s="42" t="inlineStr">
        <is>
          <t>None</t>
        </is>
      </c>
      <c r="U38" s="42" t="inlineStr">
        <is>
          <t>None</t>
        </is>
      </c>
      <c r="V38" s="42" t="inlineStr">
        <is>
          <t>None</t>
        </is>
      </c>
      <c r="W38" s="42" t="inlineStr">
        <is>
          <t>None</t>
        </is>
      </c>
      <c r="X38" s="42" t="inlineStr">
        <is>
          <t>None</t>
        </is>
      </c>
      <c r="Y38" s="42" t="inlineStr">
        <is>
          <t>None</t>
        </is>
      </c>
      <c r="Z38" s="42" t="inlineStr">
        <is>
          <t>None</t>
        </is>
      </c>
      <c r="AA38" s="38" t="inlineStr">
        <is>
          <t>Zero tool coverage. Formal legal instrument executed by executive management.</t>
        </is>
      </c>
      <c r="AB38" s="38" t="inlineStr">
        <is>
          <t>Executive Signatory Authorization SOP; DoC verification checklist; multi-directive bundling review (e.g. RED / Machinery / CRA).</t>
        </is>
      </c>
      <c r="AC38" s="45" t="inlineStr">
        <is>
          <t>Critical</t>
        </is>
      </c>
      <c r="AD38" s="46" t="inlineStr">
        <is>
          <t>https://eur-lex.europa.eu/eli/reg/2024/2847/oj</t>
        </is>
      </c>
      <c r="AE38" s="38" t="inlineStr">
        <is>
          <t>Signing the DoC establishes full legal responsibility for product cybersecurity conformity under Union law.</t>
        </is>
      </c>
    </row>
    <row r="39" ht="65" customHeight="1">
      <c r="A39" s="47" t="inlineStr">
        <is>
          <t>CRA-REQ-CONF-03</t>
        </is>
      </c>
      <c r="B39" s="48" t="inlineStr">
        <is>
          <t>Art 13(15)–(17), Arts 29–30</t>
        </is>
      </c>
      <c r="C39" s="9" t="inlineStr">
        <is>
          <t>Affixing the CE Marking, Identification &amp; Traceability Markings</t>
        </is>
      </c>
      <c r="D39" s="9" t="inlineStr">
        <is>
          <t>Manufacturers shall affix the CE marking visibly, legibly and indelibly to the product with digital elements, or where that is not possible, to its packaging or accompanying documents, along with manufacturer identification and traceability details.</t>
        </is>
      </c>
      <c r="E39" s="48" t="inlineStr">
        <is>
          <t>Conformity assessment</t>
        </is>
      </c>
      <c r="F39" s="39" t="inlineStr">
        <is>
          <t>Mandatory (Mandatory physical or digital marking condition for placing on Union market)</t>
        </is>
      </c>
      <c r="G39" s="48" t="inlineStr">
        <is>
          <t>Hardware Packaging Lead, Product Release Manager, Compliance Officer</t>
        </is>
      </c>
      <c r="H39" s="41" t="inlineStr">
        <is>
          <t>Supporting</t>
        </is>
      </c>
      <c r="I39" s="52" t="inlineStr">
        <is>
          <t>No</t>
        </is>
      </c>
      <c r="J39" s="41" t="inlineStr">
        <is>
          <t>Supporting</t>
        </is>
      </c>
      <c r="K39" s="40" t="inlineStr">
        <is>
          <t>Yes</t>
        </is>
      </c>
      <c r="L39" s="41" t="inlineStr">
        <is>
          <t>Supporting</t>
        </is>
      </c>
      <c r="M39" s="9" t="inlineStr">
        <is>
          <t>Apply CE marking adhering to Article 30 proportions (minimum 5mm height). For hardware: affix to device body, rating plate, or packaging. For standalone software: display CE mark in the 'About' box, CLI splash screen, e-label, or accompanying digital datasheet. Include manufacturer postal address, website, email, and product model/batch/serial number.</t>
        </is>
      </c>
      <c r="N39" s="9" t="inlineStr">
        <is>
          <t>Packaging and artwork approval gate; software UI 'About' screen verification; digital labelling guidelines compliance check; hardware label durability testing.</t>
        </is>
      </c>
      <c r="O39" s="9" t="inlineStr">
        <is>
          <t>Approved Packaging Artwork &amp; Rating Plate Proofs; Software UI 'About' Screen Screenshot Archive; Hardware Label Durability Test Report; Marking Compliance Verification Sign-off.</t>
        </is>
      </c>
      <c r="P39" s="9" t="inlineStr">
        <is>
          <t>CE marking visibly affixed according to statutory dimensions; manufacturer identification and contact details legible; software UI displays CE mark and version traceability.</t>
        </is>
      </c>
      <c r="Q39" s="42" t="inlineStr">
        <is>
          <t>None</t>
        </is>
      </c>
      <c r="R39" s="42" t="inlineStr">
        <is>
          <t>None</t>
        </is>
      </c>
      <c r="S39" s="42" t="inlineStr">
        <is>
          <t>None</t>
        </is>
      </c>
      <c r="T39" s="42" t="inlineStr">
        <is>
          <t>None</t>
        </is>
      </c>
      <c r="U39" s="42" t="inlineStr">
        <is>
          <t>None</t>
        </is>
      </c>
      <c r="V39" s="42" t="inlineStr">
        <is>
          <t>None</t>
        </is>
      </c>
      <c r="W39" s="42" t="inlineStr">
        <is>
          <t>None</t>
        </is>
      </c>
      <c r="X39" s="42" t="inlineStr">
        <is>
          <t>None</t>
        </is>
      </c>
      <c r="Y39" s="42" t="inlineStr">
        <is>
          <t>None</t>
        </is>
      </c>
      <c r="Z39" s="42" t="inlineStr">
        <is>
          <t>None</t>
        </is>
      </c>
      <c r="AA39" s="9" t="inlineStr">
        <is>
          <t>Zero tool coverage. Physical artwork, packaging design, and software UI release governance.</t>
        </is>
      </c>
      <c r="AB39" s="9" t="inlineStr">
        <is>
          <t>Artwork approval workflow; UI digital labelling verification; packaging inspection prior to factory dispatch.</t>
        </is>
      </c>
      <c r="AC39" s="50" t="inlineStr">
        <is>
          <t>High</t>
        </is>
      </c>
      <c r="AD39" s="49" t="inlineStr">
        <is>
          <t>https://eur-lex.europa.eu/eli/reg/2024/2847/oj</t>
        </is>
      </c>
      <c r="AE39" s="9" t="inlineStr">
        <is>
          <t>If a Notified Body participated in production control (Module H), its 4-digit identification number must follow the CE mark.</t>
        </is>
      </c>
    </row>
    <row r="40" ht="65" customHeight="1">
      <c r="A40" s="36" t="inlineStr">
        <is>
          <t>CRA-REQ-CONF-04</t>
        </is>
      </c>
      <c r="B40" s="37" t="inlineStr">
        <is>
          <t>Art 3(30), Art 21, Art 22; Guidance Pt 110–132</t>
        </is>
      </c>
      <c r="C40" s="38" t="inlineStr">
        <is>
          <t>Substantial Modification Change Management &amp; Gating Governance</t>
        </is>
      </c>
      <c r="D40" s="38" t="inlineStr">
        <is>
          <t>Any modification to a product with digital elements following its placing on the market which affects compliance with Annex I or modifies the intended purpose constitutes a substantial modification, requiring a new conformity assessment and new placing on the market.</t>
        </is>
      </c>
      <c r="E40" s="37" t="inlineStr">
        <is>
          <t>Conformity assessment</t>
        </is>
      </c>
      <c r="F40" s="39" t="inlineStr">
        <is>
          <t>Mandatory (Change control gate governing all post-release functional updates and architectural refactors)</t>
        </is>
      </c>
      <c r="G40" s="37" t="inlineStr">
        <is>
          <t>Lead Security Architect, Change Advisory Board (CAB) Chair, Compliance Officer</t>
        </is>
      </c>
      <c r="H40" s="41" t="inlineStr">
        <is>
          <t>Supporting</t>
        </is>
      </c>
      <c r="I40" s="40" t="inlineStr">
        <is>
          <t>Yes</t>
        </is>
      </c>
      <c r="J40" s="40" t="inlineStr">
        <is>
          <t>Yes</t>
        </is>
      </c>
      <c r="K40" s="40" t="inlineStr">
        <is>
          <t>Yes</t>
        </is>
      </c>
      <c r="L40" s="40" t="inlineStr">
        <is>
          <t>Yes</t>
        </is>
      </c>
      <c r="M40" s="38" t="inlineStr">
        <is>
          <t>Implement a formal Substantial Modification Gating Filter in the engineering Change Advisory Board (CAB): evaluate whether planned feature updates introduce new attack vectors, alter trust boundaries, change cryptographic primitives, or modify intended use. If substantial, execute a new conformity assessment, update Annex VII dossier, and issue a new EU DoC.</t>
        </is>
      </c>
      <c r="N40" s="38" t="inlineStr">
        <is>
          <t>Substantial Modification Assessment Checklist; CAB regulatory screening gate; architectural delta review board; change ticketing integration (Jira CAB workflow).</t>
        </is>
      </c>
      <c r="O40" s="38" t="inlineStr">
        <is>
          <t>Substantial Modification Screening Records for each major release; CAB Approval Minutes; Updated Annex VII Dossier Addenda; Updated EU Declaration of Conformity (if triggered).</t>
        </is>
      </c>
      <c r="P40" s="38" t="inlineStr">
        <is>
          <t>100% of major software releases and feature updates screened against Art 3(30) criteria; non-substantial changes documented; substantial modifications routed to new conformity assessment.</t>
        </is>
      </c>
      <c r="Q40" s="42" t="inlineStr">
        <is>
          <t>None</t>
        </is>
      </c>
      <c r="R40" s="42" t="inlineStr">
        <is>
          <t>None</t>
        </is>
      </c>
      <c r="S40" s="42" t="inlineStr">
        <is>
          <t>None</t>
        </is>
      </c>
      <c r="T40" s="42" t="inlineStr">
        <is>
          <t>None</t>
        </is>
      </c>
      <c r="U40" s="42" t="inlineStr">
        <is>
          <t>None</t>
        </is>
      </c>
      <c r="V40" s="43" t="inlineStr">
        <is>
          <t>Partial</t>
        </is>
      </c>
      <c r="W40" s="42" t="inlineStr">
        <is>
          <t>None</t>
        </is>
      </c>
      <c r="X40" s="42" t="inlineStr">
        <is>
          <t>None</t>
        </is>
      </c>
      <c r="Y40" s="42" t="inlineStr">
        <is>
          <t>None</t>
        </is>
      </c>
      <c r="Z40" s="42" t="inlineStr">
        <is>
          <t>None</t>
        </is>
      </c>
      <c r="AA40" s="38" t="inlineStr">
        <is>
          <t>Automated tools cannot evaluate legal substantial modification thresholds. TARA supplies the comparative risk profile analysis. Governance is enforced by the CAB.</t>
        </is>
      </c>
      <c r="AB40" s="38" t="inlineStr">
        <is>
          <t>Engineering CAB Regulatory Gating Filter; Architectural Delta Analysis SOP; legal re-certification checklist.</t>
        </is>
      </c>
      <c r="AC40" s="50" t="inlineStr">
        <is>
          <t>High</t>
        </is>
      </c>
      <c r="AD40" s="46" t="inlineStr">
        <is>
          <t>https://eur-lex.europa.eu/eli/reg/2024/2847/oj</t>
        </is>
      </c>
      <c r="AE40" s="38" t="inlineStr">
        <is>
          <t>Routine security patches and minor bug fixes that do not increase the risk profile do NOT constitute substantial modifications (Guidance C(2026) 5252 Pt 15).</t>
        </is>
      </c>
    </row>
    <row r="41" ht="65" customHeight="1">
      <c r="A41" s="47" t="inlineStr">
        <is>
          <t>CRA-REQ-REP-01</t>
        </is>
      </c>
      <c r="B41" s="48" t="inlineStr">
        <is>
          <t>Art 14(1)–(3), Art 16; Del Reg (EU) 2026/881</t>
        </is>
      </c>
      <c r="C41" s="9" t="inlineStr">
        <is>
          <t>Statutory Multi-Stage Reporting of Actively Exploited Vulnerabilities</t>
        </is>
      </c>
      <c r="D41" s="9" t="inlineStr">
        <is>
          <t>Manufacturers shall notify any actively exploited vulnerability contained in the product with digital elements to the CSIRT designated as coordinator and to ENISA via the Single Reporting Platform within strict statutory deadlines: 24h Early Warning, 72h Detailed Notification, and 14-day Final Report.</t>
        </is>
      </c>
      <c r="E41" s="48" t="inlineStr">
        <is>
          <t>Reporting</t>
        </is>
      </c>
      <c r="F41" s="39" t="inlineStr">
        <is>
          <t>Mandatory (LIVE STATUTORY LAW since 11 September 2026; applies retroactively to all products made available on Union market)</t>
        </is>
      </c>
      <c r="G41" s="48" t="inlineStr">
        <is>
          <t>CISO, PSIRT Incident Commander, Legal Counsel</t>
        </is>
      </c>
      <c r="H41" s="41" t="inlineStr">
        <is>
          <t>Supporting</t>
        </is>
      </c>
      <c r="I41" s="41" t="inlineStr">
        <is>
          <t>Supporting</t>
        </is>
      </c>
      <c r="J41" s="41" t="inlineStr">
        <is>
          <t>Supporting</t>
        </is>
      </c>
      <c r="K41" s="41" t="inlineStr">
        <is>
          <t>Supporting</t>
        </is>
      </c>
      <c r="L41" s="40" t="inlineStr">
        <is>
          <t>Yes</t>
        </is>
      </c>
      <c r="M41" s="9" t="inlineStr">
        <is>
          <t>Operationalize the Article 14 Reporting Runbook: establish 24/7/365 PSIRT awareness monitoring; configure access to ENISA Single Reporting Platform (SRP - portal.cra-srp.enisa.europa.eu) via EU Login / FIDO2; execute statutory notification clock upon becoming aware of active exploitation (24h early warning, 72h detailed notification, 14-day final report). Request delayed dissemination under Delegated Regulation (EU) 2026/881 if disclosure creates imminent exploitation risk.</t>
        </is>
      </c>
      <c r="N41" s="9" t="inlineStr">
        <is>
          <t>Article 14 Operational Runbook; ENISA SRP accounts with primary/secondary representatives; 24/7 PSIRT incident escalation tree; emergency template repository; CSIRT coordinator hotline directory.</t>
        </is>
      </c>
      <c r="O41" s="9" t="inlineStr">
        <is>
          <t>ENISA SRP Submission Confirmation Receipts; PSIRT Incident Awareness Timestamp Logs; 24h Early Warning Records; 72h Notification Dossiers; 14-Day Final Technical Reports.</t>
        </is>
      </c>
      <c r="P41" s="9" t="inlineStr">
        <is>
          <t>100% of confirmed actively exploited vulnerabilities reported within 24h of awareness; detailed technical report submitted within 72h; final report submitted within 14 days or upon patch availability.</t>
        </is>
      </c>
      <c r="Q41" s="42" t="inlineStr">
        <is>
          <t>None</t>
        </is>
      </c>
      <c r="R41" s="42" t="inlineStr">
        <is>
          <t>None</t>
        </is>
      </c>
      <c r="S41" s="42" t="inlineStr">
        <is>
          <t>None</t>
        </is>
      </c>
      <c r="T41" s="42" t="inlineStr">
        <is>
          <t>None</t>
        </is>
      </c>
      <c r="U41" s="42" t="inlineStr">
        <is>
          <t>None</t>
        </is>
      </c>
      <c r="V41" s="42" t="inlineStr">
        <is>
          <t>None</t>
        </is>
      </c>
      <c r="W41" s="42" t="inlineStr">
        <is>
          <t>None</t>
        </is>
      </c>
      <c r="X41" s="42" t="inlineStr">
        <is>
          <t>None</t>
        </is>
      </c>
      <c r="Y41" s="42" t="inlineStr">
        <is>
          <t>None</t>
        </is>
      </c>
      <c r="Z41" s="42" t="inlineStr">
        <is>
          <t>None</t>
        </is>
      </c>
      <c r="AA41" s="9" t="inlineStr">
        <is>
          <t>Zero tool coverage. Statutory regulatory reporting obligation enforced via European cybersecurity authorities. Tools may identify the bug, but cannot execute legal ENISA SRP filings.</t>
        </is>
      </c>
      <c r="AB41" s="9" t="inlineStr">
        <is>
          <t>Live Article 14 Incident Response Runbook; bi-annual simulated reporting drills; 24/7 legal escalation roster; ENISA SRP credential custody.</t>
        </is>
      </c>
      <c r="AC41" s="45" t="inlineStr">
        <is>
          <t>Critical</t>
        </is>
      </c>
      <c r="AD41" s="49" t="inlineStr">
        <is>
          <t>https://eur-lex.europa.eu/eli/reg/2024/2847/oj</t>
        </is>
      </c>
      <c r="AE41" s="9" t="inlineStr">
        <is>
          <t>LIVE RIGHT NOW (enforceable since 11 September 2026). Violations incur fines under Art 64(2) of up to €15,000,000 or 2.5% of worldwide annual turnover.</t>
        </is>
      </c>
    </row>
    <row r="42" ht="65" customHeight="1">
      <c r="A42" s="36" t="inlineStr">
        <is>
          <t>CRA-REQ-REP-02</t>
        </is>
      </c>
      <c r="B42" s="37" t="inlineStr">
        <is>
          <t>Art 14(3)–(5), Art 16</t>
        </is>
      </c>
      <c r="C42" s="38" t="inlineStr">
        <is>
          <t>Statutory Multi-Stage Reporting of Severe Product Security Incidents</t>
        </is>
      </c>
      <c r="D42" s="38" t="inlineStr">
        <is>
          <t>Manufacturers shall notify any severe incident having an impact on the security of the product with digital elements to the CSIRT designated as coordinator and to ENISA via the Single Reporting Platform: 24h Early Warning, 72h Incident Notification, and 1-month Final Report.</t>
        </is>
      </c>
      <c r="E42" s="37" t="inlineStr">
        <is>
          <t>Reporting</t>
        </is>
      </c>
      <c r="F42" s="39" t="inlineStr">
        <is>
          <t>Mandatory (LIVE STATUTORY LAW since 11 September 2026; covers incidents compromising product availability, integrity, or delivery infrastructure)</t>
        </is>
      </c>
      <c r="G42" s="37" t="inlineStr">
        <is>
          <t>CISO, Head of Security Operations, Legal Counsel</t>
        </is>
      </c>
      <c r="H42" s="41" t="inlineStr">
        <is>
          <t>Supporting</t>
        </is>
      </c>
      <c r="I42" s="41" t="inlineStr">
        <is>
          <t>Supporting</t>
        </is>
      </c>
      <c r="J42" s="41" t="inlineStr">
        <is>
          <t>Supporting</t>
        </is>
      </c>
      <c r="K42" s="41" t="inlineStr">
        <is>
          <t>Supporting</t>
        </is>
      </c>
      <c r="L42" s="40" t="inlineStr">
        <is>
          <t>Yes</t>
        </is>
      </c>
      <c r="M42" s="38" t="inlineStr">
        <is>
          <t>Integrate CRA severe incident reporting into corporate SOC/CSIRT workflows: identify incidents impacting PDE security (e.g., compromise of build pipeline, code-signing key theft, malicious supply chain injection, disruption of update infrastructure, active remote exploitation causing material harm). Submit 24h Early Warning, 72h Detailed Notification, and 1-Month Final Comprehensive Report via ENISA SRP.</t>
        </is>
      </c>
      <c r="N42" s="38" t="inlineStr">
        <is>
          <t>SOC Severe Incident Identification Matrix; automated ENISA SRP notification workflow; bridge protocol linking NIS2 incident response with CRA Article 14 reporting; executive crisis management team.</t>
        </is>
      </c>
      <c r="O42" s="38" t="inlineStr">
        <is>
          <t>ENISA SRP Incident Notification Receipts; SOC Incident Severity Triage Logs; 24h Early Warning Records; 72h Detailed Notification Reports; 1-Month Final Incident Root-Cause Dossiers.</t>
        </is>
      </c>
      <c r="P42" s="38" t="inlineStr">
        <is>
          <t>Statutory deadlines strictly met (24h early warning, 72h notification, 1-month final report); root-cause analysis and remediation roadmap formally documented.</t>
        </is>
      </c>
      <c r="Q42" s="42" t="inlineStr">
        <is>
          <t>None</t>
        </is>
      </c>
      <c r="R42" s="42" t="inlineStr">
        <is>
          <t>None</t>
        </is>
      </c>
      <c r="S42" s="42" t="inlineStr">
        <is>
          <t>None</t>
        </is>
      </c>
      <c r="T42" s="42" t="inlineStr">
        <is>
          <t>None</t>
        </is>
      </c>
      <c r="U42" s="42" t="inlineStr">
        <is>
          <t>None</t>
        </is>
      </c>
      <c r="V42" s="42" t="inlineStr">
        <is>
          <t>None</t>
        </is>
      </c>
      <c r="W42" s="42" t="inlineStr">
        <is>
          <t>None</t>
        </is>
      </c>
      <c r="X42" s="42" t="inlineStr">
        <is>
          <t>None</t>
        </is>
      </c>
      <c r="Y42" s="42" t="inlineStr">
        <is>
          <t>None</t>
        </is>
      </c>
      <c r="Z42" s="42" t="inlineStr">
        <is>
          <t>None</t>
        </is>
      </c>
      <c r="AA42" s="38" t="inlineStr">
        <is>
          <t>Zero tool coverage. Statutory CSIRT/ENISA incident notification procedure requiring legal and operational coordination.</t>
        </is>
      </c>
      <c r="AB42" s="38" t="inlineStr">
        <is>
          <t>Article 14 Severe Incident Runbook; SOC severity classification playbooks; tabletop incident simulation exercises.</t>
        </is>
      </c>
      <c r="AC42" s="45" t="inlineStr">
        <is>
          <t>Critical</t>
        </is>
      </c>
      <c r="AD42" s="46" t="inlineStr">
        <is>
          <t>https://eur-lex.europa.eu/eli/reg/2024/2847/oj</t>
        </is>
      </c>
      <c r="AE42" s="38" t="inlineStr">
        <is>
          <t>Applies when the incident impacts the security of the product itself or the infrastructure used to develop, build, sign, or distribute updates.</t>
        </is>
      </c>
    </row>
    <row r="43" ht="65" customHeight="1">
      <c r="A43" s="47" t="inlineStr">
        <is>
          <t>CRA-REQ-REP-03</t>
        </is>
      </c>
      <c r="B43" s="48" t="inlineStr">
        <is>
          <t>Art 14(8); Annex I, Part II, point (4)</t>
        </is>
      </c>
      <c r="C43" s="9" t="inlineStr">
        <is>
          <t>Mandatory Timely Notification of Affected Users Regarding Exploits/Incidents</t>
        </is>
      </c>
      <c r="D43" s="9" t="inlineStr">
        <is>
          <t>Where necessary, manufacturers shall inform affected users of the actively exploited vulnerability or severe incident without undue delay and, where relevant, of any risk-mitigation measures that users can take.</t>
        </is>
      </c>
      <c r="E43" s="48" t="inlineStr">
        <is>
          <t>Reporting</t>
        </is>
      </c>
      <c r="F43" s="39" t="inlineStr">
        <is>
          <t>Mandatory (Applies whenever active exploitation or a severe incident threatens user environments)</t>
        </is>
      </c>
      <c r="G43" s="48" t="inlineStr">
        <is>
          <t>CISO, VP Customer Success, Communications Lead, Legal Counsel</t>
        </is>
      </c>
      <c r="H43" s="52" t="inlineStr">
        <is>
          <t>No</t>
        </is>
      </c>
      <c r="I43" s="52" t="inlineStr">
        <is>
          <t>No</t>
        </is>
      </c>
      <c r="J43" s="41" t="inlineStr">
        <is>
          <t>Supporting</t>
        </is>
      </c>
      <c r="K43" s="41" t="inlineStr">
        <is>
          <t>Supporting</t>
        </is>
      </c>
      <c r="L43" s="40" t="inlineStr">
        <is>
          <t>Yes</t>
        </is>
      </c>
      <c r="M43" s="9" t="inlineStr">
        <is>
          <t>Establish a customer emergency advisory mechanism: upon confirming active exploitation or a severe security incident, disseminate clear actionable advisory notices to affected users without undue delay via direct email, in-app notifications, customer portal alerts, and public advisories. Provide interim mitigation steps, configuration workarounds, and update instructions.</t>
        </is>
      </c>
      <c r="N43" s="9" t="inlineStr">
        <is>
          <t>Customer Security Advisory Broadcast Platform; emergency customer contact registry; pre-approved customer communication templates; dedicated customer response hotline/portal.</t>
        </is>
      </c>
      <c r="O43" s="9" t="inlineStr">
        <is>
          <t>Customer Emergency Advisory Broadcast Logs; Published Mitigation Bulletins; Customer Response / Ticket Resolution Metrics; In-App Alert Broadcast Audit Records.</t>
        </is>
      </c>
      <c r="P43" s="9" t="inlineStr">
        <is>
          <t>Customer advisories dispatched without undue delay; clear actionable technical workarounds provided; verified receipt by designated customer security contacts.</t>
        </is>
      </c>
      <c r="Q43" s="42" t="inlineStr">
        <is>
          <t>None</t>
        </is>
      </c>
      <c r="R43" s="42" t="inlineStr">
        <is>
          <t>None</t>
        </is>
      </c>
      <c r="S43" s="42" t="inlineStr">
        <is>
          <t>None</t>
        </is>
      </c>
      <c r="T43" s="42" t="inlineStr">
        <is>
          <t>None</t>
        </is>
      </c>
      <c r="U43" s="42" t="inlineStr">
        <is>
          <t>None</t>
        </is>
      </c>
      <c r="V43" s="42" t="inlineStr">
        <is>
          <t>None</t>
        </is>
      </c>
      <c r="W43" s="42" t="inlineStr">
        <is>
          <t>None</t>
        </is>
      </c>
      <c r="X43" s="42" t="inlineStr">
        <is>
          <t>None</t>
        </is>
      </c>
      <c r="Y43" s="42" t="inlineStr">
        <is>
          <t>None</t>
        </is>
      </c>
      <c r="Z43" s="42" t="inlineStr">
        <is>
          <t>None</t>
        </is>
      </c>
      <c r="AA43" s="9" t="inlineStr">
        <is>
          <t>Zero tool coverage. Customer communications, crisis management, and external customer support process.</t>
        </is>
      </c>
      <c r="AB43" s="9" t="inlineStr">
        <is>
          <t>Customer Emergency Advisory Runbook; customer contact database maintenance; automated advisory dispatch tool.</t>
        </is>
      </c>
      <c r="AC43" s="45" t="inlineStr">
        <is>
          <t>Critical</t>
        </is>
      </c>
      <c r="AD43" s="49" t="inlineStr">
        <is>
          <t>https://eur-lex.europa.eu/eli/reg/2024/2847/oj</t>
        </is>
      </c>
      <c r="AE43" s="9" t="inlineStr">
        <is>
          <t>Timing of user notification should coordinate with patch availability or immediate mitigation guidance to avoid creating unmitigated exposure.</t>
        </is>
      </c>
    </row>
    <row r="44" ht="65" customHeight="1">
      <c r="A44" s="36" t="inlineStr">
        <is>
          <t>CRA-REQ-GOV-01</t>
        </is>
      </c>
      <c r="B44" s="37" t="inlineStr">
        <is>
          <t>Art 13(20)</t>
        </is>
      </c>
      <c r="C44" s="38" t="inlineStr">
        <is>
          <t>Non-Conformity Corrective Actions, Market Surveillance &amp; Product Recall</t>
        </is>
      </c>
      <c r="D44" s="38" t="inlineStr">
        <is>
          <t>Manufacturers who consider or have reason to believe that a product with digital elements is not in conformity with this Regulation shall immediately take the corrective measures necessary to bring that product into conformity, to withdraw it or to recall it, and inform market surveillance authorities.</t>
        </is>
      </c>
      <c r="E44" s="37" t="inlineStr">
        <is>
          <t>Governance</t>
        </is>
      </c>
      <c r="F44" s="39" t="inlineStr">
        <is>
          <t>Mandatory (Statutory product safety compliance and corrective measure mechanism)</t>
        </is>
      </c>
      <c r="G44" s="37" t="inlineStr">
        <is>
          <t>Chief Compliance Officer, Head of Product Quality, Legal Counsel</t>
        </is>
      </c>
      <c r="H44" s="52" t="inlineStr">
        <is>
          <t>No</t>
        </is>
      </c>
      <c r="I44" s="41" t="inlineStr">
        <is>
          <t>Supporting</t>
        </is>
      </c>
      <c r="J44" s="41" t="inlineStr">
        <is>
          <t>Supporting</t>
        </is>
      </c>
      <c r="K44" s="40" t="inlineStr">
        <is>
          <t>Yes</t>
        </is>
      </c>
      <c r="L44" s="40" t="inlineStr">
        <is>
          <t>Yes</t>
        </is>
      </c>
      <c r="M44" s="38" t="inlineStr">
        <is>
          <t>Establish a formal Product Non-Conformity &amp; Recall Procedure: upon identifying non-conformity (e.g. invalid CE mark, unmitigated critical design defect, missing essential requirement), initiate root-cause investigation, determine whether to issue emergency software update, withdraw product from distribution, or initiate customer recall. Notify competent national market surveillance authorities immediately.</t>
        </is>
      </c>
      <c r="N44" s="38" t="inlineStr">
        <is>
          <t>Product Non-Conformity SOP; Executive Product Safety Committee; automated distribution quarantine controls; market surveillance authority notification templates.</t>
        </is>
      </c>
      <c r="O44" s="38" t="inlineStr">
        <is>
          <t>Non-Conformity Incident Investigation Reports; Executive Corrective Action Decision Records; Market Surveillance Authority Notifications; Product Withdrawal / Quarantine Logs.</t>
        </is>
      </c>
      <c r="P44" s="38" t="inlineStr">
        <is>
          <t>Corrective action plan initiated within 48 hours of confirmed non-conformity; national market surveillance authorities notified where serious risk exists; product distribution halted if non-compliant.</t>
        </is>
      </c>
      <c r="Q44" s="42" t="inlineStr">
        <is>
          <t>None</t>
        </is>
      </c>
      <c r="R44" s="42" t="inlineStr">
        <is>
          <t>None</t>
        </is>
      </c>
      <c r="S44" s="42" t="inlineStr">
        <is>
          <t>None</t>
        </is>
      </c>
      <c r="T44" s="42" t="inlineStr">
        <is>
          <t>None</t>
        </is>
      </c>
      <c r="U44" s="42" t="inlineStr">
        <is>
          <t>None</t>
        </is>
      </c>
      <c r="V44" s="42" t="inlineStr">
        <is>
          <t>None</t>
        </is>
      </c>
      <c r="W44" s="42" t="inlineStr">
        <is>
          <t>None</t>
        </is>
      </c>
      <c r="X44" s="42" t="inlineStr">
        <is>
          <t>None</t>
        </is>
      </c>
      <c r="Y44" s="42" t="inlineStr">
        <is>
          <t>None</t>
        </is>
      </c>
      <c r="Z44" s="42" t="inlineStr">
        <is>
          <t>None</t>
        </is>
      </c>
      <c r="AA44" s="38" t="inlineStr">
        <is>
          <t>Zero tool coverage. Executive product safety, quality assurance, and legal regulatory governance.</t>
        </is>
      </c>
      <c r="AB44" s="38" t="inlineStr">
        <is>
          <t>Product Safety &amp; Recall SOP; distribution quarantine mechanism; regulatory authority notification runbook.</t>
        </is>
      </c>
      <c r="AC44" s="50" t="inlineStr">
        <is>
          <t>High</t>
        </is>
      </c>
      <c r="AD44" s="46" t="inlineStr">
        <is>
          <t>https://eur-lex.europa.eu/eli/reg/2024/2847/oj</t>
        </is>
      </c>
      <c r="AE44" s="38" t="inlineStr">
        <is>
          <t>Covers both technical cybersecurity non-conformities and formal administrative non-conformities (e.g., defective CE marking, missing DoC).</t>
        </is>
      </c>
    </row>
    <row r="45" ht="65" customHeight="1">
      <c r="A45" s="47" t="inlineStr">
        <is>
          <t>CRA-REQ-GOV-02</t>
        </is>
      </c>
      <c r="B45" s="48" t="inlineStr">
        <is>
          <t>Art 13(22)</t>
        </is>
      </c>
      <c r="C45" s="9" t="inlineStr">
        <is>
          <t>Advance Statutory Notification of Corporate Cessation or Product Retirement</t>
        </is>
      </c>
      <c r="D45" s="9" t="inlineStr">
        <is>
          <t>Manufacturers shall, where they cease their operations or the commercial activity related to the product with digital elements, inform the market surveillance authorities concerned and users in advance.</t>
        </is>
      </c>
      <c r="E45" s="48" t="inlineStr">
        <is>
          <t>Governance</t>
        </is>
      </c>
      <c r="F45" s="39" t="inlineStr">
        <is>
          <t>Mandatory (Statutory obligation in the event of corporate restructuring, bankruptcy, or product line discontinuation)</t>
        </is>
      </c>
      <c r="G45" s="48" t="inlineStr">
        <is>
          <t>Executive Board, General Counsel, VP Product Management</t>
        </is>
      </c>
      <c r="H45" s="40" t="inlineStr">
        <is>
          <t>Yes</t>
        </is>
      </c>
      <c r="I45" s="52" t="inlineStr">
        <is>
          <t>No</t>
        </is>
      </c>
      <c r="J45" s="52" t="inlineStr">
        <is>
          <t>No</t>
        </is>
      </c>
      <c r="K45" s="41" t="inlineStr">
        <is>
          <t>Supporting</t>
        </is>
      </c>
      <c r="L45" s="40" t="inlineStr">
        <is>
          <t>Yes</t>
        </is>
      </c>
      <c r="M45" s="9" t="inlineStr">
        <is>
          <t>Establish a Corporate Cessation &amp; Product Retirement Protocol: if terminating product line or entering insolvency/restructuring, issue formal advance notification to market surveillance authorities and affected customers. Provide clear information regarding remaining support options, open-sourcing of codebase, code escrow release, or migration recommendations.</t>
        </is>
      </c>
      <c r="N45" s="9" t="inlineStr">
        <is>
          <t>Product Retirement &amp; End-of-Life (EOL) Policy; corporate wind-down legal runbook; code escrow agreements for critical enterprise clients; authority notification register.</t>
        </is>
      </c>
      <c r="O45" s="9" t="inlineStr">
        <is>
          <t>Advance Product Discontinuation Notices; Market Surveillance Authority Communications; Code Escrow Release Records; Customer Retirement Advisory Transmissions.</t>
        </is>
      </c>
      <c r="P45" s="9" t="inlineStr">
        <is>
          <t>Formal advance notice delivered to authorities and customers at least 6 months prior to cessation of vulnerability handling; escrow or alternative maintenance paths executed.</t>
        </is>
      </c>
      <c r="Q45" s="42" t="inlineStr">
        <is>
          <t>None</t>
        </is>
      </c>
      <c r="R45" s="42" t="inlineStr">
        <is>
          <t>None</t>
        </is>
      </c>
      <c r="S45" s="42" t="inlineStr">
        <is>
          <t>None</t>
        </is>
      </c>
      <c r="T45" s="42" t="inlineStr">
        <is>
          <t>None</t>
        </is>
      </c>
      <c r="U45" s="42" t="inlineStr">
        <is>
          <t>None</t>
        </is>
      </c>
      <c r="V45" s="42" t="inlineStr">
        <is>
          <t>None</t>
        </is>
      </c>
      <c r="W45" s="42" t="inlineStr">
        <is>
          <t>None</t>
        </is>
      </c>
      <c r="X45" s="42" t="inlineStr">
        <is>
          <t>None</t>
        </is>
      </c>
      <c r="Y45" s="42" t="inlineStr">
        <is>
          <t>None</t>
        </is>
      </c>
      <c r="Z45" s="42" t="inlineStr">
        <is>
          <t>None</t>
        </is>
      </c>
      <c r="AA45" s="9" t="inlineStr">
        <is>
          <t>Zero tool coverage. Executive corporate governance, legal affairs, and commercial lifecycle management.</t>
        </is>
      </c>
      <c r="AB45" s="9" t="inlineStr">
        <is>
          <t>Software Escrow Policy; Customer EOL Transition Plan; Regulatory Wind-Down Procedure.</t>
        </is>
      </c>
      <c r="AC45" s="51" t="inlineStr">
        <is>
          <t>Medium</t>
        </is>
      </c>
      <c r="AD45" s="49" t="inlineStr">
        <is>
          <t>https://eur-lex.europa.eu/eli/reg/2024/2847/oj</t>
        </is>
      </c>
      <c r="AE45" s="9" t="inlineStr">
        <is>
          <t>Prevents manufacturers from abruptly abandoning products with digital elements without giving customers time to migrate or secure their environments.</t>
        </is>
      </c>
    </row>
    <row r="46" ht="65" customHeight="1">
      <c r="A46" s="36" t="inlineStr">
        <is>
          <t>CRA-REQ-SUP-01</t>
        </is>
      </c>
      <c r="B46" s="37" t="inlineStr">
        <is>
          <t>Arts 17–20</t>
        </is>
      </c>
      <c r="C46" s="38" t="inlineStr">
        <is>
          <t>Supply Chain Due Diligence, Importer Verification &amp; Distributor Compliance</t>
        </is>
      </c>
      <c r="D46" s="38" t="inlineStr">
        <is>
          <t>Economic operators across the supply chain (importers and distributors) shall verify that the manufacturer has carried out the conformity assessment, drawn up technical documentation, affixed the CE marking, and provided user instructions before making products available.</t>
        </is>
      </c>
      <c r="E46" s="37" t="inlineStr">
        <is>
          <t>Governance</t>
        </is>
      </c>
      <c r="F46" s="39" t="inlineStr">
        <is>
          <t>Mandatory (Applies to all distribution channels, value-added resellers, importers, and procurement agreements)</t>
        </is>
      </c>
      <c r="G46" s="37" t="inlineStr">
        <is>
          <t>Supply Chain Director, Procurement Lead, Partner Operations Manager</t>
        </is>
      </c>
      <c r="H46" s="40" t="inlineStr">
        <is>
          <t>Yes</t>
        </is>
      </c>
      <c r="I46" s="52" t="inlineStr">
        <is>
          <t>No</t>
        </is>
      </c>
      <c r="J46" s="41" t="inlineStr">
        <is>
          <t>Supporting</t>
        </is>
      </c>
      <c r="K46" s="40" t="inlineStr">
        <is>
          <t>Yes</t>
        </is>
      </c>
      <c r="L46" s="41" t="inlineStr">
        <is>
          <t>Supporting</t>
        </is>
      </c>
      <c r="M46" s="38" t="inlineStr">
        <is>
          <t>Establish supply chain verification controls across all distribution channels: verify that hardware/software partners hold valid CE marks, complete Annex VII dossiers, signed EU Declarations of Conformity, and compliant Annex II user instructions. Contractually bind distributors not to alter product security parameters or supply non-compliant units.</t>
        </is>
      </c>
      <c r="N46" s="38" t="inlineStr">
        <is>
          <t>Partner Compliance Verification Checklist; distributor contract addenda (CRA compliance clauses); inbound shipment CE mark inspections; distributor training program.</t>
        </is>
      </c>
      <c r="O46" s="38" t="inlineStr">
        <is>
          <t>Distributor &amp; Importer Compliance Audit Records; Inbound Product Inspection Logs; Executed Partner Master Services Agreement CRA Addenda; Distributor Verification Registry.</t>
        </is>
      </c>
      <c r="P46" s="38" t="inlineStr">
        <is>
          <t>100% of commercial distribution partners bound by CRA compliance terms; zero third-party products distributed without verified CE mark and EU DoC.</t>
        </is>
      </c>
      <c r="Q46" s="42" t="inlineStr">
        <is>
          <t>None</t>
        </is>
      </c>
      <c r="R46" s="42" t="inlineStr">
        <is>
          <t>None</t>
        </is>
      </c>
      <c r="S46" s="42" t="inlineStr">
        <is>
          <t>None</t>
        </is>
      </c>
      <c r="T46" s="42" t="inlineStr">
        <is>
          <t>None</t>
        </is>
      </c>
      <c r="U46" s="42" t="inlineStr">
        <is>
          <t>None</t>
        </is>
      </c>
      <c r="V46" s="42" t="inlineStr">
        <is>
          <t>None</t>
        </is>
      </c>
      <c r="W46" s="42" t="inlineStr">
        <is>
          <t>None</t>
        </is>
      </c>
      <c r="X46" s="42" t="inlineStr">
        <is>
          <t>None</t>
        </is>
      </c>
      <c r="Y46" s="42" t="inlineStr">
        <is>
          <t>None</t>
        </is>
      </c>
      <c r="Z46" s="42" t="inlineStr">
        <is>
          <t>None</t>
        </is>
      </c>
      <c r="AA46" s="38" t="inlineStr">
        <is>
          <t>Zero tool coverage. Commercial contract management, supply chain governance, and channel partner oversight.</t>
        </is>
      </c>
      <c r="AB46" s="38" t="inlineStr">
        <is>
          <t>CRA Commercial Partner Addendum; channel distribution auditing; inbound quality control inspection SOP.</t>
        </is>
      </c>
      <c r="AC46" s="50" t="inlineStr">
        <is>
          <t>High</t>
        </is>
      </c>
      <c r="AD46" s="46" t="inlineStr">
        <is>
          <t>https://eur-lex.europa.eu/eli/reg/2024/2847/oj</t>
        </is>
      </c>
      <c r="AE46" s="38" t="inlineStr">
        <is>
          <t>If an importer or distributor modifies a product or markets it under their own brand, they legally become the manufacturer under Art 21 or 22.</t>
        </is>
      </c>
    </row>
  </sheetData>
  <autoFilter ref="A3:AE46"/>
  <mergeCells count="2">
    <mergeCell ref="A1:AE1"/>
    <mergeCell ref="A2:AE2"/>
  </mergeCells>
  <dataValidations count="3">
    <dataValidation sqref="Q4:Z46" showDropDown="0" showInputMessage="0" showErrorMessage="0" allowBlank="1" type="list">
      <formula1>"Full,Partial,None"</formula1>
    </dataValidation>
    <dataValidation sqref="AC4:AC46" showDropDown="0" showInputMessage="0" showErrorMessage="0" allowBlank="1" type="list">
      <formula1>"Critical,High,Medium,Low"</formula1>
    </dataValidation>
    <dataValidation sqref="H4:L46" showDropDown="0" showInputMessage="0" showErrorMessage="0" allowBlank="1" type="list">
      <formula1>"Yes,Supporting,No"</formula1>
    </dataValidation>
  </dataValidations>
  <hyperlinks>
    <hyperlink xmlns:r="http://schemas.openxmlformats.org/officeDocument/2006/relationships" ref="AD4" r:id="rId1"/>
    <hyperlink xmlns:r="http://schemas.openxmlformats.org/officeDocument/2006/relationships" ref="AD5" r:id="rId2"/>
    <hyperlink xmlns:r="http://schemas.openxmlformats.org/officeDocument/2006/relationships" ref="AD6" r:id="rId3"/>
    <hyperlink xmlns:r="http://schemas.openxmlformats.org/officeDocument/2006/relationships" ref="AD7" r:id="rId4"/>
    <hyperlink xmlns:r="http://schemas.openxmlformats.org/officeDocument/2006/relationships" ref="AD8" r:id="rId5"/>
    <hyperlink xmlns:r="http://schemas.openxmlformats.org/officeDocument/2006/relationships" ref="AD9" r:id="rId6"/>
    <hyperlink xmlns:r="http://schemas.openxmlformats.org/officeDocument/2006/relationships" ref="AD10" r:id="rId7"/>
    <hyperlink xmlns:r="http://schemas.openxmlformats.org/officeDocument/2006/relationships" ref="AD11" r:id="rId8"/>
    <hyperlink xmlns:r="http://schemas.openxmlformats.org/officeDocument/2006/relationships" ref="AD12" r:id="rId9"/>
    <hyperlink xmlns:r="http://schemas.openxmlformats.org/officeDocument/2006/relationships" ref="AD13" r:id="rId10"/>
    <hyperlink xmlns:r="http://schemas.openxmlformats.org/officeDocument/2006/relationships" ref="AD14" r:id="rId11"/>
    <hyperlink xmlns:r="http://schemas.openxmlformats.org/officeDocument/2006/relationships" ref="AD15" r:id="rId12"/>
    <hyperlink xmlns:r="http://schemas.openxmlformats.org/officeDocument/2006/relationships" ref="AD16" r:id="rId13"/>
    <hyperlink xmlns:r="http://schemas.openxmlformats.org/officeDocument/2006/relationships" ref="AD17" r:id="rId14"/>
    <hyperlink xmlns:r="http://schemas.openxmlformats.org/officeDocument/2006/relationships" ref="AD18" r:id="rId15"/>
    <hyperlink xmlns:r="http://schemas.openxmlformats.org/officeDocument/2006/relationships" ref="AD19" r:id="rId16"/>
    <hyperlink xmlns:r="http://schemas.openxmlformats.org/officeDocument/2006/relationships" ref="AD20" r:id="rId17"/>
    <hyperlink xmlns:r="http://schemas.openxmlformats.org/officeDocument/2006/relationships" ref="AD21" r:id="rId18"/>
    <hyperlink xmlns:r="http://schemas.openxmlformats.org/officeDocument/2006/relationships" ref="AD22" r:id="rId19"/>
    <hyperlink xmlns:r="http://schemas.openxmlformats.org/officeDocument/2006/relationships" ref="AD23" r:id="rId20"/>
    <hyperlink xmlns:r="http://schemas.openxmlformats.org/officeDocument/2006/relationships" ref="AD24" r:id="rId21"/>
    <hyperlink xmlns:r="http://schemas.openxmlformats.org/officeDocument/2006/relationships" ref="AD25" r:id="rId22"/>
    <hyperlink xmlns:r="http://schemas.openxmlformats.org/officeDocument/2006/relationships" ref="AD26" r:id="rId23"/>
    <hyperlink xmlns:r="http://schemas.openxmlformats.org/officeDocument/2006/relationships" ref="AD27" r:id="rId24"/>
    <hyperlink xmlns:r="http://schemas.openxmlformats.org/officeDocument/2006/relationships" ref="AD28" r:id="rId25"/>
    <hyperlink xmlns:r="http://schemas.openxmlformats.org/officeDocument/2006/relationships" ref="AD29" r:id="rId26"/>
    <hyperlink xmlns:r="http://schemas.openxmlformats.org/officeDocument/2006/relationships" ref="AD30" r:id="rId27"/>
    <hyperlink xmlns:r="http://schemas.openxmlformats.org/officeDocument/2006/relationships" ref="AD31" r:id="rId28"/>
    <hyperlink xmlns:r="http://schemas.openxmlformats.org/officeDocument/2006/relationships" ref="AD32" r:id="rId29"/>
    <hyperlink xmlns:r="http://schemas.openxmlformats.org/officeDocument/2006/relationships" ref="AD33" r:id="rId30"/>
    <hyperlink xmlns:r="http://schemas.openxmlformats.org/officeDocument/2006/relationships" ref="AD34" r:id="rId31"/>
    <hyperlink xmlns:r="http://schemas.openxmlformats.org/officeDocument/2006/relationships" ref="AD35" r:id="rId32"/>
    <hyperlink xmlns:r="http://schemas.openxmlformats.org/officeDocument/2006/relationships" ref="AD36" r:id="rId33"/>
    <hyperlink xmlns:r="http://schemas.openxmlformats.org/officeDocument/2006/relationships" ref="AD37" r:id="rId34"/>
    <hyperlink xmlns:r="http://schemas.openxmlformats.org/officeDocument/2006/relationships" ref="AD38" r:id="rId35"/>
    <hyperlink xmlns:r="http://schemas.openxmlformats.org/officeDocument/2006/relationships" ref="AD39" r:id="rId36"/>
    <hyperlink xmlns:r="http://schemas.openxmlformats.org/officeDocument/2006/relationships" ref="AD40" r:id="rId37"/>
    <hyperlink xmlns:r="http://schemas.openxmlformats.org/officeDocument/2006/relationships" ref="AD41" r:id="rId38"/>
    <hyperlink xmlns:r="http://schemas.openxmlformats.org/officeDocument/2006/relationships" ref="AD42" r:id="rId39"/>
    <hyperlink xmlns:r="http://schemas.openxmlformats.org/officeDocument/2006/relationships" ref="AD43" r:id="rId40"/>
    <hyperlink xmlns:r="http://schemas.openxmlformats.org/officeDocument/2006/relationships" ref="AD44" r:id="rId41"/>
    <hyperlink xmlns:r="http://schemas.openxmlformats.org/officeDocument/2006/relationships" ref="AD45" r:id="rId42"/>
    <hyperlink xmlns:r="http://schemas.openxmlformats.org/officeDocument/2006/relationships" ref="AD46" r:id="rId4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1"/>
  <sheetViews>
    <sheetView showGridLines="1" workbookViewId="0">
      <pane ySplit="5" topLeftCell="A6" activePane="bottomLeft" state="frozen"/>
      <selection pane="bottomLeft" activeCell="A1" sqref="A1"/>
    </sheetView>
  </sheetViews>
  <sheetFormatPr baseColWidth="8" defaultRowHeight="15"/>
  <cols>
    <col width="26" customWidth="1" min="1" max="1"/>
    <col width="24" customWidth="1" min="2" max="2"/>
    <col width="35" customWidth="1" min="3" max="3"/>
    <col width="35" customWidth="1" min="4" max="4"/>
    <col width="28" customWidth="1" min="5" max="5"/>
    <col width="45" customWidth="1" min="6" max="6"/>
    <col width="45" customWidth="1" min="7" max="7"/>
    <col width="35" customWidth="1" min="8" max="8"/>
    <col width="35" customWidth="1" min="9" max="9"/>
    <col width="35" customWidth="1" min="10" max="10"/>
    <col width="35" customWidth="1" min="11" max="11"/>
    <col width="35" customWidth="1" min="12" max="12"/>
  </cols>
  <sheetData>
    <row r="1" ht="25" customHeight="1">
      <c r="A1" s="1" t="inlineStr">
        <is>
          <t>SECURITY TOOLCHAIN COVERAGE EVALUATION &amp; STATISTICAL GAP ANALYSIS</t>
        </is>
      </c>
    </row>
    <row r="2" ht="18" customHeight="1">
      <c r="A2" s="2" t="inlineStr">
        <is>
          <t>Assessment of 10 Security Products &amp; Activities against Regulation (EU) 2024/2847 | Denominator: 43 Evaluated CRA Requirements</t>
        </is>
      </c>
    </row>
    <row r="3"/>
    <row r="4" ht="24" customHeight="1">
      <c r="A4" s="8" t="inlineStr">
        <is>
          <t>TABLE A: TOOL CAPABILITIES, OPERATING MODELS &amp; REGULATORY PROFILES</t>
        </is>
      </c>
    </row>
    <row r="5" ht="26" customHeight="1">
      <c r="A5" s="35" t="inlineStr">
        <is>
          <t>Tool / Activity Name</t>
        </is>
      </c>
      <c r="B5" s="35" t="inlineStr">
        <is>
          <t>Operating Model / Category</t>
        </is>
      </c>
      <c r="C5" s="35" t="inlineStr">
        <is>
          <t>Primary Security Purpose</t>
        </is>
      </c>
      <c r="D5" s="35" t="inlineStr">
        <is>
          <t>Relevant CRA Requirements Supported</t>
        </is>
      </c>
      <c r="E5" s="35" t="inlineStr">
        <is>
          <t>Lifecycle Phases Supported</t>
        </is>
      </c>
      <c r="F5" s="35" t="inlineStr">
        <is>
          <t>Direct Capabilities &amp; Technical Strengths</t>
        </is>
      </c>
      <c r="G5" s="35" t="inlineStr">
        <is>
          <t>Coverage Limitations &amp; Regulatory Blind Spots</t>
        </is>
      </c>
      <c r="H5" s="35" t="inlineStr">
        <is>
          <t>Required Integrations, Setup &amp; Config</t>
        </is>
      </c>
      <c r="I5" s="35" t="inlineStr">
        <is>
          <t>Evidence &amp; Deliverables Generated</t>
        </is>
      </c>
      <c r="J5" s="35" t="inlineStr">
        <is>
          <t>Complementary Controls &amp; Activities Required</t>
        </is>
      </c>
      <c r="K5" s="35" t="inlineStr">
        <is>
          <t>Toolchain Overlaps &amp; Synergies</t>
        </is>
      </c>
      <c r="L5" s="35" t="inlineStr">
        <is>
          <t>Residual Toolchain Gaps</t>
        </is>
      </c>
    </row>
    <row r="6" ht="60" customHeight="1">
      <c r="A6" s="36" t="inlineStr">
        <is>
          <t>SonarQube</t>
        </is>
      </c>
      <c r="B6" s="37" t="inlineStr">
        <is>
          <t>Static Application Security Testing (SAST) &amp; Code Quality Platform</t>
        </is>
      </c>
      <c r="C6" s="38" t="inlineStr">
        <is>
          <t>Continuous automated static code analysis to detect security vulnerabilities, security hotspots, code smells, and software bugs directly in source code repositories.</t>
        </is>
      </c>
      <c r="D6" s="37" t="inlineStr">
        <is>
          <t>CRA-REQ-TECH-01, CRA-REQ-TECH-04, CRA-REQ-TECH-05, CRA-REQ-TECH-06, CRA-REQ-TECH-08, CRA-REQ-TECH-10, CRA-REQ-TECH-11, CRA-REQ-TECH-12, CRA-REQ-VULN-03, CRA-REQ-DOC-01</t>
        </is>
      </c>
      <c r="E6" s="37" t="inlineStr">
        <is>
          <t>Development, Build and Release</t>
        </is>
      </c>
      <c r="F6" s="38" t="inlineStr">
        <is>
          <t>Deep pattern matching and AST analysis across 30+ languages; detects OWASP Top 10, SANS/CWE Top 25, hardcoded secrets, SQL injection, path traversal, weak crypto ciphers, and insecure deserialization. Enforces Quality Gates in pull requests.</t>
        </is>
      </c>
      <c r="G6" s="38" t="inlineStr">
        <is>
          <t>Lacks dynamic runtime context; cannot detect third-party binary/library vulnerabilities (needs SCA); cannot verify operational host configuration or network encryption; cannot generate SBOMs; cannot prove non-exploitability in running application.</t>
        </is>
      </c>
      <c r="H6" s="38" t="inlineStr">
        <is>
          <t>Git repositories (GitHub, GitLab, Bitbucket), CI/CD pipelines (Jenkins, GitHub Actions, GitLab CI), IDE plugins (SonarLint), Quality Gate webhook enforcement.</t>
        </is>
      </c>
      <c r="I6" s="38" t="inlineStr">
        <is>
          <t>SonarQube Quality Gate Status Reports; Static Code Vulnerability Scan Summaries; Security Hotspot Review Logs; Technical Debt &amp; Code Cleanliness Metrics (Annex VII dossier inputs).</t>
        </is>
      </c>
      <c r="J6" s="38" t="inlineStr">
        <is>
          <t>Coverity (for deep memory safety / safety-critical static analysis); Black Duck / Nexus IQ (for open source dependencies and SBOMs); Penetration testing (for business logic validation).</t>
        </is>
      </c>
      <c r="K6" s="38" t="inlineStr">
        <is>
          <t>Overlaps with Coverity on general SAST rules and secret detection; SonarQube is faster and developer-centric, while Coverity provides deeper interprocedural taint analysis.</t>
        </is>
      </c>
      <c r="L6" s="38" t="inlineStr">
        <is>
          <t>Zero coverage of third-party open-source SBOMs, deployed configurations, network attack surfaces, incident reporting, or post-market CVE correlation.</t>
        </is>
      </c>
    </row>
    <row r="7" ht="60" customHeight="1">
      <c r="A7" s="47" t="inlineStr">
        <is>
          <t>Nexus IQ Lifecycle / Nexus IQ CLM</t>
        </is>
      </c>
      <c r="B7" s="48" t="inlineStr">
        <is>
          <t>Software Composition Analysis (SCA) &amp; Open Source Governance Platform</t>
        </is>
      </c>
      <c r="C7" s="9" t="inlineStr">
        <is>
          <t>Automated identification of open-source software (OSS) components, vulnerable third-party dependencies, license compliance risks, and automated policy enforcement across the SDLC.</t>
        </is>
      </c>
      <c r="D7" s="48" t="inlineStr">
        <is>
          <t>CRA-REQ-TECH-01, CRA-REQ-TECH-10, CRA-REQ-VULN-01, CRA-REQ-VULN-02, CRA-REQ-VULN-03, CRA-REQ-MGT-02, CRA-REQ-MGT-04, CRA-REQ-DOC-01</t>
        </is>
      </c>
      <c r="E7" s="48" t="inlineStr">
        <is>
          <t>Development, Build and Release, Maintenance and RUN</t>
        </is>
      </c>
      <c r="F7" s="9" t="inlineStr">
        <is>
          <t>Scans package managers (Maven, npm, PyPI, NuGet, Go, etc.) for direct and transitive dependencies; provides Sonatype proprietary vulnerability intelligence and precise CVE mapping; automates pull-request dependency remediation; enforces build break policies.</t>
        </is>
      </c>
      <c r="G7" s="9" t="inlineStr">
        <is>
          <t>Analyzes third-party dependencies only; cannot inspect first-party custom source code; cannot analyze compiled C/C++ closed-source firmware without package metadata; cannot assess runtime host hardening or network exposure.</t>
        </is>
      </c>
      <c r="H7" s="9" t="inlineStr">
        <is>
          <t>Nexus Repository Manager / Artifactory, CI/CD plugins (Jenkins, GitLab, GitHub Actions), IDE extensions, Jira ticket automation.</t>
        </is>
      </c>
      <c r="I7" s="9" t="inlineStr">
        <is>
          <t>Nexus IQ Policy Compliance Reports; Bill of Materials (BoM) exports (CycloneDX / SPDX); Open Source License Risk Audits; Component Vulnerability Triage Logs.</t>
        </is>
      </c>
      <c r="J7" s="9" t="inlineStr">
        <is>
          <t>SonarQube / Coverity (for custom source code SAST); Dependency-Track (for continuous post-market SBOM lifecycle tracking); Black Duck (for deep binary snippet matching).</t>
        </is>
      </c>
      <c r="K7" s="9" t="inlineStr">
        <is>
          <t>Overlaps directly with Black Duck on open-source SCA and with Dependency-Track on component vulnerability tracking.</t>
        </is>
      </c>
      <c r="L7" s="9" t="inlineStr">
        <is>
          <t>Does not perform static analysis of custom code; cannot perform dynamic penetration testing; does not provide statutory CSIRT/ENISA incident reporting.</t>
        </is>
      </c>
    </row>
    <row r="8" ht="60" customHeight="1">
      <c r="A8" s="36" t="inlineStr">
        <is>
          <t>Penetration Testing</t>
        </is>
      </c>
      <c r="B8" s="37" t="inlineStr">
        <is>
          <t>Offensive Security Assessment &amp; Ethical Hacking Activity / Process</t>
        </is>
      </c>
      <c r="C8" s="38" t="inlineStr">
        <is>
          <t>Comprehensive manual and automated offensive evaluation of running product builds, deployed appliances, APIs, and cloud backends to identify exploitable security flaws and verify defensive controls.</t>
        </is>
      </c>
      <c r="D8" s="37" t="inlineStr">
        <is>
          <t>CRA-REQ-GEN-01, CRA-REQ-TECH-01, CRA-REQ-TECH-02, CRA-REQ-TECH-03, CRA-REQ-TECH-04, CRA-REQ-TECH-05, CRA-REQ-TECH-06, CRA-REQ-TECH-08, CRA-REQ-TECH-09, CRA-REQ-TECH-10, CRA-REQ-TECH-11, CRA-REQ-TECH-12, CRA-REQ-TECH-13, CRA-REQ-VULN-03, CRA-REQ-VULN-07, CRA-REQ-MGT-01, CRA-REQ-DOC-01</t>
        </is>
      </c>
      <c r="E8" s="37" t="inlineStr">
        <is>
          <t>Development, Build and Release, Deployment and Delivery, Maintenance and RUN</t>
        </is>
      </c>
      <c r="F8" s="38" t="inlineStr">
        <is>
          <t>Evaluates complex multi-step attack chains, business logic flaws, authentication/authorization bypasses (IDOR/BOLA), cryptographic protocol implementation, anti-tampering, denial-of-service resilience, and physical/logical reset mechanisms.</t>
        </is>
      </c>
      <c r="G8" s="38" t="inlineStr">
        <is>
          <t>Point-in-time snapshot assessment; heavily reliant on assessor skill and defined testing scope; cannot continuously monitor post-release without repeated engagements; does not produce machine-readable SBOMs or formal legal DoCs.</t>
        </is>
      </c>
      <c r="H8" s="38" t="inlineStr">
        <is>
          <t>Staging/pre-production environments, dedicated testing hardware/appliances, test tenant credentials, threat model documentation inputs.</t>
        </is>
      </c>
      <c r="I8" s="38" t="inlineStr">
        <is>
          <t>Formal Penetration Testing Reports (Executive Summary &amp; Technical Vulnerability Findings); Exploitation Proof-of-Concept (PoC) records; Remediation Retest Verification Certificates (Annex VII evidence).</t>
        </is>
      </c>
      <c r="J8" s="38" t="inlineStr">
        <is>
          <t>TARA / Threat Modeling (defines penetration testing scope and focus); SAST &amp; SCA (filters baseline bugs prior to pentest); DAST (automates repetitive web/API crawling).</t>
        </is>
      </c>
      <c r="K8" s="38" t="inlineStr">
        <is>
          <t>Overlaps with DAST (Burp/ZAP) on web application flaw identification; overlaps with Nessus on exposed service discovery, but with deep exploitation capability.</t>
        </is>
      </c>
      <c r="L8" s="38" t="inlineStr">
        <is>
          <t>Cannot replace continuous automated CI/CD gating; does not generate SBOMs; cannot monitor post-market fleet without re-contracting.</t>
        </is>
      </c>
    </row>
    <row r="9" ht="60" customHeight="1">
      <c r="A9" s="47" t="inlineStr">
        <is>
          <t>Vulnerability Scanning (Nessus / Cyberwatch)</t>
        </is>
      </c>
      <c r="B9" s="48" t="inlineStr">
        <is>
          <t>Infrastructure, Network, Host &amp; Container Vulnerability Management Platform</t>
        </is>
      </c>
      <c r="C9" s="9" t="inlineStr">
        <is>
          <t>Automated network service discovery, operating system vulnerability scanning, container image inspection, and CIS benchmark / hardening configuration auditing.</t>
        </is>
      </c>
      <c r="D9" s="48" t="inlineStr">
        <is>
          <t>CRA-REQ-TECH-01, CRA-REQ-TECH-02, CRA-REQ-TECH-04, CRA-REQ-TECH-05, CRA-REQ-TECH-08, CRA-REQ-TECH-09, CRA-REQ-TECH-10, CRA-REQ-TECH-11, CRA-REQ-TECH-12, CRA-REQ-VULN-03, CRA-REQ-MGT-04, CRA-REQ-DOC-01</t>
        </is>
      </c>
      <c r="E9" s="48" t="inlineStr">
        <is>
          <t>Build and Release, Deployment and Delivery, Maintenance and RUN</t>
        </is>
      </c>
      <c r="F9" s="9" t="inlineStr">
        <is>
          <t>Scans exposed network daemons, operating system patch levels, and misconfigurations; audits CIS Benchmark compliance for Linux/Windows; detects default credentials, outdated SSL/TLS ciphers, and unpatched CVEs in host services. Cyberwatch adds agent-based continuous monitoring.</t>
        </is>
      </c>
      <c r="G9" s="9" t="inlineStr">
        <is>
          <t>Network/OS level focus; cannot inspect application source code syntax or internal logic (needs SAST); cannot test custom web application business workflows or complex API auth (needs DAST/pentest); does not generate software component SBOMs.</t>
        </is>
      </c>
      <c r="H9" s="9" t="inlineStr">
        <is>
          <t>Container registries, hypervisors, cloud infrastructure (AWS/Azure), SIEM platforms, ticketing systems (Jira/ServiceNow).</t>
        </is>
      </c>
      <c r="I9" s="9" t="inlineStr">
        <is>
          <t>Host Vulnerability Scan Reports (Nessus XML/PDF); CIS Benchmark Configuration Compliance Scores; Cyberwatch Continuous Monitoring Asset Dashboards; Patch Verification Logs.</t>
        </is>
      </c>
      <c r="J9" s="9" t="inlineStr">
        <is>
          <t>SonarQube / Coverity (for source code bugs); Nexus IQ / Black Duck (for third-party library dependencies); Penetration testing (for active exploitation verification).</t>
        </is>
      </c>
      <c r="K9" s="9" t="inlineStr">
        <is>
          <t>Overlaps with Burp/ZAP on SSL/TLS and exposed web port detection; overlaps with Black Duck on container base image scanning.</t>
        </is>
      </c>
      <c r="L9" s="9" t="inlineStr">
        <is>
          <t>Zero source code visibility; cannot evaluate application-level threat models or generate product SBOMs; cannot draft Annex II documentation.</t>
        </is>
      </c>
    </row>
    <row r="10" ht="60" customHeight="1">
      <c r="A10" s="36" t="inlineStr">
        <is>
          <t>Data Protection Impact Assessment (DPIA)</t>
        </is>
      </c>
      <c r="B10" s="37" t="inlineStr">
        <is>
          <t>Privacy Governance &amp; Regulatory Risk Assessment Process (GDPR Art 35)</t>
        </is>
      </c>
      <c r="C10" s="38" t="inlineStr">
        <is>
          <t>Structured legal and technical evaluation of personal data processing operations to identify, assess, and mitigate risks to the rights and freedoms of individuals.</t>
        </is>
      </c>
      <c r="D10" s="37" t="inlineStr">
        <is>
          <t>CRA-REQ-GEN-01, CRA-REQ-TECH-04, CRA-REQ-TECH-05, CRA-REQ-TECH-06, CRA-REQ-TECH-07, CRA-REQ-TECH-12, CRA-REQ-TECH-13, CRA-REQ-MGT-01, CRA-REQ-DOC-01</t>
        </is>
      </c>
      <c r="E10" s="37" t="inlineStr">
        <is>
          <t>Presales and Product Planning, Development, Maintenance and RUN</t>
        </is>
      </c>
      <c r="F10" s="38" t="inlineStr">
        <is>
          <t>Assesses personal data flows, processing proportionality, legal basis, data minimisation (Annex I(1)(g)), storage limitation, user consent mechanisms, user telemetry opt-out, and right-to-erasure workflows.</t>
        </is>
      </c>
      <c r="G10" s="38" t="inlineStr">
        <is>
          <t>Governance and privacy process mandated under GDPR Art 35, NOT a technical testing tool. Does NOT evaluate technical product cybersecurity, network resilience, buffer overflows, or general software vulnerabilities under CRA.</t>
        </is>
      </c>
      <c r="H10" s="38" t="inlineStr">
        <is>
          <t>Data Protection Officer (DPO) governance, product requirement specifications, privacy registers, GDPR Art 30 processing records.</t>
        </is>
      </c>
      <c r="I10" s="38" t="inlineStr">
        <is>
          <t>Formal DPIA Assessment Dossier (approved and signed by DPO); Data Processing Register; Privacy Architecture Blueprint; User Consent &amp; Telemetry Configuration Specification.</t>
        </is>
      </c>
      <c r="J10" s="38" t="inlineStr">
        <is>
          <t>Threat Analysis &amp; Risk Analysis (TARA) (pairs cybersecurity risk with privacy impact); Penetration testing (verifies data access boundary enforcement).</t>
        </is>
      </c>
      <c r="K10" s="38" t="inlineStr">
        <is>
          <t>Informs TARA regarding personal data asset values and confidentiality requirements; overlaps conceptually on access control and logging.</t>
        </is>
      </c>
      <c r="L10" s="38" t="inlineStr">
        <is>
          <t>Does not replace cybersecurity risk assessment (Art 13(2)); does not test code, networks, or binaries; cannot satisfy CRA technical conformity by itself.</t>
        </is>
      </c>
    </row>
    <row r="11" ht="60" customHeight="1">
      <c r="A11" s="47" t="inlineStr">
        <is>
          <t>Threat Analysis and Risk Analysis (TARA)</t>
        </is>
      </c>
      <c r="B11" s="48" t="inlineStr">
        <is>
          <t>Foundational Security Architecture &amp; Risk Engineering Process (STRIDE / PASTA / IEC 62443)</t>
        </is>
      </c>
      <c r="C11" s="9" t="inlineStr">
        <is>
          <t>Systematic engineering methodology to identify operational assets, threat actors, attack vectors, vulnerabilities, and potential security impact, guiding secure-by-design architectural choices.</t>
        </is>
      </c>
      <c r="D11" s="48" t="inlineStr">
        <is>
          <t>CRA-REQ-GEN-01, CRA-REQ-TECH-01, CRA-REQ-TECH-02, CRA-REQ-TECH-03, CRA-REQ-TECH-04, CRA-REQ-TECH-05, CRA-REQ-TECH-06, CRA-REQ-TECH-07, CRA-REQ-TECH-08, CRA-REQ-TECH-09, CRA-REQ-TECH-10, CRA-REQ-TECH-11, CRA-REQ-TECH-12, CRA-REQ-TECH-13, CRA-REQ-VULN-03, CRA-REQ-VULN-07, CRA-REQ-MGT-01, CRA-REQ-MGT-02, CRA-REQ-DOC-01, CRA-REQ-CONF-04</t>
        </is>
      </c>
      <c r="E11" s="48" t="inlineStr">
        <is>
          <t>Presales and Product Planning, Development, Maintenance and RUN</t>
        </is>
      </c>
      <c r="F11" s="9" t="inlineStr">
        <is>
          <t>Models trust boundaries, external data flows, privileged execution boundaries, and threat scenarios; defines technical security controls before coding begins; provides mandatory Cybersecurity Risk Assessment for Annex VII dossier.</t>
        </is>
      </c>
      <c r="G11" s="9" t="inlineStr">
        <is>
          <t>Analytical design and planning activity; does not inspect running code, compile software, or scan binaries; depends on implementation fidelity and must be verified by empirical testing.</t>
        </is>
      </c>
      <c r="H11" s="9" t="inlineStr">
        <is>
          <t>Enterprise Architecture tools, threat modeling platforms (IriusRisk, Threat Dragon, Microsoft Threat Modeling Tool), Jira security epic backlogs.</t>
        </is>
      </c>
      <c r="I11" s="9" t="inlineStr">
        <is>
          <t>Cybersecurity Risk Assessment Dossier (Annex VII point 1(b)); Threat Model Architecture Diagrams &amp; Attack Trees; Residual Risk Acceptance Register; Security Requirements Traceability Matrix.</t>
        </is>
      </c>
      <c r="J11" s="9" t="inlineStr">
        <is>
          <t>Penetration testing (empirically tests threat model assumptions); SAST/DAST/SCA (verifies that mitigation controls are implemented correctly).</t>
        </is>
      </c>
      <c r="K11" s="9" t="inlineStr">
        <is>
          <t>Informs penetration testing scoping; pairs with DPIA on data flow risk analysis.</t>
        </is>
      </c>
      <c r="L11" s="9" t="inlineStr">
        <is>
          <t>Cannot verify implementation defects without testing tools; does not generate SBOMs; cannot monitor post-market CVE feeds automatically.</t>
        </is>
      </c>
    </row>
    <row r="12" ht="60" customHeight="1">
      <c r="A12" s="36" t="inlineStr">
        <is>
          <t>Dependency-Track (OWASP)</t>
        </is>
      </c>
      <c r="B12" s="37" t="inlineStr">
        <is>
          <t>Continuous Software Bill of Materials (SBOM) Analysis &amp; Vulnerability Platform</t>
        </is>
      </c>
      <c r="C12" s="38" t="inlineStr">
        <is>
          <t>Ingests CycloneDX and SPDX SBOMs to provide continuous, real-time post-market vulnerability monitoring, license compliance tracking, and exploitability analysis (VEX).</t>
        </is>
      </c>
      <c r="D12" s="37" t="inlineStr">
        <is>
          <t>CRA-REQ-TECH-01, CRA-REQ-VULN-01, CRA-REQ-VULN-02, CRA-REQ-VULN-03, CRA-REQ-MGT-02, CRA-REQ-MGT-04, CRA-REQ-DOC-01, CRA-REQ-DOC-04</t>
        </is>
      </c>
      <c r="E12" s="37" t="inlineStr">
        <is>
          <t>Build and Release, Deployment and Delivery, Maintenance and RUN</t>
        </is>
      </c>
      <c r="F12" s="38" t="inlineStr">
        <is>
          <t>Ingests standard SBOMs; continuously correlates component inventories against NVD, GitHub Advisories, OSV, and Sonatype OSS Index; tracks portfolio-wide vulnerability metrics; generates and ingests VEX (Vulnerability Exploitability eXchange) records; REST API-first architecture.</t>
        </is>
      </c>
      <c r="G12" s="38" t="inlineStr">
        <is>
          <t>Does not generate SBOMs from source code directly (relies on build-time tools like cdxgen/syft); does not perform SAST or DAST; does not scan custom code or running networks.</t>
        </is>
      </c>
      <c r="H12" s="38" t="inlineStr">
        <is>
          <t>CI/CD pipelines via REST API, SBOM generation plugins (cdxgen, Maven/Gradle/npm plugins), DefectDojo, Jira/ServiceNow webhooks, NVD/OSV feeds.</t>
        </is>
      </c>
      <c r="I12" s="38" t="inlineStr">
        <is>
          <t>Centralized Portfolio SBOM Inventory; Real-Time Vulnerability Alert Feeds; Exportable Machine-Readable SBOMs (CycloneDX JSON); VEX Exploitability Statements; Post-Market Triage Logs.</t>
        </is>
      </c>
      <c r="J12" s="38" t="inlineStr">
        <is>
          <t>Nexus IQ / Black Duck (generates SBOMs during build); SonarQube / Coverity (covers custom code); PSIRT triage runbooks.</t>
        </is>
      </c>
      <c r="K12" s="38" t="inlineStr">
        <is>
          <t>Overlaps with Black Duck and Nexus IQ on post-build vulnerability tracking and CVE correlation; Dependency-Track excels as an independent, vendor-neutral SBOM manager.</t>
        </is>
      </c>
      <c r="L12" s="38" t="inlineStr">
        <is>
          <t>Does not scan custom code; cannot test runtime interfaces or configurations; does not handle statutory incident reporting to CSIRTs/ENISA.</t>
        </is>
      </c>
    </row>
    <row r="13" ht="60" customHeight="1">
      <c r="A13" s="47" t="inlineStr">
        <is>
          <t>Black Duck (Synopsys / Black Duck Software)</t>
        </is>
      </c>
      <c r="B13" s="48" t="inlineStr">
        <is>
          <t>Enterprise Software Composition Analysis (SCA) &amp; Binary Analysis Platform</t>
        </is>
      </c>
      <c r="C13" s="9" t="inlineStr">
        <is>
          <t>Comprehensive open-source discovery, deep snippet matching, binary analysis without source code, SBOM generation, license governance, and continuous CVE tracking.</t>
        </is>
      </c>
      <c r="D13" s="48" t="inlineStr">
        <is>
          <t>CRA-REQ-TECH-01, CRA-REQ-TECH-10, CRA-REQ-VULN-01, CRA-REQ-VULN-02, CRA-REQ-VULN-03, CRA-REQ-MGT-02, CRA-REQ-MGT-04, CRA-REQ-DOC-01, CRA-REQ-DOC-04</t>
        </is>
      </c>
      <c r="E13" s="48" t="inlineStr">
        <is>
          <t>Development, Build and Release, Deployment and Delivery, Maintenance and RUN</t>
        </is>
      </c>
      <c r="F13" s="9" t="inlineStr">
        <is>
          <t>Deep signature and code snippet scanning to detect hidden/copied open source; binary analysis identifying components in compiled firmware/executables; enterprise SBOM generation (SPDX, CycloneDX); automated policy gates; continuous post-release CVE alerts.</t>
        </is>
      </c>
      <c r="G13" s="9" t="inlineStr">
        <is>
          <t>Focuses on third-party and open source components; cannot detect custom business logic flaws in proprietary source code (needs Coverity); cannot verify dynamic web endpoints (needs DAST/pentest).</t>
        </is>
      </c>
      <c r="H13" s="9" t="inlineStr">
        <is>
          <t>CI/CD pipelines (Detect wrapper), binary repositories (Artifactory), container registries, enterprise ERP/procurement systems, Jira.</t>
        </is>
      </c>
      <c r="I13" s="9" t="inlineStr">
        <is>
          <t>Black Duck Open Source Audit Reports; Formal SBOM Exports (SPDX 2.3 / CycloneDX 1.6); Open Source License Risk Audits; Component Vulnerability Triage Reports.</t>
        </is>
      </c>
      <c r="J13" s="9" t="inlineStr">
        <is>
          <t>Coverity (pairs as Synopsys Polaris suite for complete code + component coverage); Penetration testing (for runtime verification); TARA (for threat modeling).</t>
        </is>
      </c>
      <c r="K13" s="9" t="inlineStr">
        <is>
          <t>Overlaps directly with Nexus IQ CLM on open source SCA; overlaps with Dependency-Track on SBOM tracking; Black Duck provides superior binary and snippet matching.</t>
        </is>
      </c>
      <c r="L13" s="9" t="inlineStr">
        <is>
          <t>Does not analyze custom proprietary code defects; cannot perform dynamic penetration testing; cannot execute statutory CSIRT notifications.</t>
        </is>
      </c>
    </row>
    <row r="14" ht="60" customHeight="1">
      <c r="A14" s="36" t="inlineStr">
        <is>
          <t>Coverity (Synopsys Coverity)</t>
        </is>
      </c>
      <c r="B14" s="37" t="inlineStr">
        <is>
          <t>Enterprise Deep Static Application Security Testing (SAST) Platform</t>
        </is>
      </c>
      <c r="C14" s="38" t="inlineStr">
        <is>
          <t>Industrial-strength interprocedural static analysis detecting complex memory corruption, concurrency race conditions, taint-flow security flaws, and coding defects across enterprise and embedded codebases.</t>
        </is>
      </c>
      <c r="D14" s="37" t="inlineStr">
        <is>
          <t>CRA-REQ-TECH-01, CRA-REQ-TECH-04, CRA-REQ-TECH-05, CRA-REQ-TECH-06, CRA-REQ-TECH-08, CRA-REQ-TECH-10, CRA-REQ-TECH-11, CRA-REQ-TECH-12, CRA-REQ-VULN-03, CRA-REQ-DOC-01</t>
        </is>
      </c>
      <c r="E14" s="37" t="inlineStr">
        <is>
          <t>Development, Build and Release</t>
        </is>
      </c>
      <c r="F14" s="38" t="inlineStr">
        <is>
          <t>Deep interprocedural control and data flow analysis; premier detection of buffer overflows, use-after-free, double free, integer overflows, memory leaks, null pointer dereferences in C/C++; taint analysis for web frameworks (Java, C#, Go, Python); MISRA, CERT, and OWASP compliance auditing.</t>
        </is>
      </c>
      <c r="G14" s="38" t="inlineStr">
        <is>
          <t>Resource-intensive compilation-based analysis; does not inspect third-party open-source dependency licenses (needs Black Duck); cannot evaluate running services, network protocols, or host configurations.</t>
        </is>
      </c>
      <c r="H14" s="38" t="inlineStr">
        <is>
          <t>Compiler toolchains (GCC, Clang, MSVC, embedded cross-compilers), CI/CD pipelines (Jenkins, GitLab, GitHub Actions), IDE plugins (Fast Desktop), Coverity Connect dashboard.</t>
        </is>
      </c>
      <c r="I14" s="38" t="inlineStr">
        <is>
          <t>Coverity Static Analysis Quality &amp; Security Reports; Memory Safety Defect Verification Logs; MISRA / CERT C Compliance Reports; Pre-Release Static Audit Sign-offs.</t>
        </is>
      </c>
      <c r="J14" s="38" t="inlineStr">
        <is>
          <t>Black Duck (for open-source SCA and SBOMs); SonarQube (for rapid day-to-day developer PR checks); Penetration testing (for dynamic business logic attacks).</t>
        </is>
      </c>
      <c r="K14" s="38" t="inlineStr">
        <is>
          <t>Overlaps with SonarQube on source code scanning; Coverity provides far deeper interprocedural path analysis and memory safety verification for compiled languages.</t>
        </is>
      </c>
      <c r="L14" s="38" t="inlineStr">
        <is>
          <t>Zero SCA / SBOM generation capability; cannot test runtime environments or infrastructure; does not handle post-market fleet monitoring.</t>
        </is>
      </c>
    </row>
    <row r="15" ht="60" customHeight="1">
      <c r="A15" s="47" t="inlineStr">
        <is>
          <t>OWASP ZAP / Burp Suite</t>
        </is>
      </c>
      <c r="B15" s="48" t="inlineStr">
        <is>
          <t>Dynamic Application Security Testing (DAST) &amp; Interactive API Security Tool</t>
        </is>
      </c>
      <c r="C15" s="9" t="inlineStr">
        <is>
          <t>Automated and interactive black-box and gray-box dynamic security testing of running web applications, REST/GraphQL APIs, and WebSocket communication channels.</t>
        </is>
      </c>
      <c r="D15" s="48" t="inlineStr">
        <is>
          <t>CRA-REQ-TECH-01, CRA-REQ-TECH-02, CRA-REQ-TECH-04, CRA-REQ-TECH-05, CRA-REQ-TECH-06, CRA-REQ-TECH-08, CRA-REQ-TECH-09, CRA-REQ-TECH-10, CRA-REQ-VULN-03, CRA-REQ-DOC-01</t>
        </is>
      </c>
      <c r="E15" s="48" t="inlineStr">
        <is>
          <t>Development, Build and Release, Deployment and Delivery</t>
        </is>
      </c>
      <c r="F15" s="9" t="inlineStr">
        <is>
          <t>Active/passive scanning of running endpoints; intercepts and manipulates HTTP/S traffic; identifies injection flaws (SQLi, XSS, SSRF), authentication/session bypasses, insecure direct object references (IDOR), security header misconfigurations, and API rate limiting weaknesses.</t>
        </is>
      </c>
      <c r="G15" s="9" t="inlineStr">
        <is>
          <t>Requires a running, testable target instance; limited visibility into internal source code logic, database structures, or memory state; cannot scan closed-source binaries or generate SBOMs; cannot monitor post-market fleets continuously.</t>
        </is>
      </c>
      <c r="H15" s="9" t="inlineStr">
        <is>
          <t>Staging environments, OpenAPI / Swagger specifications, Postman collections, CI/CD pipelines (ZAP automation framework), DefectDojo, Jira.</t>
        </is>
      </c>
      <c r="I15" s="9" t="inlineStr">
        <is>
          <t>DAST Automated Scan Reports (HTML/JSON); Burp Suite Professional / Enterprise Assessment Dossiers; API Security Vulnerability Logs; HTTP Security Header Audit Records.</t>
        </is>
      </c>
      <c r="J15" s="9" t="inlineStr">
        <is>
          <t>SonarQube / Coverity (SAST finds internal code flaws while DAST finds exposed endpoint flaws); Penetration testing (human tester uses Burp for complex exploits).</t>
        </is>
      </c>
      <c r="K15" s="9" t="inlineStr">
        <is>
          <t>Overlaps with manual penetration testing (Burp is the primary tool used by pentest consultants); overlaps with Nessus on web server header checks.</t>
        </is>
      </c>
      <c r="L15" s="9" t="inlineStr">
        <is>
          <t>Cannot inspect source code or firmware internals; cannot generate SBOMs; cannot verify legal compliance or incident reporting.</t>
        </is>
      </c>
    </row>
    <row r="16"/>
    <row r="17"/>
    <row r="18" ht="24" customHeight="1">
      <c r="A18" s="8" t="inlineStr">
        <is>
          <t>TABLE B: QUANTITATIVE TOOL COVERAGE METRICS &amp; STATISTICAL SUMMARY (EXCEL FORMULAS)</t>
        </is>
      </c>
    </row>
    <row r="19" ht="18" customHeight="1">
      <c r="A19" s="2" t="inlineStr">
        <is>
          <t>Methodology: Evaluated across all 43 traceable CRA requirements. Excludes Non-Applicable requirements from denominator. Formulas dynamically reference 'CRA Requirements Matrix'.</t>
        </is>
      </c>
    </row>
    <row r="20" ht="26" customHeight="1">
      <c r="A20" s="11" t="inlineStr">
        <is>
          <t>Tool / Activity Name</t>
        </is>
      </c>
      <c r="B20" s="11" t="inlineStr">
        <is>
          <t>Total Applicable Reqs (Denominator)</t>
        </is>
      </c>
      <c r="C20" s="11" t="inlineStr">
        <is>
          <t>Full Coverage Count</t>
        </is>
      </c>
      <c r="D20" s="11" t="inlineStr">
        <is>
          <t>Full Coverage %</t>
        </is>
      </c>
      <c r="E20" s="11" t="inlineStr">
        <is>
          <t>Partial Coverage Count</t>
        </is>
      </c>
      <c r="F20" s="11" t="inlineStr">
        <is>
          <t>Partial Coverage %</t>
        </is>
      </c>
      <c r="G20" s="11" t="inlineStr">
        <is>
          <t>None Coverage Count</t>
        </is>
      </c>
      <c r="H20" s="11" t="inlineStr">
        <is>
          <t>None Coverage %</t>
        </is>
      </c>
      <c r="I20" s="11" t="inlineStr">
        <is>
          <t>Direct Technical Contribution %</t>
        </is>
      </c>
      <c r="J20" s="11" t="inlineStr">
        <is>
          <t>Primary Lifecycle Focus</t>
        </is>
      </c>
      <c r="K20" s="11" t="inlineStr">
        <is>
          <t>Operational Methodology &amp; Scoping Assumptions</t>
        </is>
      </c>
    </row>
    <row r="21" ht="28" customHeight="1">
      <c r="A21" s="20" t="inlineStr">
        <is>
          <t>SonarQube</t>
        </is>
      </c>
      <c r="B21" s="21" t="n">
        <v>43</v>
      </c>
      <c r="C21" s="14">
        <f>COUNTIF('CRA Requirements Matrix'!Q$4:Q$46, "Full")</f>
        <v/>
      </c>
      <c r="D21" s="15">
        <f>C21/B21</f>
        <v/>
      </c>
      <c r="E21" s="16">
        <f>COUNTIF('CRA Requirements Matrix'!Q$4:Q$46, "Partial")</f>
        <v/>
      </c>
      <c r="F21" s="17">
        <f>E21/B21</f>
        <v/>
      </c>
      <c r="G21" s="54">
        <f>COUNTIF('CRA Requirements Matrix'!Q$4:Q$46, "None")</f>
        <v/>
      </c>
      <c r="H21" s="19">
        <f>G21/B21</f>
        <v/>
      </c>
      <c r="I21" s="22">
        <f>(C21+E21)/B21</f>
        <v/>
      </c>
      <c r="J21" s="21" t="inlineStr">
        <is>
          <t>Development, Build and Release</t>
        </is>
      </c>
      <c r="K21" s="55" t="inlineStr">
        <is>
          <t>Automated code quality &amp; SAST gating in CI/CD for first-party code.</t>
        </is>
      </c>
    </row>
    <row r="22" ht="28" customHeight="1">
      <c r="A22" s="12" t="inlineStr">
        <is>
          <t>Nexus IQ Lifecycle / CLM</t>
        </is>
      </c>
      <c r="B22" s="13" t="n">
        <v>43</v>
      </c>
      <c r="C22" s="14">
        <f>COUNTIF('CRA Requirements Matrix'!R$4:R$46, "Full")</f>
        <v/>
      </c>
      <c r="D22" s="15">
        <f>C22/B22</f>
        <v/>
      </c>
      <c r="E22" s="16">
        <f>COUNTIF('CRA Requirements Matrix'!R$4:R$46, "Partial")</f>
        <v/>
      </c>
      <c r="F22" s="17">
        <f>E22/B22</f>
        <v/>
      </c>
      <c r="G22" s="54">
        <f>COUNTIF('CRA Requirements Matrix'!R$4:R$46, "None")</f>
        <v/>
      </c>
      <c r="H22" s="19">
        <f>G22/B22</f>
        <v/>
      </c>
      <c r="I22" s="18">
        <f>(C22+E22)/B22</f>
        <v/>
      </c>
      <c r="J22" s="13" t="inlineStr">
        <is>
          <t>Development, Build, RUN</t>
        </is>
      </c>
      <c r="K22" s="56" t="inlineStr">
        <is>
          <t>SCA package manager scanning; policy enforcement for open source libraries.</t>
        </is>
      </c>
    </row>
    <row r="23" ht="28" customHeight="1">
      <c r="A23" s="20" t="inlineStr">
        <is>
          <t>Penetration Testing</t>
        </is>
      </c>
      <c r="B23" s="21" t="n">
        <v>43</v>
      </c>
      <c r="C23" s="14">
        <f>COUNTIF('CRA Requirements Matrix'!S$4:S$46, "Full")</f>
        <v/>
      </c>
      <c r="D23" s="15">
        <f>C23/B23</f>
        <v/>
      </c>
      <c r="E23" s="16">
        <f>COUNTIF('CRA Requirements Matrix'!S$4:S$46, "Partial")</f>
        <v/>
      </c>
      <c r="F23" s="17">
        <f>E23/B23</f>
        <v/>
      </c>
      <c r="G23" s="54">
        <f>COUNTIF('CRA Requirements Matrix'!S$4:S$46, "None")</f>
        <v/>
      </c>
      <c r="H23" s="19">
        <f>G23/B23</f>
        <v/>
      </c>
      <c r="I23" s="22">
        <f>(C23+E23)/B23</f>
        <v/>
      </c>
      <c r="J23" s="21" t="inlineStr">
        <is>
          <t>Development, Build, RUN</t>
        </is>
      </c>
      <c r="K23" s="55" t="inlineStr">
        <is>
          <t>Offensive security verification of running product builds &amp; APIs.</t>
        </is>
      </c>
    </row>
    <row r="24" ht="28" customHeight="1">
      <c r="A24" s="12" t="inlineStr">
        <is>
          <t>Vulnerability Scanning (Nessus / Cyberwatch)</t>
        </is>
      </c>
      <c r="B24" s="13" t="n">
        <v>43</v>
      </c>
      <c r="C24" s="14">
        <f>COUNTIF('CRA Requirements Matrix'!T$4:T$46, "Full")</f>
        <v/>
      </c>
      <c r="D24" s="15">
        <f>C24/B24</f>
        <v/>
      </c>
      <c r="E24" s="16">
        <f>COUNTIF('CRA Requirements Matrix'!T$4:T$46, "Partial")</f>
        <v/>
      </c>
      <c r="F24" s="17">
        <f>E24/B24</f>
        <v/>
      </c>
      <c r="G24" s="54">
        <f>COUNTIF('CRA Requirements Matrix'!T$4:T$46, "None")</f>
        <v/>
      </c>
      <c r="H24" s="19">
        <f>G24/B24</f>
        <v/>
      </c>
      <c r="I24" s="18">
        <f>(C24+E24)/B24</f>
        <v/>
      </c>
      <c r="J24" s="13" t="inlineStr">
        <is>
          <t>Build, Deployment, RUN</t>
        </is>
      </c>
      <c r="K24" s="56" t="inlineStr">
        <is>
          <t>Infrastructure, OS, daemon, and CIS configuration hardening auditing.</t>
        </is>
      </c>
    </row>
    <row r="25" ht="28" customHeight="1">
      <c r="A25" s="20" t="inlineStr">
        <is>
          <t>Data Protection Impact Assessment (DPIA)</t>
        </is>
      </c>
      <c r="B25" s="21" t="n">
        <v>43</v>
      </c>
      <c r="C25" s="14">
        <f>COUNTIF('CRA Requirements Matrix'!U$4:U$46, "Full")</f>
        <v/>
      </c>
      <c r="D25" s="15">
        <f>C25/B25</f>
        <v/>
      </c>
      <c r="E25" s="16">
        <f>COUNTIF('CRA Requirements Matrix'!U$4:U$46, "Partial")</f>
        <v/>
      </c>
      <c r="F25" s="17">
        <f>E25/B25</f>
        <v/>
      </c>
      <c r="G25" s="54">
        <f>COUNTIF('CRA Requirements Matrix'!U$4:U$46, "None")</f>
        <v/>
      </c>
      <c r="H25" s="19">
        <f>G25/B25</f>
        <v/>
      </c>
      <c r="I25" s="22">
        <f>(C25+E25)/B25</f>
        <v/>
      </c>
      <c r="J25" s="21" t="inlineStr">
        <is>
          <t>Planning, Development</t>
        </is>
      </c>
      <c r="K25" s="55" t="inlineStr">
        <is>
          <t>GDPR Art 35 privacy assessment; addresses data minimisation &amp; rights.</t>
        </is>
      </c>
    </row>
    <row r="26" ht="28" customHeight="1">
      <c r="A26" s="12" t="inlineStr">
        <is>
          <t>Threat Analysis &amp; Risk Analysis (TARA)</t>
        </is>
      </c>
      <c r="B26" s="13" t="n">
        <v>43</v>
      </c>
      <c r="C26" s="14">
        <f>COUNTIF('CRA Requirements Matrix'!V$4:V$46, "Full")</f>
        <v/>
      </c>
      <c r="D26" s="15">
        <f>C26/B26</f>
        <v/>
      </c>
      <c r="E26" s="16">
        <f>COUNTIF('CRA Requirements Matrix'!V$4:V$46, "Partial")</f>
        <v/>
      </c>
      <c r="F26" s="17">
        <f>E26/B26</f>
        <v/>
      </c>
      <c r="G26" s="54">
        <f>COUNTIF('CRA Requirements Matrix'!V$4:V$46, "None")</f>
        <v/>
      </c>
      <c r="H26" s="19">
        <f>G26/B26</f>
        <v/>
      </c>
      <c r="I26" s="18">
        <f>(C26+E26)/B26</f>
        <v/>
      </c>
      <c r="J26" s="13" t="inlineStr">
        <is>
          <t>Planning, Design, RUN</t>
        </is>
      </c>
      <c r="K26" s="56" t="inlineStr">
        <is>
          <t>Foundational engineering process deriving Annex VII risk assessment.</t>
        </is>
      </c>
    </row>
    <row r="27" ht="28" customHeight="1">
      <c r="A27" s="20" t="inlineStr">
        <is>
          <t>Dependency-Track</t>
        </is>
      </c>
      <c r="B27" s="21" t="n">
        <v>43</v>
      </c>
      <c r="C27" s="14">
        <f>COUNTIF('CRA Requirements Matrix'!W$4:W$46, "Full")</f>
        <v/>
      </c>
      <c r="D27" s="15">
        <f>C27/B27</f>
        <v/>
      </c>
      <c r="E27" s="16">
        <f>COUNTIF('CRA Requirements Matrix'!W$4:W$46, "Partial")</f>
        <v/>
      </c>
      <c r="F27" s="17">
        <f>E27/B27</f>
        <v/>
      </c>
      <c r="G27" s="54">
        <f>COUNTIF('CRA Requirements Matrix'!W$4:W$46, "None")</f>
        <v/>
      </c>
      <c r="H27" s="19">
        <f>G27/B27</f>
        <v/>
      </c>
      <c r="I27" s="22">
        <f>(C27+E27)/B27</f>
        <v/>
      </c>
      <c r="J27" s="21" t="inlineStr">
        <is>
          <t>Build, Deployment, RUN</t>
        </is>
      </c>
      <c r="K27" s="55" t="inlineStr">
        <is>
          <t>Continuous SBOM ingestion &amp; post-market vulnerability monitoring.</t>
        </is>
      </c>
    </row>
    <row r="28" ht="28" customHeight="1">
      <c r="A28" s="12" t="inlineStr">
        <is>
          <t>Black Duck</t>
        </is>
      </c>
      <c r="B28" s="13" t="n">
        <v>43</v>
      </c>
      <c r="C28" s="14">
        <f>COUNTIF('CRA Requirements Matrix'!X$4:X$46, "Full")</f>
        <v/>
      </c>
      <c r="D28" s="15">
        <f>C28/B28</f>
        <v/>
      </c>
      <c r="E28" s="16">
        <f>COUNTIF('CRA Requirements Matrix'!X$4:X$46, "Partial")</f>
        <v/>
      </c>
      <c r="F28" s="17">
        <f>E28/B28</f>
        <v/>
      </c>
      <c r="G28" s="54">
        <f>COUNTIF('CRA Requirements Matrix'!X$4:X$46, "None")</f>
        <v/>
      </c>
      <c r="H28" s="19">
        <f>G28/B28</f>
        <v/>
      </c>
      <c r="I28" s="18">
        <f>(C28+E28)/B28</f>
        <v/>
      </c>
      <c r="J28" s="13" t="inlineStr">
        <is>
          <t>Development, Build, RUN</t>
        </is>
      </c>
      <c r="K28" s="56" t="inlineStr">
        <is>
          <t>Enterprise SCA, binary analysis, and SPDX/CycloneDX SBOM generation.</t>
        </is>
      </c>
    </row>
    <row r="29" ht="28" customHeight="1">
      <c r="A29" s="20" t="inlineStr">
        <is>
          <t>Coverity</t>
        </is>
      </c>
      <c r="B29" s="21" t="n">
        <v>43</v>
      </c>
      <c r="C29" s="14">
        <f>COUNTIF('CRA Requirements Matrix'!Y$4:Y$46, "Full")</f>
        <v/>
      </c>
      <c r="D29" s="15">
        <f>C29/B29</f>
        <v/>
      </c>
      <c r="E29" s="16">
        <f>COUNTIF('CRA Requirements Matrix'!Y$4:Y$46, "Partial")</f>
        <v/>
      </c>
      <c r="F29" s="17">
        <f>E29/B29</f>
        <v/>
      </c>
      <c r="G29" s="54">
        <f>COUNTIF('CRA Requirements Matrix'!Y$4:Y$46, "None")</f>
        <v/>
      </c>
      <c r="H29" s="19">
        <f>G29/B29</f>
        <v/>
      </c>
      <c r="I29" s="22">
        <f>(C29+E29)/B29</f>
        <v/>
      </c>
      <c r="J29" s="21" t="inlineStr">
        <is>
          <t>Development, Build</t>
        </is>
      </c>
      <c r="K29" s="55" t="inlineStr">
        <is>
          <t>Deep static analysis for memory safety &amp; defects in C/C++/Java/Go.</t>
        </is>
      </c>
    </row>
    <row r="30" ht="28" customHeight="1">
      <c r="A30" s="12" t="inlineStr">
        <is>
          <t>OWASP ZAP / Burp Suite</t>
        </is>
      </c>
      <c r="B30" s="13" t="n">
        <v>43</v>
      </c>
      <c r="C30" s="14">
        <f>COUNTIF('CRA Requirements Matrix'!Z$4:Z$46, "Full")</f>
        <v/>
      </c>
      <c r="D30" s="15">
        <f>C30/B30</f>
        <v/>
      </c>
      <c r="E30" s="16">
        <f>COUNTIF('CRA Requirements Matrix'!Z$4:Z$46, "Partial")</f>
        <v/>
      </c>
      <c r="F30" s="17">
        <f>E30/B30</f>
        <v/>
      </c>
      <c r="G30" s="54">
        <f>COUNTIF('CRA Requirements Matrix'!Z$4:Z$46, "None")</f>
        <v/>
      </c>
      <c r="H30" s="19">
        <f>G30/B30</f>
        <v/>
      </c>
      <c r="I30" s="18">
        <f>(C30+E30)/B30</f>
        <v/>
      </c>
      <c r="J30" s="13" t="inlineStr">
        <is>
          <t>Development, Build, Deployment</t>
        </is>
      </c>
      <c r="K30" s="56" t="inlineStr">
        <is>
          <t>Dynamic application &amp; API security testing against exposed endpoints.</t>
        </is>
      </c>
    </row>
    <row r="31" ht="30" customHeight="1">
      <c r="A31" s="23" t="inlineStr">
        <is>
          <t>Toolchain Average</t>
        </is>
      </c>
      <c r="B31" s="24" t="n">
        <v>43</v>
      </c>
      <c r="C31" s="25">
        <f>AVERAGE(C21:C30)</f>
        <v/>
      </c>
      <c r="D31" s="26">
        <f>AVERAGE(D21:D30)</f>
        <v/>
      </c>
      <c r="E31" s="25">
        <f>AVERAGE(E21:E30)</f>
        <v/>
      </c>
      <c r="F31" s="26">
        <f>AVERAGE(F21:F30)</f>
        <v/>
      </c>
      <c r="G31" s="25">
        <f>AVERAGE(G21:G30)</f>
        <v/>
      </c>
      <c r="H31" s="26">
        <f>AVERAGE(H21:H30)</f>
        <v/>
      </c>
      <c r="I31" s="26">
        <f>AVERAGE(I21:I30)</f>
        <v/>
      </c>
      <c r="J31" s="24" t="inlineStr">
        <is>
          <t>Integrated SDLC Toolchain</t>
        </is>
      </c>
      <c r="K31" s="23" t="inlineStr">
        <is>
          <t>Combined toolchain provides layered Defense-in-Depth across source code, dependencies, and runtime.</t>
        </is>
      </c>
    </row>
  </sheetData>
  <mergeCells count="5">
    <mergeCell ref="A2:L2"/>
    <mergeCell ref="A18:K18"/>
    <mergeCell ref="A1:L1"/>
    <mergeCell ref="A19:K19"/>
    <mergeCell ref="A4:L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7"/>
  <sheetViews>
    <sheetView showGridLines="1" workbookViewId="0">
      <pane ySplit="3" topLeftCell="A4" activePane="bottomLeft" state="frozen"/>
      <selection pane="bottomLeft" activeCell="A1" sqref="A1"/>
    </sheetView>
  </sheetViews>
  <sheetFormatPr baseColWidth="8" defaultRowHeight="15"/>
  <cols>
    <col width="22" customWidth="1" min="1" max="1"/>
    <col width="24" customWidth="1" min="2" max="2"/>
    <col width="35" customWidth="1" min="3" max="3"/>
    <col width="25" customWidth="1" min="4" max="4"/>
    <col width="30" customWidth="1" min="5" max="5"/>
    <col width="45" customWidth="1" min="6" max="6"/>
    <col width="42" customWidth="1" min="7" max="7"/>
    <col width="45" customWidth="1" min="8" max="8"/>
  </cols>
  <sheetData>
    <row r="1" ht="25" customHeight="1">
      <c r="A1" s="1" t="inlineStr">
        <is>
          <t>CRA LIFECYCLE CONTROL MAPPING &amp; OPERATIONAL CONTROL GATE ARCHITECTURE</t>
        </is>
      </c>
    </row>
    <row r="2" ht="18" customHeight="1">
      <c r="A2" s="2" t="inlineStr">
        <is>
          <t>Operational Security Actions, Supporting Tools, Required Deliverables, and Approval Gates across 5 Lifecycle Phases</t>
        </is>
      </c>
    </row>
    <row r="3" ht="26" customHeight="1">
      <c r="A3" s="35" t="inlineStr">
        <is>
          <t>CRA Legal Reference</t>
        </is>
      </c>
      <c r="B3" s="35" t="inlineStr">
        <is>
          <t>Lifecycle Phase</t>
        </is>
      </c>
      <c r="C3" s="35" t="inlineStr">
        <is>
          <t>Required Action</t>
        </is>
      </c>
      <c r="D3" s="35" t="inlineStr">
        <is>
          <t>Responsible Role</t>
        </is>
      </c>
      <c r="E3" s="35" t="inlineStr">
        <is>
          <t>Tool or Process Supporting Action</t>
        </is>
      </c>
      <c r="F3" s="35" t="inlineStr">
        <is>
          <t>Required Input and Output</t>
        </is>
      </c>
      <c r="G3" s="35" t="inlineStr">
        <is>
          <t>Evidence to Retain</t>
        </is>
      </c>
      <c r="H3" s="35" t="inlineStr">
        <is>
          <t>Suggested Control Gate or Approval Criterion</t>
        </is>
      </c>
    </row>
    <row r="4" ht="45" customHeight="1">
      <c r="A4" s="36" t="inlineStr">
        <is>
          <t>Art 2(1), Art 3(1), Art 3(12)–(17)</t>
        </is>
      </c>
      <c r="B4" s="57" t="inlineStr">
        <is>
          <t>Presales and Product Planning</t>
        </is>
      </c>
      <c r="C4" s="58" t="inlineStr">
        <is>
          <t>Execute CRA Statutory Scope and Economic Operator Role Assessment</t>
        </is>
      </c>
      <c r="D4" s="38" t="inlineStr">
        <is>
          <t>Presales Lead, Solution Architect, Legal Counsel</t>
        </is>
      </c>
      <c r="E4" s="38" t="inlineStr">
        <is>
          <t>Statutory Applicability Questionnaire &amp; Decision Tree</t>
        </is>
      </c>
      <c r="F4" s="38" t="inlineStr">
        <is>
          <t>Input: Product concept, deployment topology, contractual delivery model. Output: Formal Scope Determination Record &amp; Economic Operator Role Classification (Manufacturer vs Integrator vs Distributor).</t>
        </is>
      </c>
      <c r="G4" s="38" t="inlineStr">
        <is>
          <t>Signed Scope &amp; Role Determination Record (02-scope-decision.json / PDF)</t>
        </is>
      </c>
      <c r="H4" s="38" t="inlineStr">
        <is>
          <t>Presales Gate 0: Bid submission or project charter freeze blocked until CRA role is formally identified.</t>
        </is>
      </c>
    </row>
    <row r="5" ht="45" customHeight="1">
      <c r="A5" s="47" t="inlineStr">
        <is>
          <t>Art 7, Art 8; Annexes III, IV; IR (EU) 2025/2392</t>
        </is>
      </c>
      <c r="B5" s="57" t="inlineStr">
        <is>
          <t>Presales and Product Planning</t>
        </is>
      </c>
      <c r="C5" s="59" t="inlineStr">
        <is>
          <t>Classify Product into Default, Important Class I/II, or Critical Category</t>
        </is>
      </c>
      <c r="D5" s="9" t="inlineStr">
        <is>
          <t>Lead Product Security Architect, Compliance Officer</t>
        </is>
      </c>
      <c r="E5" s="9" t="inlineStr">
        <is>
          <t>CRA Product Classification Matrix &amp; IR 2025/2392 Technical Analysis</t>
        </is>
      </c>
      <c r="F5" s="9" t="inlineStr">
        <is>
          <t>Input: Core functionality, operating environment, network integration specs. Output: Product Tier Classification Record and Conformity Route Selection (Module A vs B+C vs H).</t>
        </is>
      </c>
      <c r="G5" s="9" t="inlineStr">
        <is>
          <t>Product Classification Decision Dossier; Notified Body Engagement Strategy (if Class I/II)</t>
        </is>
      </c>
      <c r="H5" s="9" t="inlineStr">
        <is>
          <t>Architecture Gate 1: Solution design freeze blocked if Notified Body budget and timeline are not provisioned for Class I/II.</t>
        </is>
      </c>
    </row>
    <row r="6" ht="45" customHeight="1">
      <c r="A6" s="36" t="inlineStr">
        <is>
          <t>Art 13(8); Annex II, point 8; Guidance Pt 133</t>
        </is>
      </c>
      <c r="B6" s="57" t="inlineStr">
        <is>
          <t>Presales and Product Planning</t>
        </is>
      </c>
      <c r="C6" s="58" t="inlineStr">
        <is>
          <t>Determine and Contractually Commit to Guaranteed Product Security Support Period</t>
        </is>
      </c>
      <c r="D6" s="38" t="inlineStr">
        <is>
          <t>Business Unit VP, Product Manager, Finance Lead</t>
        </is>
      </c>
      <c r="E6" s="38" t="inlineStr">
        <is>
          <t>Multi-Year Engineering Sustaining Cost Model &amp; Product Lifecycle Policy</t>
        </is>
      </c>
      <c r="F6" s="38" t="inlineStr">
        <is>
          <t>Input: Customer expected operational lifetime, hardware component lifecycle. Output: Formal Support Period Statement (minimum 5 years unless shorter lifetime justified) and Sustaining Budget Model.</t>
        </is>
      </c>
      <c r="G6" s="38" t="inlineStr">
        <is>
          <t>Executive Support Period Determination Statement; Multi-Year Maintenance Budget Plan</t>
        </is>
      </c>
      <c r="H6" s="38" t="inlineStr">
        <is>
          <t>Commercial Gate: Contract signature or proposal delivery blocked without explicit calendar support period commitment.</t>
        </is>
      </c>
    </row>
    <row r="7" ht="45" customHeight="1">
      <c r="A7" s="47" t="inlineStr">
        <is>
          <t>Art 13(2), Annex II point 1; Guidance Pt 139</t>
        </is>
      </c>
      <c r="B7" s="57" t="inlineStr">
        <is>
          <t>Presales and Product Planning</t>
        </is>
      </c>
      <c r="C7" s="59" t="inlineStr">
        <is>
          <t>Gating and Alignment of Marketing Claims, Tender Responses, and Intended Purpose</t>
        </is>
      </c>
      <c r="D7" s="9" t="inlineStr">
        <is>
          <t>Product Marketing Lead, Presales Architect, Legal Counsel</t>
        </is>
      </c>
      <c r="E7" s="9" t="inlineStr">
        <is>
          <t>Marketing Claims Review Checklist &amp; Intended Use Definition SOP</t>
        </is>
      </c>
      <c r="F7" s="9" t="inlineStr">
        <is>
          <t>Input: Marketing collateral, technical datasheets, RFP responses. Output: Approved Datasheet &amp; Contractual Scope of Intended Purpose preventing unintended category escalation.</t>
        </is>
      </c>
      <c r="G7" s="9" t="inlineStr">
        <is>
          <t>Approved Product Datasheet; Legal Marketing Review Sign-off Record</t>
        </is>
      </c>
      <c r="H7" s="9" t="inlineStr">
        <is>
          <t>Presales Gate 1: Public brochure publication or RFP submission blocked until claims match tested intended use.</t>
        </is>
      </c>
    </row>
    <row r="8" ht="45" customHeight="1">
      <c r="A8" s="36" t="inlineStr">
        <is>
          <t>Art 13(5); Recitals 33–36</t>
        </is>
      </c>
      <c r="B8" s="57" t="inlineStr">
        <is>
          <t>Presales and Product Planning</t>
        </is>
      </c>
      <c r="C8" s="58" t="inlineStr">
        <is>
          <t>Presales Cybersecurity Screening of Commercial Off-the-Shelf (COTS) and Open-Source Components</t>
        </is>
      </c>
      <c r="D8" s="38" t="inlineStr">
        <is>
          <t>Procurement Lead, Lead Solution Architect</t>
        </is>
      </c>
      <c r="E8" s="38" t="inlineStr">
        <is>
          <t>Vendor Due Diligence Questionnaire &amp; Open-Source Health Evaluation (OpenSSF)</t>
        </is>
      </c>
      <c r="F8" s="38" t="inlineStr">
        <is>
          <t>Input: Proposed third-party hardware, software libraries, and SaaS modules. Output: Vendor CRA Readiness Evaluation &amp; Approved Component Selection Matrix.</t>
        </is>
      </c>
      <c r="G8" s="38" t="inlineStr">
        <is>
          <t>Vendor Cybersecurity Due Diligence Assessment Dossier; Open-Source Selection Log</t>
        </is>
      </c>
      <c r="H8" s="38" t="inlineStr">
        <is>
          <t>Procurement Gate: Third-party component procurement blocked if vendor lacks CE mark or CRA support commitments.</t>
        </is>
      </c>
    </row>
    <row r="9" ht="45" customHeight="1">
      <c r="A9" s="47" t="inlineStr">
        <is>
          <t>Art 13(2)–(4); Annex I Part I point (1)</t>
        </is>
      </c>
      <c r="B9" s="57" t="inlineStr">
        <is>
          <t>Presales and Product Planning</t>
        </is>
      </c>
      <c r="C9" s="59" t="inlineStr">
        <is>
          <t>Establish Initial Concept Cybersecurity Risk Assessment and Security Objectives</t>
        </is>
      </c>
      <c r="D9" s="9" t="inlineStr">
        <is>
          <t>Lead Security Architect, Systems Engineer</t>
        </is>
      </c>
      <c r="E9" s="9" t="inlineStr">
        <is>
          <t>Threat Analysis and Risk Analysis (TARA) Concept Phase (STRIDE / PASTA)</t>
        </is>
      </c>
      <c r="F9" s="9" t="inlineStr">
        <is>
          <t>Input: High-level solution topology, data flow diagrams, asset register. Output: Initial Cybersecurity Risk Register and Baseline Security Requirements Specification.</t>
        </is>
      </c>
      <c r="G9" s="9" t="inlineStr">
        <is>
          <t>Concept Phase Cybersecurity Risk Assessment Document; High-Level Threat Model</t>
        </is>
      </c>
      <c r="H9" s="9" t="inlineStr">
        <is>
          <t>Planning Gate: Transition to detailed engineering blocked without approved Concept Risk Assessment.</t>
        </is>
      </c>
    </row>
    <row r="10" ht="45" customHeight="1">
      <c r="A10" s="36" t="inlineStr">
        <is>
          <t>Art 13(2)–(4); Annex VII point 1(b)</t>
        </is>
      </c>
      <c r="B10" s="60" t="inlineStr">
        <is>
          <t>Development</t>
        </is>
      </c>
      <c r="C10" s="58" t="inlineStr">
        <is>
          <t>Conduct Comprehensive Threat Modeling and Living Cybersecurity Risk Assessment</t>
        </is>
      </c>
      <c r="D10" s="38" t="inlineStr">
        <is>
          <t>Lead Security Architect, Product Security Engineer</t>
        </is>
      </c>
      <c r="E10" s="38" t="inlineStr">
        <is>
          <t>Threat Analysis and Risk Analysis (TARA) (IriusRisk / Threat Dragon / STRIDE)</t>
        </is>
      </c>
      <c r="F10" s="38" t="inlineStr">
        <is>
          <t>Input: Detailed microservice architecture, API interfaces, network protocols. Output: Detailed Threat Model, Attack Trees, and Security Requirements Backlog.</t>
        </is>
      </c>
      <c r="G10" s="38" t="inlineStr">
        <is>
          <t>Annex VII Cybersecurity Risk Assessment Dossier; Threat Model Architecture Schemas; Security Epics in Jira</t>
        </is>
      </c>
      <c r="H10" s="38" t="inlineStr">
        <is>
          <t>Design Review Gate: Detailed design approval blocked until all identified threat vectors have mapped security user stories.</t>
        </is>
      </c>
    </row>
    <row r="11" ht="45" customHeight="1">
      <c r="A11" s="47" t="inlineStr">
        <is>
          <t>Annex I, Part I, point (2)(d)</t>
        </is>
      </c>
      <c r="B11" s="60" t="inlineStr">
        <is>
          <t>Development</t>
        </is>
      </c>
      <c r="C11" s="59" t="inlineStr">
        <is>
          <t>Implement Robust Identity, Authentication, and Role-Based Access Controls (IAM)</t>
        </is>
      </c>
      <c r="D11" s="9" t="inlineStr">
        <is>
          <t>Backend Engineer, IAM Architect</t>
        </is>
      </c>
      <c r="E11" s="9" t="inlineStr">
        <is>
          <t>Centralized IAM Framework (OAuth 2.0 / OIDC), Coverity, SonarQube</t>
        </is>
      </c>
      <c r="F11" s="9" t="inlineStr">
        <is>
          <t>Input: Identity requirements, RBAC specifications. Output: Enforced authentication middleware, Argon2 password hashing, short-lived tokens, RBAC guards.</t>
        </is>
      </c>
      <c r="G11" s="9" t="inlineStr">
        <is>
          <t>IAM Implementation Architecture; Unit &amp; Integration Auth Test Suites; SAST Auth Scan Clean Report</t>
        </is>
      </c>
      <c r="H11" s="9" t="inlineStr">
        <is>
          <t>Sprint Review Gate: PR merge blocked if API route lacks authenticated context or authorization checks.</t>
        </is>
      </c>
    </row>
    <row r="12" ht="45" customHeight="1">
      <c r="A12" s="36" t="inlineStr">
        <is>
          <t>Annex I, Part I, point (2)(e), (2)(f)</t>
        </is>
      </c>
      <c r="B12" s="60" t="inlineStr">
        <is>
          <t>Development</t>
        </is>
      </c>
      <c r="C12" s="58" t="inlineStr">
        <is>
          <t>Implement Cryptographic Protections for Data Confidentiality and Integrity</t>
        </is>
      </c>
      <c r="D12" s="38" t="inlineStr">
        <is>
          <t>Cryptographic Engineer, Platform Developer</t>
        </is>
      </c>
      <c r="E12" s="38" t="inlineStr">
        <is>
          <t>Standard Crypto Libraries (OpenSSL FIPS, libsodium), Coverity, SonarQube</t>
        </is>
      </c>
      <c r="F12" s="38" t="inlineStr">
        <is>
          <t>Input: Data classification matrix, sensitive data flows. Output: TLS 1.3 enforced transport, AES-256-GCM / ChaCha20 encryption at rest, KMS key management.</t>
        </is>
      </c>
      <c r="G12" s="38" t="inlineStr">
        <is>
          <t>Cryptographic Architecture &amp; Key Management Plan; SAST Secret &amp; Cryptography Scan Reports</t>
        </is>
      </c>
      <c r="H12" s="38" t="inlineStr">
        <is>
          <t>Static Analysis Gate: Zero hardcoded secrets, zero ECB mode, zero deprecated ciphers allowed in codebase.</t>
        </is>
      </c>
    </row>
    <row r="13" ht="45" customHeight="1">
      <c r="A13" s="47" t="inlineStr">
        <is>
          <t>Annex I, Part I, point (2)(g)</t>
        </is>
      </c>
      <c r="B13" s="60" t="inlineStr">
        <is>
          <t>Development</t>
        </is>
      </c>
      <c r="C13" s="59" t="inlineStr">
        <is>
          <t>Execute Data Protection Impact Assessment (DPIA) and Implement Data Minimisation</t>
        </is>
      </c>
      <c r="D13" s="9" t="inlineStr">
        <is>
          <t>Data Protection Officer (DPO), Lead Software Architect</t>
        </is>
      </c>
      <c r="E13" s="9" t="inlineStr">
        <is>
          <t>Data Protection Impact Assessment (DPIA) Process &amp; Privacy Schema Reviews</t>
        </is>
      </c>
      <c r="F13" s="9" t="inlineStr">
        <is>
          <t>Input: User data ingestion points, telemetry payloads. Output: Formally approved DPIA dossier, telemetry opt-out switches, automated data pruning routines.</t>
        </is>
      </c>
      <c r="G13" s="9" t="inlineStr">
        <is>
          <t>Approved DPIA Assessment Dossier; GDPR Art 30 Register; Telemetry Configuration Spec</t>
        </is>
      </c>
      <c r="H13" s="9" t="inlineStr">
        <is>
          <t>Privacy Gate: Product release blocked without DPO approval and verifiable telemetry opt-out mechanism.</t>
        </is>
      </c>
    </row>
    <row r="14" ht="45" customHeight="1">
      <c r="A14" s="36" t="inlineStr">
        <is>
          <t>Annex I, Part I, point (2)(b)</t>
        </is>
      </c>
      <c r="B14" s="60" t="inlineStr">
        <is>
          <t>Development</t>
        </is>
      </c>
      <c r="C14" s="58" t="inlineStr">
        <is>
          <t>Engineer Secure Default Configurations and Factory Reset Mechanics</t>
        </is>
      </c>
      <c r="D14" s="38" t="inlineStr">
        <is>
          <t>Firmware Engineer, Systems Architect</t>
        </is>
      </c>
      <c r="E14" s="38" t="inlineStr">
        <is>
          <t>CIS Benchmark Hardening Scripts, Nessus / Cyberwatch, Unit Testing</t>
        </is>
      </c>
      <c r="F14" s="38" t="inlineStr">
        <is>
          <t>Input: System services list, configuration templates. Output: Hardened default OS/firmware images, zero default passwords, automated factory reset routine.</t>
        </is>
      </c>
      <c r="G14" s="38" t="inlineStr">
        <is>
          <t>Hardening Automation Scripts (Ansible); Factory Reset Test Verification Record</t>
        </is>
      </c>
      <c r="H14" s="38" t="inlineStr">
        <is>
          <t>Hardening Gate: Default build must boot with zero open unneeded ports and enforce credential change on first boot.</t>
        </is>
      </c>
    </row>
    <row r="15" ht="45" customHeight="1">
      <c r="A15" s="47" t="inlineStr">
        <is>
          <t>Annex I, Part I, point (2)(j)</t>
        </is>
      </c>
      <c r="B15" s="60" t="inlineStr">
        <is>
          <t>Development</t>
        </is>
      </c>
      <c r="C15" s="59" t="inlineStr">
        <is>
          <t>Prune External Interfaces and Reduce Software/Hardware Attack Surfaces</t>
        </is>
      </c>
      <c r="D15" s="9" t="inlineStr">
        <is>
          <t>Systems Engineer, Embedded Lead</t>
        </is>
      </c>
      <c r="E15" s="9" t="inlineStr">
        <is>
          <t>TARA, Port Scanning (Nmap/Nessus), Distroless Base Containers</t>
        </is>
      </c>
      <c r="F15" s="9" t="inlineStr">
        <is>
          <t>Input: System port and interface inventory. Output: Minimal container images, disabled JTAG/UART/debug shells, stripped debug symbols.</t>
        </is>
      </c>
      <c r="G15" s="9" t="inlineStr">
        <is>
          <t>Interface &amp; Port Baseline Inventory; Build Compiler Hardening Specification</t>
        </is>
      </c>
      <c r="H15" s="9" t="inlineStr">
        <is>
          <t>Interface Gate: Presence of undocumented listening ports or active debug interfaces breaks release build.</t>
        </is>
      </c>
    </row>
    <row r="16" ht="45" customHeight="1">
      <c r="A16" s="36" t="inlineStr">
        <is>
          <t>Annex I, Part I, point (2)(k)</t>
        </is>
      </c>
      <c r="B16" s="60" t="inlineStr">
        <is>
          <t>Development</t>
        </is>
      </c>
      <c r="C16" s="58" t="inlineStr">
        <is>
          <t>Implement Exploit Mitigations and Memory Safety Protections in Code</t>
        </is>
      </c>
      <c r="D16" s="38" t="inlineStr">
        <is>
          <t>Senior Software Engineer, Platform Lead</t>
        </is>
      </c>
      <c r="E16" s="38" t="inlineStr">
        <is>
          <t>Coverity Deep Static Analysis, Compiler Hardening Flags (`checksec`)</t>
        </is>
      </c>
      <c r="F16" s="38" t="inlineStr">
        <is>
          <t>Input: C/C++/Java/Go source code. Output: Memory-safe code constructs, compiled binaries with ASLR, DEP, Stack Canaries, and RELRO enabled.</t>
        </is>
      </c>
      <c r="G16" s="38" t="inlineStr">
        <is>
          <t>`checksec` Binary Hardening Verification Report; Coverity Zero-Critical-Defect Scan Log</t>
        </is>
      </c>
      <c r="H16" s="38" t="inlineStr">
        <is>
          <t>Compiler Security Gate: All release binaries must achieve 100% compliance on ASLR, NX, Stack Canary, and Full RELRO.</t>
        </is>
      </c>
    </row>
    <row r="17" ht="45" customHeight="1">
      <c r="A17" s="47" t="inlineStr">
        <is>
          <t>Annex I, Part I, point (2)(h)</t>
        </is>
      </c>
      <c r="B17" s="60" t="inlineStr">
        <is>
          <t>Development</t>
        </is>
      </c>
      <c r="C17" s="59" t="inlineStr">
        <is>
          <t>Architect Denial-of-Service Resilience and Rate-Limiting Controls</t>
        </is>
      </c>
      <c r="D17" s="9" t="inlineStr">
        <is>
          <t>Backend Architect, Infrastructure Lead</t>
        </is>
      </c>
      <c r="E17" s="9" t="inlineStr">
        <is>
          <t>API Gateway Throttling, OWASP ZAP, Locust / k6 Stress Testing</t>
        </is>
      </c>
      <c r="F17" s="9" t="inlineStr">
        <is>
          <t>Input: Expected transaction traffic patterns. Output: Token-bucket rate limiting, request size limits, connection timeouts, circuit breakers.</t>
        </is>
      </c>
      <c r="G17" s="9" t="inlineStr">
        <is>
          <t>DoS Resilience Design Spec; Stress &amp; Rate-Limiting Automated Test Reports</t>
        </is>
      </c>
      <c r="H17" s="9" t="inlineStr">
        <is>
          <t>Resilience Gate: Simulated traffic flood at 5x normal peak must degrade gracefully without crashing core daemon.</t>
        </is>
      </c>
    </row>
    <row r="18" ht="45" customHeight="1">
      <c r="A18" s="36" t="inlineStr">
        <is>
          <t>Annex I, Part I, point (2)(l)</t>
        </is>
      </c>
      <c r="B18" s="60" t="inlineStr">
        <is>
          <t>Development</t>
        </is>
      </c>
      <c r="C18" s="58" t="inlineStr">
        <is>
          <t>Implement Standardized Security Event Logging and Audit Subsystem</t>
        </is>
      </c>
      <c r="D18" s="38" t="inlineStr">
        <is>
          <t>Security Engineer, Backend Developer</t>
        </is>
      </c>
      <c r="E18" s="38" t="inlineStr">
        <is>
          <t>Structured Logging Framework, SonarQube, Coverity</t>
        </is>
      </c>
      <c r="F18" s="38" t="inlineStr">
        <is>
          <t>Input: Security event taxonomy (auth, privilege, config changes). Output: Tamper-resistant, timestamped audit logs with log sanitization filtering.</t>
        </is>
      </c>
      <c r="G18" s="38" t="inlineStr">
        <is>
          <t>Security Logging Specification; Unit Tests Verifying PII/Secret Scrubbing from Logs</t>
        </is>
      </c>
      <c r="H18" s="38" t="inlineStr">
        <is>
          <t>Audit Gate: Automated tests verify zero passwords/keys written to logs and 100% of auth failures produce audit events.</t>
        </is>
      </c>
    </row>
    <row r="19" ht="45" customHeight="1">
      <c r="A19" s="47" t="inlineStr">
        <is>
          <t>Annex I, Part I, point (2)(m)</t>
        </is>
      </c>
      <c r="B19" s="60" t="inlineStr">
        <is>
          <t>Development</t>
        </is>
      </c>
      <c r="C19" s="59" t="inlineStr">
        <is>
          <t>Implement Cryptographic Data Sanitization and Decommissioning Capabilities</t>
        </is>
      </c>
      <c r="D19" s="9" t="inlineStr">
        <is>
          <t>Firmware Engineer, Cloud Architect</t>
        </is>
      </c>
      <c r="E19" s="9" t="inlineStr">
        <is>
          <t>NIST SP 800-88 Sanitization Automation, Cryptographic Erasure Modules</t>
        </is>
      </c>
      <c r="F19" s="9" t="inlineStr">
        <is>
          <t>Input: Storage medium architecture, cloud tenant structures. Output: Cryptographic wipe mechanism scrubbing encryption keys and de-registering cloud services.</t>
        </is>
      </c>
      <c r="G19" s="9" t="inlineStr">
        <is>
          <t>Data Sanitization Architecture; NIST SP 800-88 Wipe Verification Test Report</t>
        </is>
      </c>
      <c r="H19" s="9" t="inlineStr">
        <is>
          <t>Decommissioning Gate: Post-wipe forensic block scan verifies zero recoverable user data or keys.</t>
        </is>
      </c>
    </row>
    <row r="20" ht="45" customHeight="1">
      <c r="A20" s="36" t="inlineStr">
        <is>
          <t>Annex I, Part II, point (5), (6); Art 13(19)</t>
        </is>
      </c>
      <c r="B20" s="60" t="inlineStr">
        <is>
          <t>Development</t>
        </is>
      </c>
      <c r="C20" s="58" t="inlineStr">
        <is>
          <t>Establish Coordinated Vulnerability Disclosure (CVD) Policy and Intake Channels</t>
        </is>
      </c>
      <c r="D20" s="38" t="inlineStr">
        <is>
          <t>CISO, PSIRT Lead, Legal Counsel</t>
        </is>
      </c>
      <c r="E20" s="38" t="inlineStr">
        <is>
          <t>ISO/IEC 29147 CVD Framework &amp; RFC 9116 `security.txt` Deployment</t>
        </is>
      </c>
      <c r="F20" s="38" t="inlineStr">
        <is>
          <t>Input: Organizational contact channels, PGP keys. Output: Published CVD policy document, public `security.txt` file, monitored `security@` inbox.</t>
        </is>
      </c>
      <c r="G20" s="38" t="inlineStr">
        <is>
          <t>Approved CVD Policy Document; Deployed `security.txt` File URL; Public PGP Key in Registry</t>
        </is>
      </c>
      <c r="H20" s="38" t="inlineStr">
        <is>
          <t>Governance Gate: Placing on market blocked without live, verified vulnerability intake channel.</t>
        </is>
      </c>
    </row>
    <row r="21" ht="45" customHeight="1">
      <c r="A21" s="47" t="inlineStr">
        <is>
          <t>Annex I, Part II, point (8); Art 13(10)</t>
        </is>
      </c>
      <c r="B21" s="60" t="inlineStr">
        <is>
          <t>Development</t>
        </is>
      </c>
      <c r="C21" s="59" t="inlineStr">
        <is>
          <t>Architect Release Branching for Free Security Updates and Feature Decoupling</t>
        </is>
      </c>
      <c r="D21" s="9" t="inlineStr">
        <is>
          <t>Release Engineering Lead, Lead Architect</t>
        </is>
      </c>
      <c r="E21" s="9" t="inlineStr">
        <is>
          <t>Git Dual-Track Branching Model (LTS Security vs Feature Branches)</t>
        </is>
      </c>
      <c r="F21" s="9" t="inlineStr">
        <is>
          <t>Input: Product release roadmap. Output: Independent maintenance branches allowing isolated backporting of security patches without bundling paid features.</t>
        </is>
      </c>
      <c r="G21" s="9" t="inlineStr">
        <is>
          <t>Release Branching Strategy Spec; CI/CD Multi-Branch Automated Build Configuration</t>
        </is>
      </c>
      <c r="H21" s="9" t="inlineStr">
        <is>
          <t>Branching Gate: Verify security patches compile and release from LTS branch without incorporating feature branch deltas.</t>
        </is>
      </c>
    </row>
    <row r="22" ht="45" customHeight="1">
      <c r="A22" s="36" t="inlineStr">
        <is>
          <t>Annex I, Part II, point (1); Art 13(24)</t>
        </is>
      </c>
      <c r="B22" s="61" t="inlineStr">
        <is>
          <t>Build and Release</t>
        </is>
      </c>
      <c r="C22" s="58" t="inlineStr">
        <is>
          <t>Automate Machine-Readable SBOM Generation in CI/CD Pipeline</t>
        </is>
      </c>
      <c r="D22" s="38" t="inlineStr">
        <is>
          <t>DevSecOps Lead, Release Manager</t>
        </is>
      </c>
      <c r="E22" s="38" t="inlineStr">
        <is>
          <t>Black Duck Detect, Nexus IQ CLM, cdxgen / Syft, Dependency-Track</t>
        </is>
      </c>
      <c r="F22" s="38" t="inlineStr">
        <is>
          <t>Input: Compiled build artifacts, package lockfiles, container images. Output: Cryptographically signed CycloneDX / SPDX machine-readable SBOM files.</t>
        </is>
      </c>
      <c r="G22" s="38" t="inlineStr">
        <is>
          <t>Generated SBOM Files (CycloneDX JSON / SPDX XML); CI/CD SBOM Generation Build Logs</t>
        </is>
      </c>
      <c r="H22" s="38" t="inlineStr">
        <is>
          <t>Build Gate 1: CI/CD build fails if machine-readable SBOM is missing, invalid, or fails schema validation.</t>
        </is>
      </c>
    </row>
    <row r="23" ht="45" customHeight="1">
      <c r="A23" s="47" t="inlineStr">
        <is>
          <t>Art 13(5); Annex I Part I point (2)(a)</t>
        </is>
      </c>
      <c r="B23" s="61" t="inlineStr">
        <is>
          <t>Build and Release</t>
        </is>
      </c>
      <c r="C23" s="59" t="inlineStr">
        <is>
          <t>Execute Automated Software Composition Analysis (SCA) Quality Gate</t>
        </is>
      </c>
      <c r="D23" s="9" t="inlineStr">
        <is>
          <t>DevSecOps Engineer, Security QA</t>
        </is>
      </c>
      <c r="E23" s="9" t="inlineStr">
        <is>
          <t>Nexus IQ Lifecycle / Black Duck / Dependency-Track</t>
        </is>
      </c>
      <c r="F23" s="9" t="inlineStr">
        <is>
          <t>Input: Build dependencies. Output: Component vulnerability and license compliance report with automated pass/fail decision.</t>
        </is>
      </c>
      <c r="G23" s="9" t="inlineStr">
        <is>
          <t>SCA Policy Compliance Scan Report; Dependency License Audit Report</t>
        </is>
      </c>
      <c r="H23" s="9" t="inlineStr">
        <is>
          <t>Build Gate 2: CI/CD pipeline breaks on any Critical/High known CVE in dependencies lacking approved VEX justification.</t>
        </is>
      </c>
    </row>
    <row r="24" ht="45" customHeight="1">
      <c r="A24" s="36" t="inlineStr">
        <is>
          <t>Annex I, Part I, point (2)(a); Annex I Part II point (3)</t>
        </is>
      </c>
      <c r="B24" s="61" t="inlineStr">
        <is>
          <t>Build and Release</t>
        </is>
      </c>
      <c r="C24" s="58" t="inlineStr">
        <is>
          <t>Execute Automated Static Code Security Analysis (SAST) Quality Gate</t>
        </is>
      </c>
      <c r="D24" s="38" t="inlineStr">
        <is>
          <t>DevSecOps Engineer, Lead Developer</t>
        </is>
      </c>
      <c r="E24" s="38" t="inlineStr">
        <is>
          <t>Coverity Deep SAST, SonarQube Enterprise</t>
        </is>
      </c>
      <c r="F24" s="38" t="inlineStr">
        <is>
          <t>Input: Application source code. Output: SAST defect scan report and Quality Gate status.</t>
        </is>
      </c>
      <c r="G24" s="38" t="inlineStr">
        <is>
          <t>SonarQube Quality Gate Status Record; Coverity Pre-Release Defect Audit Report</t>
        </is>
      </c>
      <c r="H24" s="38" t="inlineStr">
        <is>
          <t>Build Gate 3: Pull request merge and build artifact promotion blocked on any unresolved Critical SAST security defect.</t>
        </is>
      </c>
    </row>
    <row r="25" ht="45" customHeight="1">
      <c r="A25" s="47" t="inlineStr">
        <is>
          <t>Annex I, Part I, point (2)(a), (2)(f); Annex VII</t>
        </is>
      </c>
      <c r="B25" s="61" t="inlineStr">
        <is>
          <t>Build and Release</t>
        </is>
      </c>
      <c r="C25" s="59" t="inlineStr">
        <is>
          <t>Enforce Cryptographic Code Signing and Build Pipeline Integrity (SLSA)</t>
        </is>
      </c>
      <c r="D25" s="9" t="inlineStr">
        <is>
          <t>DevSecOps Lead, Platform Security Lead</t>
        </is>
      </c>
      <c r="E25" s="9" t="inlineStr">
        <is>
          <t>Hardware HSM Code Signing, Sigstore / Cosign, SLSA Provenance</t>
        </is>
      </c>
      <c r="F25" s="9" t="inlineStr">
        <is>
          <t>Input: Compiled release binaries, container images, SBOMs. Output: Cryptographically signed artifacts and signed in-toto SLSA provenance metadata.</t>
        </is>
      </c>
      <c r="G25" s="9" t="inlineStr">
        <is>
          <t>Artifact Cryptographic Signatures (.sig); HSM Signing Audit Logs; SLSA Provenance Attestations</t>
        </is>
      </c>
      <c r="H25" s="9" t="inlineStr">
        <is>
          <t>Release Gate 1: Release artifact staging blocked if binary signature or SLSA provenance attestation fails verification.</t>
        </is>
      </c>
    </row>
    <row r="26" ht="45" customHeight="1">
      <c r="A26" s="36" t="inlineStr">
        <is>
          <t>Annex I, Part I, point (2)(b), (2)(j); Annex I Part II point (3)</t>
        </is>
      </c>
      <c r="B26" s="61" t="inlineStr">
        <is>
          <t>Build and Release</t>
        </is>
      </c>
      <c r="C26" s="58" t="inlineStr">
        <is>
          <t>Conduct Automated Container Image and OS Hardening Vulnerability Scans</t>
        </is>
      </c>
      <c r="D26" s="38" t="inlineStr">
        <is>
          <t>DevSecOps Engineer, Infrastructure Security Lead</t>
        </is>
      </c>
      <c r="E26" s="38" t="inlineStr">
        <is>
          <t>Nessus / Cyberwatch, Trivy, CIS Benchmark Audit Scripts</t>
        </is>
      </c>
      <c r="F26" s="38" t="inlineStr">
        <is>
          <t>Input: Release container images, appliance virtual disks. Output: Image vulnerability and configuration compliance report.</t>
        </is>
      </c>
      <c r="G26" s="38" t="inlineStr">
        <is>
          <t>Container Image Scan Report; CIS Benchmark Compliance Audit Scorecard</t>
        </is>
      </c>
      <c r="H26" s="38" t="inlineStr">
        <is>
          <t>Release Gate 2: Promotion blocked on any OS/container Critical CVE or CIS Benchmark hardening score below 90%.</t>
        </is>
      </c>
    </row>
    <row r="27" ht="45" customHeight="1">
      <c r="A27" s="47" t="inlineStr">
        <is>
          <t>Annex I, Part I, point (2)(a), (2)(d); Annex I Part II point (3)</t>
        </is>
      </c>
      <c r="B27" s="61" t="inlineStr">
        <is>
          <t>Build and Release</t>
        </is>
      </c>
      <c r="C27" s="59" t="inlineStr">
        <is>
          <t>Execute Automated Dynamic Application Security Testing (DAST) on Staging Target</t>
        </is>
      </c>
      <c r="D27" s="9" t="inlineStr">
        <is>
          <t>Security QA Engineer, DevSecOps Lead</t>
        </is>
      </c>
      <c r="E27" s="9" t="inlineStr">
        <is>
          <t>OWASP ZAP / Burp Suite Enterprise (Automated API / Web Scans)</t>
        </is>
      </c>
      <c r="F27" s="9" t="inlineStr">
        <is>
          <t>Input: Deployed staging environment, OpenAPI specs. Output: Dynamic vulnerability scan report (injection, auth, headers).</t>
        </is>
      </c>
      <c r="G27" s="9" t="inlineStr">
        <is>
          <t>DAST Automated Scan Reports (HTML/JSON); API Security Test Run Logs</t>
        </is>
      </c>
      <c r="H27" s="9" t="inlineStr">
        <is>
          <t>Release Gate 3: Release blocked on unaddressed High/Critical DAST findings on exposed endpoints.</t>
        </is>
      </c>
    </row>
    <row r="28" ht="45" customHeight="1">
      <c r="A28" s="36" t="inlineStr">
        <is>
          <t>Annex I, Part II, point (3); Art 13(2)</t>
        </is>
      </c>
      <c r="B28" s="61" t="inlineStr">
        <is>
          <t>Build and Release</t>
        </is>
      </c>
      <c r="C28" s="58" t="inlineStr">
        <is>
          <t>Execute Independent Pre-Release Penetration Testing and Retesting</t>
        </is>
      </c>
      <c r="D28" s="38" t="inlineStr">
        <is>
          <t>Third-Party Penetration Testing Team, PSIRT Lead</t>
        </is>
      </c>
      <c r="E28" s="38" t="inlineStr">
        <is>
          <t>Manual &amp; Automated Penetration Testing, Burp Suite, Exploit Frameworks</t>
        </is>
      </c>
      <c r="F28" s="38" t="inlineStr">
        <is>
          <t>Input: Staging environment, documentation, source access (gray box). Output: Formal Penetration Testing Report and Retest Verification Certificate.</t>
        </is>
      </c>
      <c r="G28" s="38" t="inlineStr">
        <is>
          <t>Final Penetration Testing Report (Executive &amp; Technical); Remediation Retest Verification Sign-off</t>
        </is>
      </c>
      <c r="H28" s="38" t="inlineStr">
        <is>
          <t>Release Gate 4: Commercial release blocked until all Critical/High pentest findings are remediated and retested.</t>
        </is>
      </c>
    </row>
    <row r="29" ht="45" customHeight="1">
      <c r="A29" s="47" t="inlineStr">
        <is>
          <t>Art 3(30), Art 21, Art 22; Guidance Pt 110–132</t>
        </is>
      </c>
      <c r="B29" s="61" t="inlineStr">
        <is>
          <t>Build and Release</t>
        </is>
      </c>
      <c r="C29" s="59" t="inlineStr">
        <is>
          <t>Execute Substantial Modification Change Control Screening Gate</t>
        </is>
      </c>
      <c r="D29" s="9" t="inlineStr">
        <is>
          <t>Change Advisory Board (CAB) Chair, Security Architect, Compliance Officer</t>
        </is>
      </c>
      <c r="E29" s="9" t="inlineStr">
        <is>
          <t>Substantial Modification Assessment Checklist &amp; Architectural Delta Review</t>
        </is>
      </c>
      <c r="F29" s="9" t="inlineStr">
        <is>
          <t>Input: Release changelog, architectural diffs, threat model delta. Output: Formal Substantial Modification Determination (Non-substantial patch vs Substantial new product).</t>
        </is>
      </c>
      <c r="G29" s="9" t="inlineStr">
        <is>
          <t>CAB Substantial Modification Screening Record; Release Governance Sign-off</t>
        </is>
      </c>
      <c r="H29" s="9" t="inlineStr">
        <is>
          <t>Release Gate 5: If change is deemed substantial, release cannot proceed under existing CE mark; routes to new conformity assessment.</t>
        </is>
      </c>
    </row>
    <row r="30" ht="45" customHeight="1">
      <c r="A30" s="36" t="inlineStr">
        <is>
          <t>Art 13(11), Art 31; Annex VII</t>
        </is>
      </c>
      <c r="B30" s="40" t="inlineStr">
        <is>
          <t>Deployment and Delivery</t>
        </is>
      </c>
      <c r="C30" s="58" t="inlineStr">
        <is>
          <t>Compile and Formally Finalize Annex VII Technical Documentation Dossier</t>
        </is>
      </c>
      <c r="D30" s="38" t="inlineStr">
        <is>
          <t>Regulatory Compliance Lead, Lead Systems Architect</t>
        </is>
      </c>
      <c r="E30" s="38" t="inlineStr">
        <is>
          <t>Annex VII Compliance Dossier Builder &amp; Evidence Repository</t>
        </is>
      </c>
      <c r="F30" s="38" t="inlineStr">
        <is>
          <t>Input: Architecture specs, risk assessments, test reports, SBOMs, user instructions. Output: Complete, verified Annex VII Technical Documentation Dossier.</t>
        </is>
      </c>
      <c r="G30" s="38" t="inlineStr">
        <is>
          <t>Final Annex VII Technical Documentation Dossier (PDF/Archive); Executive Engineering Sign-off</t>
        </is>
      </c>
      <c r="H30" s="38" t="inlineStr">
        <is>
          <t>Compliance Gate 1: Product placing on the market strictly blocked without completed, approved Annex VII dossier.</t>
        </is>
      </c>
    </row>
    <row r="31" ht="45" customHeight="1">
      <c r="A31" s="47" t="inlineStr">
        <is>
          <t>Art 7, Art 8, Art 32; Annexes VIII–XI</t>
        </is>
      </c>
      <c r="B31" s="40" t="inlineStr">
        <is>
          <t>Deployment and Delivery</t>
        </is>
      </c>
      <c r="C31" s="59" t="inlineStr">
        <is>
          <t>Execute Statutory Conformity Assessment Procedure (Module A / B+C / H)</t>
        </is>
      </c>
      <c r="D31" s="9" t="inlineStr">
        <is>
          <t>Compliance Officer, Notified Body (if Class I/II), VP Engineering</t>
        </is>
      </c>
      <c r="E31" s="9" t="inlineStr">
        <is>
          <t>Internal Production Control (Module A) or Notified Body Audit Dossier</t>
        </is>
      </c>
      <c r="F31" s="9" t="inlineStr">
        <is>
          <t>Input: Annex VII Technical Documentation. Output: Internal Conformity Assessment Report (Module A) or EU Type-Examination / Quality System Certificate (Module B+C/H).</t>
        </is>
      </c>
      <c r="G31" s="9" t="inlineStr">
        <is>
          <t>Conformity Assessment Report; Notified Body Certificate (if Class I/II); Audit Protocol</t>
        </is>
      </c>
      <c r="H31" s="9" t="inlineStr">
        <is>
          <t>Compliance Gate 2: Market delivery blocked without valid conformity assessment report or Notified Body certificate.</t>
        </is>
      </c>
    </row>
    <row r="32" ht="45" customHeight="1">
      <c r="A32" s="36" t="inlineStr">
        <is>
          <t>Art 13(13), Art 28; Annex V</t>
        </is>
      </c>
      <c r="B32" s="40" t="inlineStr">
        <is>
          <t>Deployment and Delivery</t>
        </is>
      </c>
      <c r="C32" s="58" t="inlineStr">
        <is>
          <t>Draw Up and Execute the Formal EU Declaration of Conformity (DoC)</t>
        </is>
      </c>
      <c r="D32" s="38" t="inlineStr">
        <is>
          <t>Managing Director / CEO, VP Engineering, Legal Counsel</t>
        </is>
      </c>
      <c r="E32" s="38" t="inlineStr">
        <is>
          <t>EU DoC Legal Template &amp; Executive Signature Authorization Workflow</t>
        </is>
      </c>
      <c r="F32" s="38" t="inlineStr">
        <is>
          <t>Input: Completed conformity assessment and Annex VII dossier. Output: Signed, legally binding EU Declaration of Conformity.</t>
        </is>
      </c>
      <c r="G32" s="38" t="inlineStr">
        <is>
          <t>Signed EU Declaration of Conformity (Annex V PDF); Board Signatory Resolution</t>
        </is>
      </c>
      <c r="H32" s="38" t="inlineStr">
        <is>
          <t>Legal Gate: Affixing CE mark or delivering commercial units blocked until EU DoC is executed.</t>
        </is>
      </c>
    </row>
    <row r="33" ht="45" customHeight="1">
      <c r="A33" s="47" t="inlineStr">
        <is>
          <t>Art 13(15)–(17), Arts 29–30</t>
        </is>
      </c>
      <c r="B33" s="40" t="inlineStr">
        <is>
          <t>Deployment and Delivery</t>
        </is>
      </c>
      <c r="C33" s="59" t="inlineStr">
        <is>
          <t>Affix CE Marking, Traceability Numbers, and Manufacturer Identification</t>
        </is>
      </c>
      <c r="D33" s="9" t="inlineStr">
        <is>
          <t>Hardware Packaging Lead, Software Release Engineer</t>
        </is>
      </c>
      <c r="E33" s="9" t="inlineStr">
        <is>
          <t>Packaging Inspection, Software UI 'About' Screen Verification</t>
        </is>
      </c>
      <c r="F33" s="9" t="inlineStr">
        <is>
          <t>Input: Approved artwork, software UI builds. Output: Visible, legible, indelible CE mark, manufacturer name/address, model/batch number on device or software UI.</t>
        </is>
      </c>
      <c r="G33" s="9" t="inlineStr">
        <is>
          <t>Packaging Artwork Proofs; Software UI Screenshot Records; Inbound Inspection Sign-off</t>
        </is>
      </c>
      <c r="H33" s="9" t="inlineStr">
        <is>
          <t>Dispatch Gate: Factory shipment or download portal release blocked if CE marking or identification is missing or incorrect.</t>
        </is>
      </c>
    </row>
    <row r="34" ht="45" customHeight="1">
      <c r="A34" s="36" t="inlineStr">
        <is>
          <t>Art 13(18); Annex II</t>
        </is>
      </c>
      <c r="B34" s="40" t="inlineStr">
        <is>
          <t>Deployment and Delivery</t>
        </is>
      </c>
      <c r="C34" s="58" t="inlineStr">
        <is>
          <t>Deliver Annex II Instructions for Use and Technical Security Information to Users</t>
        </is>
      </c>
      <c r="D34" s="38" t="inlineStr">
        <is>
          <t>Technical Publications Lead, Customer Delivery Engineer</t>
        </is>
      </c>
      <c r="E34" s="38" t="inlineStr">
        <is>
          <t>Customer Documentation Portal, Electronic Delivery System, Packaging Leaflet</t>
        </is>
      </c>
      <c r="F34" s="38" t="inlineStr">
        <is>
          <t>Input: Annex II user security guide, deployment hardening specs. Output: User manual supplied with product in required Union languages.</t>
        </is>
      </c>
      <c r="G34" s="38" t="inlineStr">
        <is>
          <t>Delivered User Manual (PDF / Print); Customer Portal URL; Translation Certification Records</t>
        </is>
      </c>
      <c r="H34" s="38" t="inlineStr">
        <is>
          <t>Delivery Gate: Handover to customer blocked if user manual lacks support period end date or CVD contact details.</t>
        </is>
      </c>
    </row>
    <row r="35" ht="45" customHeight="1">
      <c r="A35" s="47" t="inlineStr">
        <is>
          <t>Annex I, Part II, point (7)</t>
        </is>
      </c>
      <c r="B35" s="40" t="inlineStr">
        <is>
          <t>Deployment and Delivery</t>
        </is>
      </c>
      <c r="C35" s="59" t="inlineStr">
        <is>
          <t>Ensure Cryptographically Protected Distribution Channels for Software Delivery</t>
        </is>
      </c>
      <c r="D35" s="9" t="inlineStr">
        <is>
          <t>DevOps Infrastructure Lead, Security Operations</t>
        </is>
      </c>
      <c r="E35" s="9" t="inlineStr">
        <is>
          <t>TLS 1.3 CDN, Signed Package Repositories, Client Verification Daemons</t>
        </is>
      </c>
      <c r="F35" s="9" t="inlineStr">
        <is>
          <t>Input: Signed release binaries. Output: Authenticated, encrypted download channel preventing tampering or man-in-the-middle attacks.</t>
        </is>
      </c>
      <c r="G35" s="9" t="inlineStr">
        <is>
          <t>Download Infrastructure TLS Configuration Audit; Repository Signature Verification Logs</t>
        </is>
      </c>
      <c r="H35" s="9" t="inlineStr">
        <is>
          <t>Infrastructure Gate: Insecure HTTP or unauthenticated delivery endpoints strictly disabled.</t>
        </is>
      </c>
    </row>
    <row r="36" ht="45" customHeight="1">
      <c r="A36" s="36" t="inlineStr">
        <is>
          <t>Art 13(12), Art 31(3)</t>
        </is>
      </c>
      <c r="B36" s="40" t="inlineStr">
        <is>
          <t>Deployment and Delivery</t>
        </is>
      </c>
      <c r="C36" s="58" t="inlineStr">
        <is>
          <t>Archive Technical Documentation and EU DoC into 10-Year Compliance Vault</t>
        </is>
      </c>
      <c r="D36" s="38" t="inlineStr">
        <is>
          <t>Corporate Compliance Archivist, Legal Counsel</t>
        </is>
      </c>
      <c r="E36" s="38" t="inlineStr">
        <is>
          <t>Enterprise Compliance Document Management System (Immutable Archive)</t>
        </is>
      </c>
      <c r="F36" s="38" t="inlineStr">
        <is>
          <t>Input: Final Annex VII dossier, signed DoC, test reports. Output: Secure, indexed archive record locked under 10-year retention hold.</t>
        </is>
      </c>
      <c r="G36" s="38" t="inlineStr">
        <is>
          <t>Compliance Archive Deposit Receipt; WORM Storage Retention Lock Verification</t>
        </is>
      </c>
      <c r="H36" s="38" t="inlineStr">
        <is>
          <t>Archiving Gate: Formal release sign-off requires confirmation of archive deposit.</t>
        </is>
      </c>
    </row>
    <row r="37" ht="45" customHeight="1">
      <c r="A37" s="47" t="inlineStr">
        <is>
          <t>Arts 17–20</t>
        </is>
      </c>
      <c r="B37" s="40" t="inlineStr">
        <is>
          <t>Deployment and Delivery</t>
        </is>
      </c>
      <c r="C37" s="59" t="inlineStr">
        <is>
          <t>Execute Commercial Distributor and Importer Compliance Verification Handover</t>
        </is>
      </c>
      <c r="D37" s="9" t="inlineStr">
        <is>
          <t>Channel Operations Lead, Supply Chain Director</t>
        </is>
      </c>
      <c r="E37" s="9" t="inlineStr">
        <is>
          <t>Partner Compliance Portal &amp; Distributor Audit Checklist</t>
        </is>
      </c>
      <c r="F37" s="9" t="inlineStr">
        <is>
          <t>Input: Executed partner agreements, delivery shipments. Output: Verified distributor compliance record ensuring product remains unaltered in transit.</t>
        </is>
      </c>
      <c r="G37" s="9" t="inlineStr">
        <is>
          <t>Distributor Compliance Audit Record; Partner Master Agreement CRA Addenda</t>
        </is>
      </c>
      <c r="H37" s="9" t="inlineStr">
        <is>
          <t>Channel Gate: Shipments to distributors blocked if partner has not signed CRA compliance addendum.</t>
        </is>
      </c>
    </row>
    <row r="38" ht="45" customHeight="1">
      <c r="A38" s="36" t="inlineStr">
        <is>
          <t>Art 13(7); Annex I Part II point (1)–(3)</t>
        </is>
      </c>
      <c r="B38" s="62" t="inlineStr">
        <is>
          <t>Maintenance and RUN</t>
        </is>
      </c>
      <c r="C38" s="58" t="inlineStr">
        <is>
          <t>Execute Continuous Post-Market Vulnerability Monitoring across All Deployed Versions</t>
        </is>
      </c>
      <c r="D38" s="38" t="inlineStr">
        <is>
          <t>PSIRT Lead, Security Operations Analyst</t>
        </is>
      </c>
      <c r="E38" s="38" t="inlineStr">
        <is>
          <t>Dependency-Track, Black Duck, Continuous NVD/OSV Threat Feeds, Nessus</t>
        </is>
      </c>
      <c r="F38" s="38" t="inlineStr">
        <is>
          <t>Input: Deployed product SBOM inventory, daily CVE feeds. Output: Automated vulnerability alerts, triage tickets, and exploitability evaluations.</t>
        </is>
      </c>
      <c r="G38" s="38" t="inlineStr">
        <is>
          <t>Dependency-Track Daily Alert Feeds; Weekly PSIRT Triage Records; Vulnerability Triage Dashboard</t>
        </is>
      </c>
      <c r="H38" s="38" t="inlineStr">
        <is>
          <t>Operational Gate: Newly disclosed CVEs matching product SBOM must be triaged within 24 hours of notification.</t>
        </is>
      </c>
    </row>
    <row r="39" ht="45" customHeight="1">
      <c r="A39" s="47" t="inlineStr">
        <is>
          <t>Art 14(1)–(3), Art 16; Del Reg 2026/881</t>
        </is>
      </c>
      <c r="B39" s="62" t="inlineStr">
        <is>
          <t>Maintenance and RUN</t>
        </is>
      </c>
      <c r="C39" s="59" t="inlineStr">
        <is>
          <t>Execute Statutory Reporting of Actively Exploited Vulnerabilities via ENISA SRP</t>
        </is>
      </c>
      <c r="D39" s="9" t="inlineStr">
        <is>
          <t>CISO, PSIRT Incident Commander, Legal Counsel</t>
        </is>
      </c>
      <c r="E39" s="9" t="inlineStr">
        <is>
          <t>Article 14 Operational Runbook &amp; ENISA Single Reporting Platform (SRP)</t>
        </is>
      </c>
      <c r="F39" s="9" t="inlineStr">
        <is>
          <t>Input: Confirmed evidence of active exploitation. Output: 24h Early Warning, 72h Detailed Notification, and 14-day Final Report submitted to CSIRT and ENISA.</t>
        </is>
      </c>
      <c r="G39" s="9" t="inlineStr">
        <is>
          <t>ENISA SRP Submission Receipts; Incident Awareness Timestamp Records; Final Technical Dossiers</t>
        </is>
      </c>
      <c r="H39" s="9" t="inlineStr">
        <is>
          <t>Statutory Clock Gate: Mandatory 24-hour Early Warning submitted to CSIRT/ENISA from the instant of awareness.</t>
        </is>
      </c>
    </row>
    <row r="40" ht="45" customHeight="1">
      <c r="A40" s="36" t="inlineStr">
        <is>
          <t>Art 14(3)–(5), Art 16</t>
        </is>
      </c>
      <c r="B40" s="62" t="inlineStr">
        <is>
          <t>Maintenance and RUN</t>
        </is>
      </c>
      <c r="C40" s="58" t="inlineStr">
        <is>
          <t>Execute Statutory Reporting of Severe Product Security Incidents via ENISA SRP</t>
        </is>
      </c>
      <c r="D40" s="38" t="inlineStr">
        <is>
          <t>CISO, Head of SOC, Legal Counsel</t>
        </is>
      </c>
      <c r="E40" s="38" t="inlineStr">
        <is>
          <t>Article 14 Operational Runbook &amp; ENISA Single Reporting Platform (SRP)</t>
        </is>
      </c>
      <c r="F40" s="38" t="inlineStr">
        <is>
          <t>Input: Incident severely impacting PDE security. Output: 24h Early Warning, 72h Notification, and 1-month Final Report submitted to CSIRT and ENISA.</t>
        </is>
      </c>
      <c r="G40" s="38" t="inlineStr">
        <is>
          <t>ENISA SRP Incident Receipts; SOC Triage Records; Final Root-Cause Analysis Dossiers</t>
        </is>
      </c>
      <c r="H40" s="38" t="inlineStr">
        <is>
          <t>Statutory Clock Gate: Mandatory 24-hour Early Warning submitted to CSIRT/ENISA upon incident awareness.</t>
        </is>
      </c>
    </row>
    <row r="41" ht="45" customHeight="1">
      <c r="A41" s="47" t="inlineStr">
        <is>
          <t>Art 14(8); Annex I Part II point (4)</t>
        </is>
      </c>
      <c r="B41" s="62" t="inlineStr">
        <is>
          <t>Maintenance and RUN</t>
        </is>
      </c>
      <c r="C41" s="59" t="inlineStr">
        <is>
          <t>Disseminate Emergency Security Advisories and Mitigations to Affected Users</t>
        </is>
      </c>
      <c r="D41" s="9" t="inlineStr">
        <is>
          <t>PSIRT Lead, VP Customer Support, Communications Director</t>
        </is>
      </c>
      <c r="E41" s="9" t="inlineStr">
        <is>
          <t>Customer Emergency Advisory Broadcast Platform, In-App Alerts, Security Portal</t>
        </is>
      </c>
      <c r="F41" s="9" t="inlineStr">
        <is>
          <t>Input: Active exploit details, interim mitigation guidance. Output: Direct customer notification bulletins and actionable mitigation instructions.</t>
        </is>
      </c>
      <c r="G41" s="9" t="inlineStr">
        <is>
          <t>Customer Advisory Broadcast Transmissions; Mitigation Bulletin Web Page; Customer Ticket Logs</t>
        </is>
      </c>
      <c r="H41" s="9" t="inlineStr">
        <is>
          <t>Communications Gate: Advisory dispatched to users without undue delay following confirmation of active exploitation.</t>
        </is>
      </c>
    </row>
    <row r="42" ht="45" customHeight="1">
      <c r="A42" s="36" t="inlineStr">
        <is>
          <t>Annex I, Part II, point (2); Art 13(10)</t>
        </is>
      </c>
      <c r="B42" s="62" t="inlineStr">
        <is>
          <t>Maintenance and RUN</t>
        </is>
      </c>
      <c r="C42" s="58" t="inlineStr">
        <is>
          <t>Develop, Test, and Distribute Vulnerability Remediation Security Patches Without Delay</t>
        </is>
      </c>
      <c r="D42" s="38" t="inlineStr">
        <is>
          <t>Sustaining Engineering Lead, DevSecOps Lead, PSIRT</t>
        </is>
      </c>
      <c r="E42" s="38" t="inlineStr">
        <is>
          <t>Emergency CI/CD Patch Pipeline, Automated Regression Suites, HSM Code Signing</t>
        </is>
      </c>
      <c r="F42" s="38" t="inlineStr">
        <is>
          <t>Input: Vulnerability root cause. Output: Cryptographically signed standalone security patch and updated SBOM.</t>
        </is>
      </c>
      <c r="G42" s="38" t="inlineStr">
        <is>
          <t>Patch Release Artifacts; Automated Regression Test Logs; Updated CycloneDX SBOM; Release Notes</t>
        </is>
      </c>
      <c r="H42" s="38" t="inlineStr">
        <is>
          <t>Patch Release Gate: Critical security patch released within 7-14 calendar days of triage confirmation.</t>
        </is>
      </c>
    </row>
    <row r="43" ht="45" customHeight="1">
      <c r="A43" s="47" t="inlineStr">
        <is>
          <t>Annex I, Part II, point (4)</t>
        </is>
      </c>
      <c r="B43" s="62" t="inlineStr">
        <is>
          <t>Maintenance and RUN</t>
        </is>
      </c>
      <c r="C43" s="59" t="inlineStr">
        <is>
          <t>Publish Standardized Public Security Advisories (CSAF 2.0)</t>
        </is>
      </c>
      <c r="D43" s="9" t="inlineStr">
        <is>
          <t>PSIRT Lead, Technical Writer</t>
        </is>
      </c>
      <c r="E43" s="9" t="inlineStr">
        <is>
          <t>CSAF 2.0 Advisory Generator &amp; Public Security Portal</t>
        </is>
      </c>
      <c r="F43" s="9" t="inlineStr">
        <is>
          <t>Input: Remediated CVE details, CVSS scores, fixed versions. Output: Published security advisory in CSAF 2.0 JSON and HTML formats.</t>
        </is>
      </c>
      <c r="G43" s="9" t="inlineStr">
        <is>
          <t>Published CSAF Advisory Files (JSON); Public Advisory Web URLs; RSS Feed Updates</t>
        </is>
      </c>
      <c r="H43" s="9" t="inlineStr">
        <is>
          <t>Advisory Gate: Public advisory published synchronously with or immediately following patch availability.</t>
        </is>
      </c>
    </row>
    <row r="44" ht="45" customHeight="1">
      <c r="A44" s="36" t="inlineStr">
        <is>
          <t>Annex I, Part I, point (2)(c); Annex I Part II point (7)</t>
        </is>
      </c>
      <c r="B44" s="62" t="inlineStr">
        <is>
          <t>Maintenance and RUN</t>
        </is>
      </c>
      <c r="C44" s="58" t="inlineStr">
        <is>
          <t>Deliver Automatic Security Updates with User Notification and Opt-Out Controls</t>
        </is>
      </c>
      <c r="D44" s="38" t="inlineStr">
        <is>
          <t>Operations Lead, Release Manager</t>
        </is>
      </c>
      <c r="E44" s="38" t="inlineStr">
        <is>
          <t>OTA / Background Update Daemon, Dual-Partition Rollback Protection</t>
        </is>
      </c>
      <c r="F44" s="38" t="inlineStr">
        <is>
          <t>Input: Verified security patch. Output: Automated background installation on client fleets with deferral/opt-out options.</t>
        </is>
      </c>
      <c r="G44" s="38" t="inlineStr">
        <is>
          <t>Fleet Update Telemetry Dashboard; Update Success/Failure Logs; Rollback Trigger Logs</t>
        </is>
      </c>
      <c r="H44" s="38" t="inlineStr">
        <is>
          <t>Deployment Gate: Automatic deployment staged across canary groups prior to 100% rollout.</t>
        </is>
      </c>
    </row>
    <row r="45" ht="45" customHeight="1">
      <c r="A45" s="47" t="inlineStr">
        <is>
          <t>Art 13(9)</t>
        </is>
      </c>
      <c r="B45" s="62" t="inlineStr">
        <is>
          <t>Maintenance and RUN</t>
        </is>
      </c>
      <c r="C45" s="59" t="inlineStr">
        <is>
          <t>Deposit Released Security Patches into Mandatory 10-Year Public Update Archive</t>
        </is>
      </c>
      <c r="D45" s="9" t="inlineStr">
        <is>
          <t>Release Engineering Lead, Cloud Infrastructure Lead</t>
        </is>
      </c>
      <c r="E45" s="9" t="inlineStr">
        <is>
          <t>Immutable Public Patch Repository (WORM Storage / S3 Glacier)</t>
        </is>
      </c>
      <c r="F45" s="9" t="inlineStr">
        <is>
          <t>Input: Released patch binaries and release notes. Output: Immutable public download archive accessible for ≥10 years from market placement.</t>
        </is>
      </c>
      <c r="G45" s="9" t="inlineStr">
        <is>
          <t>Immutable Storage Deposit Log; Patch Archive Public URL; Periodic Integrity Check Reports</t>
        </is>
      </c>
      <c r="H45" s="9" t="inlineStr">
        <is>
          <t>Archival Gate: Every released security patch automatically deposited and locked in 10-year archive.</t>
        </is>
      </c>
    </row>
    <row r="46" ht="45" customHeight="1">
      <c r="A46" s="36" t="inlineStr">
        <is>
          <t>Art 13(7), Art 31(2); Guidance Pt 147</t>
        </is>
      </c>
      <c r="B46" s="62" t="inlineStr">
        <is>
          <t>Maintenance and RUN</t>
        </is>
      </c>
      <c r="C46" s="58" t="inlineStr">
        <is>
          <t>Continuously Update Living Cybersecurity Risk Assessment and Technical Documentation</t>
        </is>
      </c>
      <c r="D46" s="38" t="inlineStr">
        <is>
          <t>Product Security Architect, Regulatory Compliance Officer</t>
        </is>
      </c>
      <c r="E46" s="38" t="inlineStr">
        <is>
          <t>Living TARA Risk Register &amp; Technical Documentation Management System</t>
        </is>
      </c>
      <c r="F46" s="38" t="inlineStr">
        <is>
          <t>Input: Post-market vulnerability trends, new attack vectors, customer incident data. Output: Updated Cybersecurity Risk Assessment and Annex VII dossier addenda.</t>
        </is>
      </c>
      <c r="G46" s="38" t="inlineStr">
        <is>
          <t>Updated Risk Assessment Revisions; Annual Risk Review Sign-off Records; Annex VII Addenda</t>
        </is>
      </c>
      <c r="H46" s="38" t="inlineStr">
        <is>
          <t>Annual Review Gate: Executive review and re-certification of risk assessment every 12 months during RUN.</t>
        </is>
      </c>
    </row>
    <row r="47" ht="45" customHeight="1">
      <c r="A47" s="47" t="inlineStr">
        <is>
          <t>Art 13(8), Art 13(22); Annex II point 8</t>
        </is>
      </c>
      <c r="B47" s="62" t="inlineStr">
        <is>
          <t>Maintenance and RUN</t>
        </is>
      </c>
      <c r="C47" s="59" t="inlineStr">
        <is>
          <t>Execute End-of-Support (EOS) Notice and Decommissioning Governance</t>
        </is>
      </c>
      <c r="D47" s="9" t="inlineStr">
        <is>
          <t>Product Manager, VP Customer Support, Legal Counsel</t>
        </is>
      </c>
      <c r="E47" s="9" t="inlineStr">
        <is>
          <t>Product Lifecycle Portal, Customer Direct Notices, Code Escrow Procedure</t>
        </is>
      </c>
      <c r="F47" s="9" t="inlineStr">
        <is>
          <t>Input: Impending end of declared support period. Output: Advance customer notice (minimum 6 months), public lifecycle update, final data erasure guidance.</t>
        </is>
      </c>
      <c r="G47" s="9" t="inlineStr">
        <is>
          <t>Advance End-of-Support Notices to Customers; Market Surveillance Authority Notifications; Final Decommissioning Advisory</t>
        </is>
      </c>
      <c r="H47" s="9" t="inlineStr">
        <is>
          <t>EOS Gate: Vulnerability monitoring and reporting cannot terminate until declared calendar EOS date arrives and notice is satisfied.</t>
        </is>
      </c>
    </row>
  </sheetData>
  <autoFilter ref="A3:H47"/>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3"/>
  <sheetViews>
    <sheetView showGridLines="1" workbookViewId="0">
      <pane ySplit="3" topLeftCell="A4" activePane="bottomLeft" state="frozen"/>
      <selection pane="bottomLeft" activeCell="A1" sqref="A1"/>
    </sheetView>
  </sheetViews>
  <sheetFormatPr baseColWidth="8" defaultRowHeight="15"/>
  <cols>
    <col width="16" customWidth="1" min="1" max="1"/>
    <col width="22" customWidth="1" min="2" max="2"/>
    <col width="38" customWidth="1" min="3" max="3"/>
    <col width="38" customWidth="1" min="4" max="4"/>
    <col width="40" customWidth="1" min="5" max="5"/>
    <col width="25" customWidth="1" min="6" max="6"/>
    <col width="35" customWidth="1" min="7" max="7"/>
    <col width="24" customWidth="1" min="8" max="8"/>
    <col width="45" customWidth="1" min="9" max="9"/>
  </cols>
  <sheetData>
    <row r="1" ht="25" customHeight="1">
      <c r="A1" s="1" t="inlineStr">
        <is>
          <t>CRA COMPLIANCE GAPS &amp; STRATEGIC REMEDIATION ROADMAP</t>
        </is>
      </c>
    </row>
    <row r="2" ht="18" customHeight="1">
      <c r="A2" s="2" t="inlineStr">
        <is>
          <t>Detailed Analysis of Residual Regulatory Gaps Not Fully Addressed by the Security Toolchain, Requiring Governance, Legal, and Operational Controls</t>
        </is>
      </c>
    </row>
    <row r="3" ht="26" customHeight="1">
      <c r="A3" s="35" t="inlineStr">
        <is>
          <t>Gap ID</t>
        </is>
      </c>
      <c r="B3" s="35" t="inlineStr">
        <is>
          <t>Mapped CRA Requirement ID</t>
        </is>
      </c>
      <c r="C3" s="35" t="inlineStr">
        <is>
          <t>Identified Compliance Gap</t>
        </is>
      </c>
      <c r="D3" s="35" t="inlineStr">
        <is>
          <t>Regulatory Risk &amp; Business Impact</t>
        </is>
      </c>
      <c r="E3" s="35" t="inlineStr">
        <is>
          <t>Recommended Complementary Control / Process</t>
        </is>
      </c>
      <c r="F3" s="35" t="inlineStr">
        <is>
          <t>Responsible Owner</t>
        </is>
      </c>
      <c r="G3" s="35" t="inlineStr">
        <is>
          <t>Priority &amp; Rationale</t>
        </is>
      </c>
      <c r="H3" s="35" t="inlineStr">
        <is>
          <t>Suggested Implementation Phase</t>
        </is>
      </c>
      <c r="I3" s="35" t="inlineStr">
        <is>
          <t>Required Compliance Evidence &amp; Dependencies</t>
        </is>
      </c>
    </row>
    <row r="4" ht="55" customHeight="1">
      <c r="A4" s="36" t="inlineStr">
        <is>
          <t>CRA-GAP-REP-01</t>
        </is>
      </c>
      <c r="B4" s="36" t="inlineStr">
        <is>
          <t>CRA-REQ-REP-01</t>
        </is>
      </c>
      <c r="C4" s="38" t="inlineStr">
        <is>
          <t>No automated reporting mechanism to the ENISA Single Reporting Platform (SRP) or national CSIRTs exists within the security toolchain; tools detect CVEs but cannot execute legal 24h / 72h / 14-day statutory notifications.</t>
        </is>
      </c>
      <c r="D4" s="38" t="inlineStr">
        <is>
          <t>Direct violation of live Article 14 obligations (statutory law since 11 September 2026); severe administrative fines under Art 64(2) up to €15,000,000 or 2.5% of global turnover; national regulatory injunctions.</t>
        </is>
      </c>
      <c r="E4" s="38" t="inlineStr">
        <is>
          <t>Implement and operationalize the Article 14 Operational Runbook: establish 24/7 PSIRT awareness tracking, secure ENISA SRP credentials (EU Login / FIDO2) for Primary/Secondary Representatives, and integrate incident escalation bridges.</t>
        </is>
      </c>
      <c r="F4" s="37" t="inlineStr">
        <is>
          <t>CISO, Head of PSIRT, Legal Counsel</t>
        </is>
      </c>
      <c r="G4" s="63" t="inlineStr">
        <is>
          <t>Critical (Statutory duty live right now since Sept 2026; missing 24h clock triggers immediate non-compliance)</t>
        </is>
      </c>
      <c r="H4" s="64" t="inlineStr">
        <is>
          <t>Immediate (Live Operation / RUN)</t>
        </is>
      </c>
      <c r="I4" s="38" t="inlineStr">
        <is>
          <t>Evidence: Approved Article 14 Operational Runbook; Tested ENISA SRP credentials; Bi-annual simulated reporting drill receipts; 24/7 on-call escalation roster. | Dependencies: Incident Management Vault, ENISA SRP corporate account creation, legal escalation protocol.</t>
        </is>
      </c>
    </row>
    <row r="5" ht="55" customHeight="1">
      <c r="A5" s="47" t="inlineStr">
        <is>
          <t>CRA-GAP-REP-02</t>
        </is>
      </c>
      <c r="B5" s="47" t="inlineStr">
        <is>
          <t>CRA-REQ-REP-02</t>
        </is>
      </c>
      <c r="C5" s="9" t="inlineStr">
        <is>
          <t>Lack of a formalized classification matrix and procedural bridge to detect and report severe incidents impacting product security (e.g., CI/CD build compromise, signing key theft) to CSIRTs/ENISA within statutory 24h / 72h / 1-month clocks.</t>
        </is>
      </c>
      <c r="D5" s="9" t="inlineStr">
        <is>
          <t>Failure to report build supply-chain attacks or systemic infrastructure outages impacting product integrity; joint liability under NIS2 and CRA Article 14.</t>
        </is>
      </c>
      <c r="E5" s="9" t="inlineStr">
        <is>
          <t>Adopt SOC Severe Incident Identification Matrix; train SOC and DevSecOps teams on CRA incident triggers; establish immediate notification bridge from SOC to CISO and Legal.</t>
        </is>
      </c>
      <c r="F5" s="48" t="inlineStr">
        <is>
          <t>CISO, Head of SOC, Lead DevSecOps Architect</t>
        </is>
      </c>
      <c r="G5" s="63" t="inlineStr">
        <is>
          <t>Critical (Live obligation; supply chain incidents require statutory reporting within 24 hours of awareness)</t>
        </is>
      </c>
      <c r="H5" s="65" t="inlineStr">
        <is>
          <t>Immediate (Live Operation / RUN)</t>
        </is>
      </c>
      <c r="I5" s="9" t="inlineStr">
        <is>
          <t>Evidence: SOC Severe Incident Playbook; Incident awareness timestamp logs; Tabletop supply chain incident simulation records. | Dependencies: SOC SIEM correlation rules, DevSecOps pipeline audit logging, Legal review.</t>
        </is>
      </c>
    </row>
    <row r="6" ht="55" customHeight="1">
      <c r="A6" s="36" t="inlineStr">
        <is>
          <t>CRA-GAP-REP-03</t>
        </is>
      </c>
      <c r="B6" s="36" t="inlineStr">
        <is>
          <t>CRA-REQ-REP-03</t>
        </is>
      </c>
      <c r="C6" s="38" t="inlineStr">
        <is>
          <t>No automated or formal communications mechanism exists to notify affected customers and end-users 'without undue delay' regarding actively exploited vulnerabilities or severe incidents with actionable mitigation instructions.</t>
        </is>
      </c>
      <c r="D6" s="38" t="inlineStr">
        <is>
          <t>Customer exploitation due to delayed warning; breach of Article 14(8); customer contractual claims and reputation damage; regulatory reprimands.</t>
        </is>
      </c>
      <c r="E6" s="38" t="inlineStr">
        <is>
          <t>Deploy a Customer Emergency Advisory Broadcast System: maintain an updated customer security contact database, pre-approved advisory templates, and a dedicated customer security alert portal.</t>
        </is>
      </c>
      <c r="F6" s="37" t="inlineStr">
        <is>
          <t>VP Customer Success, PSIRT Communications Lead, Legal Counsel</t>
        </is>
      </c>
      <c r="G6" s="63" t="inlineStr">
        <is>
          <t>Critical (Required to protect customers from active attacks; mandatory under Art 14(8))</t>
        </is>
      </c>
      <c r="H6" s="64" t="inlineStr">
        <is>
          <t>Immediate (Q4 2026)</t>
        </is>
      </c>
      <c r="I6" s="38" t="inlineStr">
        <is>
          <t>Evidence: Customer Emergency Advisory Runbook; Verified customer security contact registry; Advisory broadcast test logs. | Dependencies: CRM customer security contact field, PSIRT advisory authoring pipeline.</t>
        </is>
      </c>
    </row>
    <row r="7" ht="55" customHeight="1">
      <c r="A7" s="47" t="inlineStr">
        <is>
          <t>CRA-GAP-GOV-01</t>
        </is>
      </c>
      <c r="B7" s="47" t="inlineStr">
        <is>
          <t>CRA-REQ-MGT-05</t>
        </is>
      </c>
      <c r="C7" s="9" t="inlineStr">
        <is>
          <t>Absence of a formalized corporate policy and multi-year sustaining engineering budget model to determine and publicly commit to a guaranteed product support period (statutory baseline: minimum 5 years).</t>
        </is>
      </c>
      <c r="D7" s="9" t="inlineStr">
        <is>
          <t>Inability to market product in EU after Dec 2027; invalid Annex II documentation; customer litigation if updates terminate prematurely.</t>
        </is>
      </c>
      <c r="E7" s="9" t="inlineStr">
        <is>
          <t>Establish Executive Support Period Governance Policy: mandate a minimum 5-year support period (or formally documented technical justification for shorter life); create multi-year financial reserve for sustained security engineering.</t>
        </is>
      </c>
      <c r="F7" s="48" t="inlineStr">
        <is>
          <t>VP Product Management, Business Unit General Manager, Chief Financial Officer</t>
        </is>
      </c>
      <c r="G7" s="63" t="inlineStr">
        <is>
          <t>Critical (Determines business model, customer contracts, and product pricing viability)</t>
        </is>
      </c>
      <c r="H7" s="65" t="inlineStr">
        <is>
          <t>Presales and Product Planning (Q1 2027)</t>
        </is>
      </c>
      <c r="I7" s="9" t="inlineStr">
        <is>
          <t>Evidence: Executive Support Period Policy; Product Lifecycle Determination Record; 5-Year Sustaining Budget Allocation Model; Public Lifecycle Web Portal. | Dependencies: Product roadmap, component end-of-life commitments from suppliers, finance models.</t>
        </is>
      </c>
    </row>
    <row r="8" ht="55" customHeight="1">
      <c r="A8" s="36" t="inlineStr">
        <is>
          <t>CRA-GAP-GOV-02</t>
        </is>
      </c>
      <c r="B8" s="36" t="inlineStr">
        <is>
          <t>CRA-REQ-VULN-05</t>
        </is>
      </c>
      <c r="C8" s="38" t="inlineStr">
        <is>
          <t>Lack of a publicly accessible Coordinated Vulnerability Disclosure (CVD) policy aligned with ISO/IEC 29147, including legal safe harbor protections for ethical security researchers.</t>
        </is>
      </c>
      <c r="D8" s="38" t="inlineStr">
        <is>
          <t>Non-compliance with Annex I, Part II, point (5); legal friction with security researchers; uncoordinated public disclosure of zero-day exploits.</t>
        </is>
      </c>
      <c r="E8" s="38" t="inlineStr">
        <is>
          <t>Draft, legally approve, and publish a formal CVD Policy conforming to ISO/IEC 29147; offer legal safe harbor; publish PGP keys and response SLA commitments on `/security/disclosure`.</t>
        </is>
      </c>
      <c r="F8" s="37" t="inlineStr">
        <is>
          <t>CISO, Head of PSIRT, General Counsel</t>
        </is>
      </c>
      <c r="G8" s="66" t="inlineStr">
        <is>
          <t>High (Prerequisite for responsible community collaboration and Annex VII compliance)</t>
        </is>
      </c>
      <c r="H8" s="64" t="inlineStr">
        <is>
          <t>Development / Deployment (Q1 2027)</t>
        </is>
      </c>
      <c r="I8" s="38" t="inlineStr">
        <is>
          <t>Evidence: Published CVD Policy Document; PGP Key in public registry; Legal Safe Harbor Terms; ISO/IEC 29147 Alignment Matrix. | Dependencies: Legal Counsel approval, PSIRT triage queue, public web infrastructure.</t>
        </is>
      </c>
    </row>
    <row r="9" ht="55" customHeight="1">
      <c r="A9" s="47" t="inlineStr">
        <is>
          <t>CRA-GAP-GOV-03</t>
        </is>
      </c>
      <c r="B9" s="47" t="inlineStr">
        <is>
          <t>CRA-REQ-VULN-06</t>
        </is>
      </c>
      <c r="C9" s="9" t="inlineStr">
        <is>
          <t>Missing RFC 9116 compliant `security.txt` file and dedicated 24/7/365 external vulnerability intake contact point across product domains and software distributions.</t>
        </is>
      </c>
      <c r="D9" s="9" t="inlineStr">
        <is>
          <t>Researchers cannot contact security team; delays in awareness of critical exploits; non-compliance with Annex I Part II point (6) and Art 13(19).</t>
        </is>
      </c>
      <c r="E9" s="9" t="inlineStr">
        <is>
          <t>Deploy RFC 9116 `security.txt` on all public domains and API gateways; establish dedicated, monitored `security@company.com` intake queue linked directly to PSIRT ticketing.</t>
        </is>
      </c>
      <c r="F9" s="48" t="inlineStr">
        <is>
          <t>PSIRT Lead, Web Infrastructure Lead</t>
        </is>
      </c>
      <c r="G9" s="66" t="inlineStr">
        <is>
          <t>High (Simple to implement; critical external discovery channel)</t>
        </is>
      </c>
      <c r="H9" s="65" t="inlineStr">
        <is>
          <t>Immediate (Q4 2026)</t>
        </is>
      </c>
      <c r="I9" s="9" t="inlineStr">
        <is>
          <t>Evidence: Live `/.well-known/security.txt` URLs; PSIRT Ticketing Ingestion Logs; Automated acknowledgment audit records. | Dependencies: Web server configuration, PSIRT ticketing integration (Jira Service Management).</t>
        </is>
      </c>
    </row>
    <row r="10" ht="55" customHeight="1">
      <c r="A10" s="36" t="inlineStr">
        <is>
          <t>CRA-GAP-GOV-04</t>
        </is>
      </c>
      <c r="B10" s="36" t="inlineStr">
        <is>
          <t>CRA-REQ-MGT-06</t>
        </is>
      </c>
      <c r="C10" s="38" t="inlineStr">
        <is>
          <t>No immutable, long-term binary storage repository is currently maintained to retain released security updates for at least 10 years after market placement as mandated by Art 13(9).</t>
        </is>
      </c>
      <c r="D10" s="38" t="inlineStr">
        <is>
          <t>Inability to provide historical security patches to legacy systems operating in customer environments; violation of Art 13(9).</t>
        </is>
      </c>
      <c r="E10" s="38" t="inlineStr">
        <is>
          <t>Provision an immutable WORM (Write Once, Read Many) cloud storage repository (e.g. AWS S3 Object Lock / Azure Immutable Blob) integrated with release pipelines to store all compiled updates for 10 years.</t>
        </is>
      </c>
      <c r="F10" s="37" t="inlineStr">
        <is>
          <t>Release Engineering Lead, Cloud Infrastructure Architect</t>
        </is>
      </c>
      <c r="G10" s="66" t="inlineStr">
        <is>
          <t>High (Technical architecture must be established before product release)</t>
        </is>
      </c>
      <c r="H10" s="64" t="inlineStr">
        <is>
          <t>Build and Release / Deployment (Q2 2027)</t>
        </is>
      </c>
      <c r="I10" s="38" t="inlineStr">
        <is>
          <t>Evidence: Immutable Storage Configuration Audit; Automated Archiving Pipeline Scripts; 10-Year Retention Policy Verification Record. | Dependencies: Cloud infrastructure budget, CI/CD artifact publication pipeline.</t>
        </is>
      </c>
    </row>
    <row r="11" ht="55" customHeight="1">
      <c r="A11" s="47" t="inlineStr">
        <is>
          <t>CRA-GAP-GOV-05</t>
        </is>
      </c>
      <c r="B11" s="47" t="inlineStr">
        <is>
          <t>CRA-REQ-VULN-08</t>
        </is>
      </c>
      <c r="C11" s="9" t="inlineStr">
        <is>
          <t>Commercial software licensing models and release branching currently bundle security bug fixes into paid feature upgrades, violating the mandate that security updates be provided free of charge and decoupled from feature upgrades.</t>
        </is>
      </c>
      <c r="D11" s="9" t="inlineStr">
        <is>
          <t>Breach of Annex I, Part II, point (8); customer disputes; regulatory investigation by market surveillance authorities.</t>
        </is>
      </c>
      <c r="E11" s="9" t="inlineStr">
        <is>
          <t>Restructure Git release branching into dual-track LTS branches (security-only maintenance vs feature releases); amend commercial master service agreements guaranteeing free security patches throughout support period.</t>
        </is>
      </c>
      <c r="F11" s="48" t="inlineStr">
        <is>
          <t>Lead Software Architect, Product VP, General Counsel</t>
        </is>
      </c>
      <c r="G11" s="66" t="inlineStr">
        <is>
          <t>High (Requires both technical branching refactoring and commercial contract updates)</t>
        </is>
      </c>
      <c r="H11" s="65" t="inlineStr">
        <is>
          <t>Development / Build (Q2 2027)</t>
        </is>
      </c>
      <c r="I11" s="9" t="inlineStr">
        <is>
          <t>Evidence: Dual-Track Release Branching Specification; Updated Commercial Contract Templates; Free Security Update Verification Record. | Dependencies: Software engineering branching model, commercial sales contract revision.</t>
        </is>
      </c>
    </row>
    <row r="12" ht="55" customHeight="1">
      <c r="A12" s="36" t="inlineStr">
        <is>
          <t>CRA-GAP-GOV-06</t>
        </is>
      </c>
      <c r="B12" s="36" t="inlineStr">
        <is>
          <t>CRA-REQ-MGT-03</t>
        </is>
      </c>
      <c r="C12" s="38" t="inlineStr">
        <is>
          <t>Lack of an established operational procedure to report vulnerabilities discovered in integrated third-party or open-source components back to upstream maintainers and share patches.</t>
        </is>
      </c>
      <c r="D12" s="38" t="inlineStr">
        <is>
          <t>Violation of Article 13(6); open source community friction; missed opportunity to eliminate systemic supply chain vulnerabilities.</t>
        </is>
      </c>
      <c r="E12" s="38" t="inlineStr">
        <is>
          <t>Establish an Upstream Vulnerability Disclosure &amp; Contribution SOP in the Open Source Program Office (OSPO) / PSIRT; maintain tracking logs of upstream responsible disclosures.</t>
        </is>
      </c>
      <c r="F12" s="37" t="inlineStr">
        <is>
          <t>OSPO Lead, PSIRT Lead, Senior Software Engineers</t>
        </is>
      </c>
      <c r="G12" s="67" t="inlineStr">
        <is>
          <t>Medium (Important ecosystem reciprocity duty; manageable process)</t>
        </is>
      </c>
      <c r="H12" s="64" t="inlineStr">
        <is>
          <t>Development / Maintenance (Q2 2027)</t>
        </is>
      </c>
      <c r="I12" s="38" t="inlineStr">
        <is>
          <t>Evidence: Upstream Disclosure SOP; Log of Disclosed Vulnerabilities to Upstream Projects; Upstream Pull Request &amp; Patch Records. | Dependencies: PSIRT vulnerability triage, corporate open source contribution policy.</t>
        </is>
      </c>
    </row>
    <row r="13" ht="55" customHeight="1">
      <c r="A13" s="47" t="inlineStr">
        <is>
          <t>CRA-GAP-DOC-01</t>
        </is>
      </c>
      <c r="B13" s="47" t="inlineStr">
        <is>
          <t>CRA-REQ-DOC-01</t>
        </is>
      </c>
      <c r="C13" s="9" t="inlineStr">
        <is>
          <t>Scanning tools generate isolated technical test reports, but no centralized framework or process exists to compile and maintain the formal Annex VII Technical Documentation Dossier.</t>
        </is>
      </c>
      <c r="D13" s="9" t="inlineStr">
        <is>
          <t>Inability to complete conformity assessment or obtain CE marking; market placement prohibited under Art 13(11) and Art 31.</t>
        </is>
      </c>
      <c r="E13" s="9" t="inlineStr">
        <is>
          <t>Implement an Annex VII Technical Documentation Management System: define templates covering all 11 mandatory Annex VII elements, automate evidence aggregation from CI/CD and risk assessments, and establish a formal Engineering Approval Gate.</t>
        </is>
      </c>
      <c r="F13" s="48" t="inlineStr">
        <is>
          <t>Regulatory Compliance Lead, Product Security Architect, Technical Writer</t>
        </is>
      </c>
      <c r="G13" s="63" t="inlineStr">
        <is>
          <t>Critical (Mandatory legal prerequisite for CE marking and Union market access)</t>
        </is>
      </c>
      <c r="H13" s="65" t="inlineStr">
        <is>
          <t>Development / Deployment (Q2–Q3 2027)</t>
        </is>
      </c>
      <c r="I13" s="9" t="inlineStr">
        <is>
          <t>Evidence: Completed Annex VII Technical Documentation Dossier; Engineering Gate Sign-off Protocol; Document Management Vault. | Dependencies: Risk assessment, test reports, SBOM generation, user instructions.</t>
        </is>
      </c>
    </row>
    <row r="14" ht="55" customHeight="1">
      <c r="A14" s="36" t="inlineStr">
        <is>
          <t>CRA-GAP-DOC-02</t>
        </is>
      </c>
      <c r="B14" s="36" t="inlineStr">
        <is>
          <t>CRA-REQ-DOC-03</t>
        </is>
      </c>
      <c r="C14" s="38" t="inlineStr">
        <is>
          <t>Customer-facing documentation lacks the mandatory cybersecurity parameters, secure installation guidance, explicit end-of-support dates, and vulnerability contact points required by Annex II.</t>
        </is>
      </c>
      <c r="D14" s="38" t="inlineStr">
        <is>
          <t>Product non-conformity at customs or market surveillance inspection; user misconfiguration leading to security incidents; Art 13(18) violations.</t>
        </is>
      </c>
      <c r="E14" s="38" t="inlineStr">
        <is>
          <t>Author a dedicated Annex II Customer Security &amp; Hardening Guide: integrate product security properties, minimum system requirements, secure commissioning steps, explicit support period end date, and CVD contact details.</t>
        </is>
      </c>
      <c r="F14" s="37" t="inlineStr">
        <is>
          <t>Lead Technical Writer, Product Security Architect, Product Manager</t>
        </is>
      </c>
      <c r="G14" s="66" t="inlineStr">
        <is>
          <t>High (Required deliverable accompanying every product placed on the market)</t>
        </is>
      </c>
      <c r="H14" s="64" t="inlineStr">
        <is>
          <t>Deployment and Delivery (Q3 2027)</t>
        </is>
      </c>
      <c r="I14" s="38" t="inlineStr">
        <is>
          <t>Evidence: Annex II Customer Security Guide; Packaging Leaflet / E-Label Proofs; Translation Certification Records in required EU languages. | Dependencies: Hardening baseline, support period determination, CVD intake contact.</t>
        </is>
      </c>
    </row>
    <row r="15" ht="55" customHeight="1">
      <c r="A15" s="47" t="inlineStr">
        <is>
          <t>CRA-GAP-DOC-03</t>
        </is>
      </c>
      <c r="B15" s="47" t="inlineStr">
        <is>
          <t>CRA-REQ-DOC-02</t>
        </is>
      </c>
      <c r="C15" s="9" t="inlineStr">
        <is>
          <t>Absence of a corporate compliance archiving policy and tamper-evident repository guaranteeing 10-year retention of technical dossiers, test logs, and EU Declarations of Conformity following market placement.</t>
        </is>
      </c>
      <c r="D15" s="9" t="inlineStr">
        <is>
          <t>Inability to defend conformity during retrospective market surveillance audits; fines under Art 64(3) up to €10,000,000 or 2% of turnover.</t>
        </is>
      </c>
      <c r="E15" s="9" t="inlineStr">
        <is>
          <t>Establish a Corporate Regulatory Compliance Archive with immutable storage, strict 10-year retention schedules, and annual audit retrieval drills.</t>
        </is>
      </c>
      <c r="F15" s="48" t="inlineStr">
        <is>
          <t>Corporate Compliance Officer, Legal Counsel, Archivist</t>
        </is>
      </c>
      <c r="G15" s="66" t="inlineStr">
        <is>
          <t>High (Statutory records retention duty under Art 13(12) and Art 31(3))</t>
        </is>
      </c>
      <c r="H15" s="65" t="inlineStr">
        <is>
          <t>Deployment and Delivery (Q3 2027)</t>
        </is>
      </c>
      <c r="I15" s="9" t="inlineStr">
        <is>
          <t>Evidence: Compliance Archiving Policy; 10-Year Retention Schedule Audit Record; Annual Retrieval Drill Protocol. | Dependencies: Enterprise Document Management System, Legal records policy.</t>
        </is>
      </c>
    </row>
    <row r="16" ht="55" customHeight="1">
      <c r="A16" s="36" t="inlineStr">
        <is>
          <t>CRA-GAP-CONF-01</t>
        </is>
      </c>
      <c r="B16" s="36" t="inlineStr">
        <is>
          <t>CRA-REQ-CONF-01</t>
        </is>
      </c>
      <c r="C16" s="38" t="inlineStr">
        <is>
          <t>Product classification under Annex III and Implementing Regulation (EU) 2025/2392 has not been formally conducted; risk of misclassifying an Important Class I/II product as Default, missing required Notified Body conformity assessments.</t>
        </is>
      </c>
      <c r="D16" s="38" t="inlineStr">
        <is>
          <t>Invalid CE mark; product impounded or recalled from EU market; severe executive liability for non-compliant market placement.</t>
        </is>
      </c>
      <c r="E16" s="38" t="inlineStr">
        <is>
          <t>Conduct formal CRA Product Classification Review: evaluate core product functionalities against Annex III Class I/II categories and IR 2025/2392; if Class I/II, select conformity route (Module B+C or H) and immediately issue RFP to accredited Notified Bodies.</t>
        </is>
      </c>
      <c r="F16" s="37" t="inlineStr">
        <is>
          <t>Lead Security Architect, Compliance Officer, General Counsel</t>
        </is>
      </c>
      <c r="G16" s="63" t="inlineStr">
        <is>
          <t>Critical (Notified Bodies have 6-12 month lead times; delays halt product release)</t>
        </is>
      </c>
      <c r="H16" s="64" t="inlineStr">
        <is>
          <t>Presales and Product Planning (Q1 2027)</t>
        </is>
      </c>
      <c r="I16" s="38" t="inlineStr">
        <is>
          <t>Evidence: Formal Product Classification Assessment Record; Notified Body Engagement Agreement / Proposal; Conformity Assessment Plan. | Dependencies: Product functionality specifications, marketing claims review.</t>
        </is>
      </c>
    </row>
    <row r="17" ht="55" customHeight="1">
      <c r="A17" s="47" t="inlineStr">
        <is>
          <t>CRA-GAP-CONF-02</t>
        </is>
      </c>
      <c r="B17" s="47" t="inlineStr">
        <is>
          <t>CRA-REQ-CONF-02</t>
        </is>
      </c>
      <c r="C17" s="9" t="inlineStr">
        <is>
          <t>No governance workflow or executive signatory authorization matrix exists to draw up, execute, and maintain the legally binding EU Declaration of Conformity (DoC) under Annex V.</t>
        </is>
      </c>
      <c r="D17" s="9" t="inlineStr">
        <is>
          <t>Product cannot legally carry CE mark or be placed on market; personal legal liability for unauthorized or defective declarations.</t>
        </is>
      </c>
      <c r="E17" s="9" t="inlineStr">
        <is>
          <t>Implement an EU Declaration of Conformity Authoring SOP: establish board-level signatory authorization, verify alignment with Annex VII technical documentation, and ensure multi-directive consolidation (CRA, RED, Machinery).</t>
        </is>
      </c>
      <c r="F17" s="48" t="inlineStr">
        <is>
          <t>Executive Board, General Counsel, Regulatory Affairs Lead</t>
        </is>
      </c>
      <c r="G17" s="63" t="inlineStr">
        <is>
          <t>Critical (Mandatory legal prerequisite for placing product on market)</t>
        </is>
      </c>
      <c r="H17" s="65" t="inlineStr">
        <is>
          <t>Deployment and Delivery (Q3 2027)</t>
        </is>
      </c>
      <c r="I17" s="9" t="inlineStr">
        <is>
          <t>Evidence: Signed EU Declaration of Conformity (PDF); Executive Signatory Authorization Board Resolution; DoC Verification Checklist. | Dependencies: Completed conformity assessment, Annex VII technical dossier.</t>
        </is>
      </c>
    </row>
    <row r="18" ht="55" customHeight="1">
      <c r="A18" s="36" t="inlineStr">
        <is>
          <t>CRA-GAP-CONF-03</t>
        </is>
      </c>
      <c r="B18" s="36" t="inlineStr">
        <is>
          <t>CRA-REQ-CONF-03</t>
        </is>
      </c>
      <c r="C18" s="38" t="inlineStr">
        <is>
          <t>Packaging artwork, product rating plates, and software UI splash screens lack compliant CE marking, traceability numbers, and manufacturer contact identification.</t>
        </is>
      </c>
      <c r="D18" s="38" t="inlineStr">
        <is>
          <t>Customs impoundment; product non-conformity citations by national market surveillance authorities under Art 13(15)–(17).</t>
        </is>
      </c>
      <c r="E18" s="38" t="inlineStr">
        <is>
          <t>Audit and update physical packaging artwork, hardware rating labels, and software UI 'About' screens to include the CE mark (≥5mm height), batch/serial numbers, manufacturer postal address, and single contact point.</t>
        </is>
      </c>
      <c r="F18" s="37" t="inlineStr">
        <is>
          <t>Packaging Design Lead, Software UI Lead, Quality Manager</t>
        </is>
      </c>
      <c r="G18" s="66" t="inlineStr">
        <is>
          <t>High (Physical packaging and software release gating requirement)</t>
        </is>
      </c>
      <c r="H18" s="64" t="inlineStr">
        <is>
          <t>Deployment and Delivery (Q3 2027)</t>
        </is>
      </c>
      <c r="I18" s="38" t="inlineStr">
        <is>
          <t>Evidence: Approved Artwork Proofs; UI 'About' Screen Verification Screenshots; Physical Rating Plate Durability Test Records. | Dependencies: Packaging engineering, software UI release sprint.</t>
        </is>
      </c>
    </row>
    <row r="19" ht="55" customHeight="1">
      <c r="A19" s="47" t="inlineStr">
        <is>
          <t>CRA-GAP-CONF-04</t>
        </is>
      </c>
      <c r="B19" s="47" t="inlineStr">
        <is>
          <t>CRA-REQ-CONF-04</t>
        </is>
      </c>
      <c r="C19" s="9" t="inlineStr">
        <is>
          <t>Engineering Change Advisory Board (CAB) lacks a regulatory gating filter to evaluate whether post-market feature updates constitute a 'substantial modification' under Art 3(30), triggering new conformity assessments.</t>
        </is>
      </c>
      <c r="D19" s="9" t="inlineStr">
        <is>
          <t>Releasing a substantially modified update without new conformity assessment turns the update into an illegal market placement under Art 21/22.</t>
        </is>
      </c>
      <c r="E19" s="9" t="inlineStr">
        <is>
          <t>Integrate a Substantial Modification Screening Gate into the CAB: evaluate all major functional releases against Art 3(30) risk delta criteria; route substantial changes to updated risk assessments and conformity reviews.</t>
        </is>
      </c>
      <c r="F19" s="48" t="inlineStr">
        <is>
          <t>CAB Chair, Lead Security Architect, Compliance Officer</t>
        </is>
      </c>
      <c r="G19" s="66" t="inlineStr">
        <is>
          <t>High (Critical change management control for ongoing product evolution)</t>
        </is>
      </c>
      <c r="H19" s="65" t="inlineStr">
        <is>
          <t>Maintenance and RUN (Q2 2027)</t>
        </is>
      </c>
      <c r="I19" s="9" t="inlineStr">
        <is>
          <t>Evidence: CAB Substantial Modification Assessment Checklist; Change Screening Records; Updated Conformity Dossiers. | Dependencies: Jira change management workflow, architecture review board.</t>
        </is>
      </c>
    </row>
    <row r="20" ht="55" customHeight="1">
      <c r="A20" s="36" t="inlineStr">
        <is>
          <t>CRA-GAP-TECH-01</t>
        </is>
      </c>
      <c r="B20" s="36" t="inlineStr">
        <is>
          <t>CRA-REQ-VULN-07</t>
        </is>
      </c>
      <c r="C20" s="38" t="inlineStr">
        <is>
          <t>Software and firmware update packages are currently distributed without hardware-backed cryptographic code signing (HSM) or client-side anti-rollback / anti-downgrade enforcement.</t>
        </is>
      </c>
      <c r="D20" s="38" t="inlineStr">
        <is>
          <t>Update channel hijacking; malicious update injection; rollback attacks forcing devices to execute known vulnerable firmware versions; violation of Annex I Part II point (7).</t>
        </is>
      </c>
      <c r="E20" s="38" t="inlineStr">
        <is>
          <t>Deploy enterprise automated code signing integrated with a Hardware Security Module (HSM) or cloud KMS (Sigstore/Cosign); implement client-side cryptographic signature checks and monotonic counter anti-downgrade fuses.</t>
        </is>
      </c>
      <c r="F20" s="37" t="inlineStr">
        <is>
          <t>DevSecOps Lead, Platform Security Architect, Firmware Lead</t>
        </is>
      </c>
      <c r="G20" s="63" t="inlineStr">
        <is>
          <t>Critical (Update pipeline compromise represents maximum systemic risk)</t>
        </is>
      </c>
      <c r="H20" s="64" t="inlineStr">
        <is>
          <t>Build and Release / Deployment (Q1–Q2 2027)</t>
        </is>
      </c>
      <c r="I20" s="38" t="inlineStr">
        <is>
          <t>Evidence: Code Signing Architecture Specification; HSM Key Custody Audit Logs; Anti-Downgrade Firmware Verification Test Records. | Dependencies: HSM infrastructure, client-side bootloader/daemon update logic.</t>
        </is>
      </c>
    </row>
    <row r="21" ht="55" customHeight="1">
      <c r="A21" s="47" t="inlineStr">
        <is>
          <t>CRA-GAP-TECH-02</t>
        </is>
      </c>
      <c r="B21" s="47" t="inlineStr">
        <is>
          <t>CRA-REQ-TECH-03</t>
        </is>
      </c>
      <c r="C21" s="9" t="inlineStr">
        <is>
          <t>Product update mechanism does not support automated background installation of security patches by default, or lacks clear user notifications and opt-out controls.</t>
        </is>
      </c>
      <c r="D21" s="9" t="inlineStr">
        <is>
          <t>Non-compliance with Annex I, Part I, point (2)(c); low customer patch adoption leaving fleets vulnerable to automated exploitation.</t>
        </is>
      </c>
      <c r="E21" s="9" t="inlineStr">
        <is>
          <t>Engineer background update daemon supporting automatic security updates by default; implement user notification UI/CLI with configurable opt-out toggles and dual-partition rollback resilience.</t>
        </is>
      </c>
      <c r="F21" s="48" t="inlineStr">
        <is>
          <t>Platform Architect, Firmware Lead, UX Designer</t>
        </is>
      </c>
      <c r="G21" s="66" t="inlineStr">
        <is>
          <t>High (Technical requirement under Annex I Part I point (2)(c))</t>
        </is>
      </c>
      <c r="H21" s="65" t="inlineStr">
        <is>
          <t>Development / Build (Q2 2027)</t>
        </is>
      </c>
      <c r="I21" s="9" t="inlineStr">
        <is>
          <t>Evidence: Automatic Update Architecture Spec; Dual-Partition Rollback Test Report; User Opt-Out Configuration Test Record. | Dependencies: Client platform architecture, OTA distribution backend.</t>
        </is>
      </c>
    </row>
    <row r="22" ht="55" customHeight="1">
      <c r="A22" s="36" t="inlineStr">
        <is>
          <t>CRA-GAP-TECH-03</t>
        </is>
      </c>
      <c r="B22" s="36" t="inlineStr">
        <is>
          <t>CRA-REQ-TECH-13</t>
        </is>
      </c>
      <c r="C22" s="38" t="inlineStr">
        <is>
          <t>Product lacks an accessible, verified cryptographic data sanitization and factory decommissioning routine to permanently wipe user data, keys, and cloud bindings before disposal or transfer.</t>
        </is>
      </c>
      <c r="D22" s="38" t="inlineStr">
        <is>
          <t>Data leakage upon device decommissioning or return; violation of Annex I Part I point (2)(m) and GDPR right to erasure.</t>
        </is>
      </c>
      <c r="E22" s="38" t="inlineStr">
        <is>
          <t>Implement NIST SP 800-88 Rev. 1 compliant cryptographic erasure routine: overwrite storage, destroy cryptographic master keys, and de-register associated cloud endpoints upon user factory reset.</t>
        </is>
      </c>
      <c r="F22" s="37" t="inlineStr">
        <is>
          <t>Embedded Firmware Lead, Cloud Backend Architect</t>
        </is>
      </c>
      <c r="G22" s="67" t="inlineStr">
        <is>
          <t>Medium (Mandatory decommissioning control under Annex I)</t>
        </is>
      </c>
      <c r="H22" s="64" t="inlineStr">
        <is>
          <t>Development / Build (Q2 2027)</t>
        </is>
      </c>
      <c r="I22" s="38" t="inlineStr">
        <is>
          <t>Evidence: Data Sanitization Architecture Document; NIST SP 800-88 Purge Verification Test Report; Decommissioning User Instructions. | Dependencies: Flash storage controller driver, cloud tenant de-provisioning API.</t>
        </is>
      </c>
    </row>
    <row r="23" ht="55" customHeight="1">
      <c r="A23" s="47" t="inlineStr">
        <is>
          <t>CRA-GAP-SUP-01</t>
        </is>
      </c>
      <c r="B23" s="47" t="inlineStr">
        <is>
          <t>CRA-REQ-SUP-01</t>
        </is>
      </c>
      <c r="C23" s="9" t="inlineStr">
        <is>
          <t>Commercial partner contracts with distributors, resellers, and system integrators lack mandatory CRA compliance clauses, distributor verification covenants, and modification restrictions.</t>
        </is>
      </c>
      <c r="D23" s="9" t="inlineStr">
        <is>
          <t>Uncontrolled distributor modifications converting partners into manufacturers under Art 21; distributor supply of non-compliant units creating joint liability under Arts 17–20.</t>
        </is>
      </c>
      <c r="E23" s="9" t="inlineStr">
        <is>
          <t>Draft and execute CRA Commercial Partner Addenda across all distribution agreements: establish distributor inspection checklists, require preservation of CE markings, and prohibit unauthorized software alterations.</t>
        </is>
      </c>
      <c r="F23" s="48" t="inlineStr">
        <is>
          <t>Supply Chain Director, Partner Operations VP, Legal Counsel</t>
        </is>
      </c>
      <c r="G23" s="66" t="inlineStr">
        <is>
          <t>High (Secures the downstream commercial distribution chain)</t>
        </is>
      </c>
      <c r="H23" s="65" t="inlineStr">
        <is>
          <t>Deployment and Delivery (Q2 2027)</t>
        </is>
      </c>
      <c r="I23" s="9" t="inlineStr">
        <is>
          <t>Evidence: Executed CRA Distributor Agreement Addenda; Partner Compliance Checklist Records; Inbound/Outbound Inspection Logs. | Dependencies: Channel sales agreements, partner management portal.</t>
        </is>
      </c>
    </row>
  </sheetData>
  <autoFilter ref="A3:I23"/>
  <mergeCells count="2">
    <mergeCell ref="A1:I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9"/>
  <sheetViews>
    <sheetView showGridLines="1" workbookViewId="0">
      <pane ySplit="3" topLeftCell="A4" activePane="bottomLeft" state="frozen"/>
      <selection pane="bottomLeft" activeCell="A1" sqref="A1"/>
    </sheetView>
  </sheetViews>
  <sheetFormatPr baseColWidth="8" defaultRowHeight="15"/>
  <cols>
    <col width="28" customWidth="1" min="1" max="1"/>
    <col width="38" customWidth="1" min="2" max="2"/>
    <col width="22" customWidth="1" min="3" max="3"/>
    <col width="22" customWidth="1" min="4" max="4"/>
    <col width="30" customWidth="1" min="5" max="5"/>
    <col width="28" customWidth="1" min="6" max="6"/>
    <col width="30" customWidth="1" min="7" max="7"/>
  </cols>
  <sheetData>
    <row r="1" ht="25" customHeight="1">
      <c r="A1" s="1" t="inlineStr">
        <is>
          <t>AUTHORITATIVE REGULATORY SOURCES, STANDARDS REGISTER &amp; COMPLIANCE ASSUMPTIONS</t>
        </is>
      </c>
    </row>
    <row r="2" ht="18" customHeight="1">
      <c r="A2" s="2" t="inlineStr">
        <is>
          <t>Regulatory Baseline: Regulation (EU) 2024/2847 | Assessment Date: October 2026 | Status: Article 14 reporting LIVE since 11 September 2026; Annex I and general application mandatory from 11 December 2027.</t>
        </is>
      </c>
    </row>
    <row r="3"/>
    <row r="4" ht="22" customHeight="1">
      <c r="A4" s="8" t="inlineStr">
        <is>
          <t>1. PRIMARY REGULATORY FRAMEWORK &amp; BINDING UNION ACTS</t>
        </is>
      </c>
    </row>
    <row r="5" ht="25" customHeight="1">
      <c r="A5" s="35" t="inlineStr">
        <is>
          <t>Legal Instrument</t>
        </is>
      </c>
      <c r="B5" s="35" t="inlineStr">
        <is>
          <t>Official Title</t>
        </is>
      </c>
      <c r="C5" s="35" t="inlineStr">
        <is>
          <t>OJ Citation</t>
        </is>
      </c>
      <c r="D5" s="35" t="inlineStr">
        <is>
          <t>Entry into Force</t>
        </is>
      </c>
      <c r="E5" s="35" t="inlineStr">
        <is>
          <t>Application Date</t>
        </is>
      </c>
      <c r="F5" s="35" t="inlineStr">
        <is>
          <t>Legal Nature</t>
        </is>
      </c>
      <c r="G5" s="35" t="inlineStr">
        <is>
          <t>Official Source URL</t>
        </is>
      </c>
    </row>
    <row r="6" ht="35" customHeight="1">
      <c r="A6" s="68" t="inlineStr">
        <is>
          <t>Regulation (EU) 2024/2847 (Cyber Resilience Act - CRA)</t>
        </is>
      </c>
      <c r="B6" s="34" t="inlineStr">
        <is>
          <t>Regulation (EU) 2024/2847 of the European Parliament and of the Council of 23 October 2024 on horizontal cybersecurity requirements for products with digital elements and amending Regulations (EU) No 168/2013 and (EU) 2019/1020 and Directive (EU) 2020/1828</t>
        </is>
      </c>
      <c r="C6" s="34" t="inlineStr">
        <is>
          <t>OJ L, 2024/2847, 20.11.2024</t>
        </is>
      </c>
      <c r="D6" s="34" t="inlineStr">
        <is>
          <t>10 December 2024 (20 days post-publication)</t>
        </is>
      </c>
      <c r="E6" s="34" t="inlineStr">
        <is>
          <t>11 December 2027 (general application); 11 September 2026 (Article 14 reporting LIVE); 11 June 2026 (Chapter IV Notified Bodies)</t>
        </is>
      </c>
      <c r="F6" s="34" t="inlineStr">
        <is>
          <t>Binding EU Regulation (Directly applicable in all EU Member States without national transposition)</t>
        </is>
      </c>
      <c r="G6" s="69" t="inlineStr">
        <is>
          <t>https://eur-lex.europa.eu/legal-content/EN/TXT/?uri=OJ:L_202402847</t>
        </is>
      </c>
    </row>
    <row r="7" ht="35" customHeight="1">
      <c r="A7" s="68" t="inlineStr">
        <is>
          <t>Corrigendum to Regulation (EU) 2024/2847</t>
        </is>
      </c>
      <c r="B7" s="34" t="inlineStr">
        <is>
          <t>Corrigendum to Regulation (EU) 2024/2847 of the European Parliament and of the Council on horizontal cybersecurity requirements for products with digital elements</t>
        </is>
      </c>
      <c r="C7" s="34" t="inlineStr">
        <is>
          <t>OJ L, 2024/90782, 05.12.2024</t>
        </is>
      </c>
      <c r="D7" s="34" t="inlineStr">
        <is>
          <t>Immediate upon publication (05 December 2024)</t>
        </is>
      </c>
      <c r="E7" s="34" t="inlineStr">
        <is>
          <t>Applies retroactively to the date of entry into force of the parent Regulation</t>
        </is>
      </c>
      <c r="F7" s="34" t="inlineStr">
        <is>
          <t>Binding Corrigendum</t>
        </is>
      </c>
      <c r="G7" s="69" t="inlineStr">
        <is>
          <t>https://eur-lex.europa.eu/legal-content/EN/TXT/?uri=OJ:L_202490782</t>
        </is>
      </c>
    </row>
    <row r="8" ht="35" customHeight="1">
      <c r="A8" s="68" t="inlineStr">
        <is>
          <t>Commission Implementing Regulation (EU) 2025/2392</t>
        </is>
      </c>
      <c r="B8" s="34" t="inlineStr">
        <is>
          <t>Commission Implementing Regulation (EU) 2025/2392 laying down technical descriptions and specifications for categories of important and critical products with digital elements listed in Annexes III and IV</t>
        </is>
      </c>
      <c r="C8" s="34" t="inlineStr">
        <is>
          <t>OJ L, 2025/2392, 01.12.2025</t>
        </is>
      </c>
      <c r="D8" s="34" t="inlineStr">
        <is>
          <t>21 December 2025</t>
        </is>
      </c>
      <c r="E8" s="34" t="inlineStr">
        <is>
          <t>11 December 2027 (in line with general application of Annexes III and IV)</t>
        </is>
      </c>
      <c r="F8" s="34" t="inlineStr">
        <is>
          <t>Binding Implementing Act</t>
        </is>
      </c>
      <c r="G8" s="69" t="inlineStr">
        <is>
          <t>https://eur-lex.europa.eu/legal-content/EN/TXT/?uri=OJ:L_202502392</t>
        </is>
      </c>
    </row>
    <row r="9" ht="35" customHeight="1">
      <c r="A9" s="68" t="inlineStr">
        <is>
          <t>Commission Delegated Regulation (EU) 2026/881</t>
        </is>
      </c>
      <c r="B9" s="34" t="inlineStr">
        <is>
          <t>Commission Delegated Regulation (EU) 2026/881 supplementing Regulation (EU) 2024/2847 by specifying grounds and procedural conditions for delayed dissemination of notifications of actively exploited vulnerabilities</t>
        </is>
      </c>
      <c r="C9" s="34" t="inlineStr">
        <is>
          <t>OJ L, 2026/881, 20.04.2026</t>
        </is>
      </c>
      <c r="D9" s="34" t="inlineStr">
        <is>
          <t>10 May 2026</t>
        </is>
      </c>
      <c r="E9" s="34" t="inlineStr">
        <is>
          <t>11 September 2026 (in line with Article 14 live enforcement)</t>
        </is>
      </c>
      <c r="F9" s="34" t="inlineStr">
        <is>
          <t>Binding Delegated Act</t>
        </is>
      </c>
      <c r="G9" s="69" t="inlineStr">
        <is>
          <t>https://eur-lex.europa.eu/legal-content/EN/TXT/?uri=OJ:L_202600881</t>
        </is>
      </c>
    </row>
    <row r="10"/>
    <row r="11" ht="22" customHeight="1">
      <c r="A11" s="8" t="inlineStr">
        <is>
          <t>2. AUTHORITATIVE EUROPEAN COMMISSION GUIDANCE &amp; ADMINISTRATIVE NOTICES</t>
        </is>
      </c>
    </row>
    <row r="12" ht="25" customHeight="1">
      <c r="A12" s="35" t="inlineStr">
        <is>
          <t>Document Title</t>
        </is>
      </c>
      <c r="B12" s="35" t="inlineStr">
        <is>
          <t>Issuing Body</t>
        </is>
      </c>
      <c r="C12" s="35" t="inlineStr">
        <is>
          <t>Publication Date</t>
        </is>
      </c>
      <c r="D12" s="35" t="inlineStr">
        <is>
          <t>Legal Status</t>
        </is>
      </c>
      <c r="E12" s="35" t="inlineStr">
        <is>
          <t>Key Subject Matter &amp; Coverage</t>
        </is>
      </c>
      <c r="F12" s="35" t="inlineStr">
        <is>
          <t>Official Source URL</t>
        </is>
      </c>
      <c r="G12" s="35" t="inlineStr">
        <is>
          <t>Notes</t>
        </is>
      </c>
    </row>
    <row r="13" ht="35" customHeight="1">
      <c r="A13" s="68" t="inlineStr">
        <is>
          <t>Commission Guidance on the Application of the Cyber Resilience Act, C(2026) 5252 final</t>
        </is>
      </c>
      <c r="B13" s="34" t="inlineStr">
        <is>
          <t>European Commission (Directorate-General for Communications Networks, Content and Technology - DG CNECT)</t>
        </is>
      </c>
      <c r="C13" s="34" t="inlineStr">
        <is>
          <t>27 July 2026</t>
        </is>
      </c>
      <c r="D13" s="34" t="inlineStr">
        <is>
          <t>Authoritative Commission Interpretative Notice (Non-binding guidance)</t>
        </is>
      </c>
      <c r="E13" s="34" t="inlineStr">
        <is>
          <t>Concepts of placing on market, making available, standalone software, substantial modifications, support period calculation, and remote data processing solutions (RDPS).</t>
        </is>
      </c>
      <c r="F13" s="69" t="inlineStr">
        <is>
          <t>https://digital-strategy.ec.europa.eu/en/policies/cyber-resilience-act</t>
        </is>
      </c>
      <c r="G13" s="34" t="inlineStr">
        <is>
          <t>Authoritative EC interpretation</t>
        </is>
      </c>
    </row>
    <row r="14" ht="35" customHeight="1">
      <c r="A14" s="68" t="inlineStr">
        <is>
          <t>European Commission CRA Implementation FAQs (v13)</t>
        </is>
      </c>
      <c r="B14" s="34" t="inlineStr">
        <is>
          <t>European Commission DG CNECT</t>
        </is>
      </c>
      <c r="C14" s="34" t="inlineStr">
        <is>
          <t>03 December 2025 (Regularly updated living document)</t>
        </is>
      </c>
      <c r="D14" s="34" t="inlineStr">
        <is>
          <t>Informal Commission Q&amp;A Guidance</t>
        </is>
      </c>
      <c r="E14" s="34" t="inlineStr">
        <is>
          <t>Clarifications on open source software stewardship, bespoke/tailor-made software, cloud component boundaries, and transitional provisions.</t>
        </is>
      </c>
      <c r="F14" s="69" t="inlineStr">
        <is>
          <t>https://ec.europa.eu/commission/presscorner/detail/en/qanda_22_5555</t>
        </is>
      </c>
      <c r="G14" s="34" t="inlineStr">
        <is>
          <t>Authoritative EC interpretation</t>
        </is>
      </c>
    </row>
    <row r="15" ht="35" customHeight="1">
      <c r="A15" s="68" t="inlineStr">
        <is>
          <t>The 'Blue Guide' on the implementation of EU product rules 2022 (Notice 2022/C 247/01)</t>
        </is>
      </c>
      <c r="B15" s="34" t="inlineStr">
        <is>
          <t>European Commission</t>
        </is>
      </c>
      <c r="C15" s="34" t="inlineStr">
        <is>
          <t>29 June 2022 (OJ C 247, pp. 1–151)</t>
        </is>
      </c>
      <c r="D15" s="34" t="inlineStr">
        <is>
          <t>Foundational Union Harmonisation Reference Guide</t>
        </is>
      </c>
      <c r="E15" s="34" t="inlineStr">
        <is>
          <t>Core concepts of New Legislative Framework (NLF): placing on the market, making available, putting into service, manufacturer, importer, distributor, conformity assessment modules.</t>
        </is>
      </c>
      <c r="F15" s="69" t="inlineStr">
        <is>
          <t>https://eur-lex.europa.eu/legal-content/EN/TXT/?uri=CELEX:52022XC0629(01)</t>
        </is>
      </c>
      <c r="G15" s="34" t="inlineStr">
        <is>
          <t>Authoritative EC interpretation</t>
        </is>
      </c>
    </row>
    <row r="16"/>
    <row r="17" ht="22" customHeight="1">
      <c r="A17" s="8" t="inlineStr">
        <is>
          <t>3. HARMONISED STANDARDS &amp; TECHNICAL BENCHMARKS REGISTER</t>
        </is>
      </c>
    </row>
    <row r="18" ht="25" customHeight="1">
      <c r="A18" s="11" t="inlineStr">
        <is>
          <t>Standard Reference</t>
        </is>
      </c>
      <c r="B18" s="11" t="inlineStr">
        <is>
          <t>Standard Title</t>
        </is>
      </c>
      <c r="C18" s="11" t="inlineStr">
        <is>
          <t>Current Publication Status</t>
        </is>
      </c>
      <c r="D18" s="11" t="inlineStr">
        <is>
          <t>Verified Harmonised Status under CRA</t>
        </is>
      </c>
      <c r="E18" s="11" t="inlineStr">
        <is>
          <t>Relevance to CRA Requirements</t>
        </is>
      </c>
      <c r="F18" s="11" t="inlineStr">
        <is>
          <t>State-of-the-Art Audit Notes</t>
        </is>
      </c>
      <c r="G18" s="11" t="inlineStr">
        <is>
          <t>Candidate for Harmonisation</t>
        </is>
      </c>
    </row>
    <row r="19" ht="38" customHeight="1">
      <c r="A19" s="68" t="inlineStr">
        <is>
          <t>CEN/CENELEC/ETSI Joint Standardisation Request (M/60x)</t>
        </is>
      </c>
      <c r="B19" s="34" t="inlineStr">
        <is>
          <t>Standardisation Request to CEN, CENELEC, and ETSI in support of Regulation (EU) 2024/2847</t>
        </is>
      </c>
      <c r="C19" s="34" t="inlineStr">
        <is>
          <t>MANDATE ISSUED; DRAFTING IN PROGRESS</t>
        </is>
      </c>
      <c r="D19" s="70" t="inlineStr">
        <is>
          <t>NOT HARMONISED YET (No standard has been formally cited in the Official Journal of the EU under CRA as of October 2026).</t>
        </is>
      </c>
      <c r="E19" s="34" t="inlineStr">
        <is>
          <t>European Standardisation Organisations are developing harmonised standards covering Annex I Part I and Part II. Once cited in OJ, compliance confers statutory Presumption of Conformity under Article 24.</t>
        </is>
      </c>
      <c r="F19" s="34" t="inlineStr">
        <is>
          <t>Manufacturers cannot currently claim 'Presumption of Conformity' based on CRA harmonised standards until formal publication in OJEU.</t>
        </is>
      </c>
      <c r="G19" s="34" t="inlineStr">
        <is>
          <t>Yes (Future Presumption of Conformity)</t>
        </is>
      </c>
    </row>
    <row r="20" ht="38" customHeight="1">
      <c r="A20" s="68" t="inlineStr">
        <is>
          <t>EN 50742:2025 / ETSI EN 303 645 v2.1.1</t>
        </is>
      </c>
      <c r="B20" s="34" t="inlineStr">
        <is>
          <t>Cyber Security for Consumer Internet of Things: Baseline Requirements</t>
        </is>
      </c>
      <c r="C20" s="34" t="inlineStr">
        <is>
          <t>Published European Standard (State of the Art)</t>
        </is>
      </c>
      <c r="D20" s="71" t="inlineStr">
        <is>
          <t>NOT FORMALLY HARMONISED UNDER CRA (CITED UNDER RED 2014/53/EU DELEGATED ACT ONLY)</t>
        </is>
      </c>
      <c r="E20" s="34" t="inlineStr">
        <is>
          <t>Serves as state-of-the-art technical baseline for IoT default passwords, vulnerability disclosure, software updates, and interface pruning.</t>
        </is>
      </c>
      <c r="F20" s="34" t="inlineStr">
        <is>
          <t>Strongly informs Annex I compliance for connected hardware products; candidate for future CRA harmonisation.</t>
        </is>
      </c>
      <c r="G20" s="34" t="inlineStr">
        <is>
          <t>Yes (Future Presumption of Conformity)</t>
        </is>
      </c>
    </row>
    <row r="21" ht="38" customHeight="1">
      <c r="A21" s="68" t="inlineStr">
        <is>
          <t>IEC 62443 Series (IEC 62443-4-1:2018 &amp; IEC 62443-4-2:2019)</t>
        </is>
      </c>
      <c r="B21" s="34" t="inlineStr">
        <is>
          <t>Security for Industrial Automation and Control Systems — Secure Product Development Lifecycle &amp; Technical Security Requirements</t>
        </is>
      </c>
      <c r="C21" s="34" t="inlineStr">
        <is>
          <t>Published International Standard (Global Industrial State of the Art)</t>
        </is>
      </c>
      <c r="D21" s="71" t="inlineStr">
        <is>
          <t>NOT FORMALLY HARMONISED UNDER CRA</t>
        </is>
      </c>
      <c r="E21" s="34" t="inlineStr">
        <is>
          <t>Primary benchmark for secure development lifecycle (Part 4-1) and component technical security controls (Part 4-2); directly aligns with CRA Annex I and Annex VII.</t>
        </is>
      </c>
      <c r="F21" s="34" t="inlineStr">
        <is>
          <t>Widely recognized by Notified Bodies as state-of-the-art evidence for industrial products and embedded systems.</t>
        </is>
      </c>
      <c r="G21" s="34" t="inlineStr">
        <is>
          <t>Yes (Future Presumption of Conformity)</t>
        </is>
      </c>
    </row>
    <row r="22" ht="38" customHeight="1">
      <c r="A22" s="68" t="inlineStr">
        <is>
          <t>ISO/IEC 29147:2018 &amp; ISO/IEC 30111:2019</t>
        </is>
      </c>
      <c r="B22" s="34" t="inlineStr">
        <is>
          <t>Information Technology — Security Techniques — Vulnerability Disclosure &amp; Vulnerability Handling Processes</t>
        </is>
      </c>
      <c r="C22" s="34" t="inlineStr">
        <is>
          <t>Published International Standard</t>
        </is>
      </c>
      <c r="D22" s="71" t="inlineStr">
        <is>
          <t>NOT FORMALLY HARMONISED UNDER CRA (Explicitly cited in CRA Annex I Part II point (5) recitals as reference)</t>
        </is>
      </c>
      <c r="E22" s="34" t="inlineStr">
        <is>
          <t>Defines the mandatory structure for Coordinated Vulnerability Disclosure (CVD) policies, external intake channels, and PSIRT triage handling.</t>
        </is>
      </c>
      <c r="F22" s="34" t="inlineStr">
        <is>
          <t>Adherence is practically required to satisfy Annex I Part II point (5) and Article 13(19).</t>
        </is>
      </c>
      <c r="G22" s="34" t="inlineStr">
        <is>
          <t>Yes (Future Presumption of Conformity)</t>
        </is>
      </c>
    </row>
    <row r="23" ht="38" customHeight="1">
      <c r="A23" s="68" t="inlineStr">
        <is>
          <t>ISO/IEC 27001:2022 &amp; ISO/IEC 27034:2011</t>
        </is>
      </c>
      <c r="B23" s="34" t="inlineStr">
        <is>
          <t>Information Security Management Systems (ISMS) &amp; Application Security Framework</t>
        </is>
      </c>
      <c r="C23" s="34" t="inlineStr">
        <is>
          <t>Published International Standard</t>
        </is>
      </c>
      <c r="D23" s="71" t="inlineStr">
        <is>
          <t>NOT FORMALLY HARMONISED UNDER CRA</t>
        </is>
      </c>
      <c r="E23" s="34" t="inlineStr">
        <is>
          <t>Provides organisational governance baseline for secure development environments, code-signing key management, and corporate security policies.</t>
        </is>
      </c>
      <c r="F23" s="34" t="inlineStr">
        <is>
          <t>ISO 27001 certification provides supporting evidence for Module H (Full Quality Assurance) but does NOT prove product-level conformity.</t>
        </is>
      </c>
      <c r="G23" s="34" t="inlineStr">
        <is>
          <t>Yes (Future Presumption of Conformity)</t>
        </is>
      </c>
    </row>
    <row r="24" ht="38" customHeight="1">
      <c r="A24" s="68" t="inlineStr">
        <is>
          <t>OWASP SAMM v2.0 &amp; ASVS v4.0.3</t>
        </is>
      </c>
      <c r="B24" s="34" t="inlineStr">
        <is>
          <t>OWASP Software Assurance Maturity Model &amp; Application Security Verification Standard</t>
        </is>
      </c>
      <c r="C24" s="34" t="inlineStr">
        <is>
          <t>Industry Best Practice Framework</t>
        </is>
      </c>
      <c r="D24" s="70" t="inlineStr">
        <is>
          <t>NOT HARMONISED (Industry Technical Guidance)</t>
        </is>
      </c>
      <c r="E24" s="34" t="inlineStr">
        <is>
          <t>Provides practical verification criteria and automated security test baselines for web applications, APIs, and Secure SDLC maturity.</t>
        </is>
      </c>
      <c r="F24" s="34" t="inlineStr">
        <is>
          <t>Widely utilized to structure DevSecOps pipelines and verify absence of OWASP Top 10 vulnerabilities.</t>
        </is>
      </c>
      <c r="G24" s="34" t="inlineStr">
        <is>
          <t>Yes (Future Presumption of Conformity)</t>
        </is>
      </c>
    </row>
    <row r="25"/>
    <row r="26" ht="22" customHeight="1">
      <c r="A26" s="8" t="inlineStr">
        <is>
          <t>4. PRODUCT SCOPE &amp; BASELINE ARCHITECTURE ASSUMPTIONS</t>
        </is>
      </c>
    </row>
    <row r="27" ht="25" customHeight="1">
      <c r="A27" s="35" t="inlineStr">
        <is>
          <t>Architectural / Legal Area</t>
        </is>
      </c>
      <c r="B27" s="35" t="inlineStr">
        <is>
          <t>Assumption Description</t>
        </is>
      </c>
      <c r="C27" s="35" t="inlineStr">
        <is>
          <t>CRA Regulatory Basis</t>
        </is>
      </c>
      <c r="D27" s="35" t="inlineStr">
        <is>
          <t>Operational &amp; Compliance Impact</t>
        </is>
      </c>
      <c r="E27" s="35" t="inlineStr">
        <is>
          <t>Validation Requirement</t>
        </is>
      </c>
      <c r="F27" s="35" t="inlineStr">
        <is>
          <t>Risk Level if Invalidated</t>
        </is>
      </c>
      <c r="G27" s="35" t="inlineStr">
        <is>
          <t>Owner</t>
        </is>
      </c>
    </row>
    <row r="28" ht="38" customHeight="1">
      <c r="A28" s="68" t="inlineStr">
        <is>
          <t>Product Archetype &amp; Baseline Scope</t>
        </is>
      </c>
      <c r="B28" s="34" t="inlineStr">
        <is>
          <t>The analysis assumes a standard commercial product with digital elements (PDE) placed on the EU single market for commercial distribution, consisting of compiled software, embedded firmware, or networked hardware, along with any integrated Remote Data Processing Solutions (RDPS).</t>
        </is>
      </c>
      <c r="C28" s="34" t="inlineStr">
        <is>
          <t>Regulation (EU) 2024/2847, Article 2(1) and Article 3(1).</t>
        </is>
      </c>
      <c r="D28" s="34" t="inlineStr">
        <is>
          <t>If the product falls under specific statutory exclusions (medical devices under MDR 2017/745, aviation under 2018/1139, or motor vehicles under 2019/2144), sector-specific Union regulations supersede the CRA.</t>
        </is>
      </c>
      <c r="E28" s="34" t="inlineStr">
        <is>
          <t>Verify prior to project kickoff</t>
        </is>
      </c>
      <c r="F28" s="34" t="inlineStr">
        <is>
          <t>High</t>
        </is>
      </c>
      <c r="G28" s="34" t="inlineStr">
        <is>
          <t>Legal / Lead Architect</t>
        </is>
      </c>
    </row>
    <row r="29" ht="38" customHeight="1">
      <c r="A29" s="68" t="inlineStr">
        <is>
          <t>Economic Operator Role</t>
        </is>
      </c>
      <c r="B29" s="34" t="inlineStr">
        <is>
          <t>The target organization acts primarily as the Manufacturer under Article 3(13), designing, engineering, packaging, and marketing the product under its own corporate brand or trademark.</t>
        </is>
      </c>
      <c r="C29" s="34" t="inlineStr">
        <is>
          <t>Regulation (EU) 2024/2847, Article 3(13) and Article 13.</t>
        </is>
      </c>
      <c r="D29" s="34" t="inlineStr">
        <is>
          <t>If acting strictly as a distributor or value-added reseller without altering product security or branding, obligations shift to Articles 19–20 (verifying CE mark, user instructions, and manufacturer details).</t>
        </is>
      </c>
      <c r="E29" s="34" t="inlineStr">
        <is>
          <t>Verify prior to project kickoff</t>
        </is>
      </c>
      <c r="F29" s="34" t="inlineStr">
        <is>
          <t>High</t>
        </is>
      </c>
      <c r="G29" s="34" t="inlineStr">
        <is>
          <t>Legal / Lead Architect</t>
        </is>
      </c>
    </row>
    <row r="30" ht="38" customHeight="1">
      <c r="A30" s="68" t="inlineStr">
        <is>
          <t>Product Classification Tier</t>
        </is>
      </c>
      <c r="B30" s="34" t="inlineStr">
        <is>
          <t>The baseline product is classified as a 'Default' product with digital elements subject to internal production control (Conformity Assessment Module A) unless its core functionality includes standalone firewalls, operating systems, hypervisors, IAM, or PKI, which triggers Important Class I or Class II classification.</t>
        </is>
      </c>
      <c r="C30" s="34" t="inlineStr">
        <is>
          <t>Regulation (EU) 2024/2847, Article 7, Article 32, Annex III; IR (EU) 2025/2392.</t>
        </is>
      </c>
      <c r="D30" s="34" t="inlineStr">
        <is>
          <t>If classified as Important Class I or II, third-party Notified Body conformity assessment (Module B+C or Module H) becomes mandatory, introducing 6-12 month auditing lead times and Notified Body fees.</t>
        </is>
      </c>
      <c r="E30" s="34" t="inlineStr">
        <is>
          <t>Verify prior to project kickoff</t>
        </is>
      </c>
      <c r="F30" s="34" t="inlineStr">
        <is>
          <t>High</t>
        </is>
      </c>
      <c r="G30" s="34" t="inlineStr">
        <is>
          <t>Legal / Lead Architect</t>
        </is>
      </c>
    </row>
    <row r="31" ht="38" customHeight="1">
      <c r="A31" s="68" t="inlineStr">
        <is>
          <t>Remote Data Processing Solutions (RDPS)</t>
        </is>
      </c>
      <c r="B31" s="34" t="inlineStr">
        <is>
          <t>Cloud backends developed by or under the responsibility of the manufacturer, without which the product cannot perform one of its core functions, are treated as an integral part of the product with digital elements and are fully subject to Annex I requirements.</t>
        </is>
      </c>
      <c r="C31" s="34" t="inlineStr">
        <is>
          <t>Regulation (EU) 2024/2847, Article 3(2); Commission Guidance C(2026) 5252, Section 8.</t>
        </is>
      </c>
      <c r="D31" s="34" t="inlineStr">
        <is>
          <t>Pure third-party multi-tenant SaaS accessed via standard browsers is excluded, but custom companion cloud APIs are strictly in scope.</t>
        </is>
      </c>
      <c r="E31" s="34" t="inlineStr">
        <is>
          <t>Verify prior to project kickoff</t>
        </is>
      </c>
      <c r="F31" s="34" t="inlineStr">
        <is>
          <t>High</t>
        </is>
      </c>
      <c r="G31" s="34" t="inlineStr">
        <is>
          <t>Legal / Lead Architect</t>
        </is>
      </c>
    </row>
    <row r="32" ht="38" customHeight="1">
      <c r="A32" s="68" t="inlineStr">
        <is>
          <t>Tailor-Made Bespoke Software</t>
        </is>
      </c>
      <c r="B32" s="34" t="inlineStr">
        <is>
          <t>Custom software engineered under commercial contracts for single enterprise clients is fully in scope of the CRA, with only two narrow permitted contractual deviations: secure default configurations (Annex I Part I point 2(b)) and free security updates (Annex I Part II point 8) may be contractually tailored under Recital 64.</t>
        </is>
      </c>
      <c r="C32" s="34" t="inlineStr">
        <is>
          <t>Regulation (EU) 2024/2847, Recital 64; Blue Guide Section 2.2; Commission Guidance C(2026) 5252 Pt 18.</t>
        </is>
      </c>
      <c r="D32" s="34" t="inlineStr">
        <is>
          <t>Bespoke enterprise developers must still produce Annex VII technical documentation, conduct risk assessments, affix CE markings, and comply with Article 14 reporting.</t>
        </is>
      </c>
      <c r="E32" s="34" t="inlineStr">
        <is>
          <t>Verify prior to project kickoff</t>
        </is>
      </c>
      <c r="F32" s="34" t="inlineStr">
        <is>
          <t>High</t>
        </is>
      </c>
      <c r="G32" s="34" t="inlineStr">
        <is>
          <t>Legal / Lead Architect</t>
        </is>
      </c>
    </row>
    <row r="33"/>
    <row r="34" ht="22" customHeight="1">
      <c r="A34" s="8" t="inlineStr">
        <is>
          <t>5. KNOWN REGULATORY UNCERTAINTIES &amp; ITEMS REQUIRING SPECIALIZED LEGAL/NOTIFIED BODY REVIEW</t>
        </is>
      </c>
    </row>
    <row r="35" ht="25" customHeight="1">
      <c r="A35" s="11" t="inlineStr">
        <is>
          <t>Uncertainty / Ambiguity Area</t>
        </is>
      </c>
      <c r="B35" s="11" t="inlineStr">
        <is>
          <t>Detailed Description &amp; Legal Complexity</t>
        </is>
      </c>
      <c r="C35" s="11" t="inlineStr">
        <is>
          <t>Recommended Precautionary Measure</t>
        </is>
      </c>
      <c r="D35" s="11" t="inlineStr">
        <is>
          <t>Reviewing Stakeholder</t>
        </is>
      </c>
      <c r="E35" s="11" t="inlineStr">
        <is>
          <t>Monitoring Mechanism</t>
        </is>
      </c>
      <c r="F35" s="11" t="inlineStr">
        <is>
          <t>Escalation Trigger</t>
        </is>
      </c>
      <c r="G35" s="11" t="inlineStr">
        <is>
          <t>Impact on CE Mark</t>
        </is>
      </c>
    </row>
    <row r="36" ht="38" customHeight="1">
      <c r="A36" s="68" t="inlineStr">
        <is>
          <t>Substantial Modification Thresholds for Iterative Agile Releases</t>
        </is>
      </c>
      <c r="B36" s="34" t="inlineStr">
        <is>
          <t>Determining exactly when continuous CI/CD sprint releases, architectural microservice refactors, or major functional version bumps cross the statutory threshold of a 'substantial modification' under Article 3(30), requiring a formal new placing on the market and updated conformity assessment.</t>
        </is>
      </c>
      <c r="C36" s="34" t="inlineStr">
        <is>
          <t>Establish an internal Change Advisory Board (CAB) regulatory screening checklist aligned with Commission Guidance C(2026) 5252 (Points 110–132); consult Legal Counsel and Notified Body for edge cases.</t>
        </is>
      </c>
      <c r="D36" s="34" t="inlineStr">
        <is>
          <t>General Counsel &amp; CISO</t>
        </is>
      </c>
      <c r="E36" s="34" t="inlineStr">
        <is>
          <t>Quarterly Regulatory Watch</t>
        </is>
      </c>
      <c r="F36" s="34" t="inlineStr">
        <is>
          <t>Formal EC Implementing Act publication</t>
        </is>
      </c>
      <c r="G36" s="34" t="inlineStr">
        <is>
          <t>Critical</t>
        </is>
      </c>
    </row>
    <row r="37" ht="38" customHeight="1">
      <c r="A37" s="68" t="inlineStr">
        <is>
          <t>Notified Body Capacity Bottlenecks across the European Union</t>
        </is>
      </c>
      <c r="B37" s="34" t="inlineStr">
        <is>
          <t>With Chapter IV taking effect on 11 June 2026, the number of accredited Notified Bodies for CRA Important Class I and Class II products remains severely constrained across Member States, creating severe audit scheduling bottlenecks ahead of December 2027.</t>
        </is>
      </c>
      <c r="C37" s="34" t="inlineStr">
        <is>
          <t>Initiate preliminary Notified Body procurement inquiries immediately (Q4 2026 / Q1 2027) if product functionality touches Annex III categories.</t>
        </is>
      </c>
      <c r="D37" s="34" t="inlineStr">
        <is>
          <t>General Counsel &amp; CISO</t>
        </is>
      </c>
      <c r="E37" s="34" t="inlineStr">
        <is>
          <t>Quarterly Regulatory Watch</t>
        </is>
      </c>
      <c r="F37" s="34" t="inlineStr">
        <is>
          <t>Formal EC Implementing Act publication</t>
        </is>
      </c>
      <c r="G37" s="34" t="inlineStr">
        <is>
          <t>Critical</t>
        </is>
      </c>
    </row>
    <row r="38" ht="38" customHeight="1">
      <c r="A38" s="68" t="inlineStr">
        <is>
          <t>Interplay Between Article 14 Reporting and National Whistleblower / Defense Carve-Outs</t>
        </is>
      </c>
      <c r="B38" s="34" t="inlineStr">
        <is>
          <t>Member State national CSIRTs and judicial authorities may issue divergent instructions regarding delayed dissemination or coordination when an actively exploited vulnerability impacts critical infrastructure under NIS2 Directive (EU) 2022/2555.</t>
        </is>
      </c>
      <c r="C38" s="34" t="inlineStr">
        <is>
          <t>Adhere strictly to the designated CSIRT coordinator hierarchy in Article 14(7) and file delayed dissemination requests formally through the ENISA Single Reporting Platform under Delegated Regulation (EU) 2026/881.</t>
        </is>
      </c>
      <c r="D38" s="34" t="inlineStr">
        <is>
          <t>General Counsel &amp; CISO</t>
        </is>
      </c>
      <c r="E38" s="34" t="inlineStr">
        <is>
          <t>Quarterly Regulatory Watch</t>
        </is>
      </c>
      <c r="F38" s="34" t="inlineStr">
        <is>
          <t>Formal EC Implementing Act publication</t>
        </is>
      </c>
      <c r="G38" s="34" t="inlineStr">
        <is>
          <t>Critical</t>
        </is>
      </c>
    </row>
    <row r="39" ht="38" customHeight="1">
      <c r="A39" s="68" t="inlineStr">
        <is>
          <t>Open Source Software Steward Liability vs Commercial Integrator Liability</t>
        </is>
      </c>
      <c r="B39" s="34" t="inlineStr">
        <is>
          <t>While open-source software stewards face lighter regulatory burdens under Article 24, commercial manufacturers integrating open-source libraries into commercial products retain strict, unmitigated legal liability for all vulnerabilities under Article 13(5).</t>
        </is>
      </c>
      <c r="C39" s="34" t="inlineStr">
        <is>
          <t>Never rely on upstream open-source maintainers for CRA compliance; enforce rigorous internal automated SCA scanning (Black Duck/Nexus IQ), continuous SBOM tracking (Dependency-Track), and independent patch backporting capacity.</t>
        </is>
      </c>
      <c r="D39" s="34" t="inlineStr">
        <is>
          <t>General Counsel &amp; CISO</t>
        </is>
      </c>
      <c r="E39" s="34" t="inlineStr">
        <is>
          <t>Quarterly Regulatory Watch</t>
        </is>
      </c>
      <c r="F39" s="34" t="inlineStr">
        <is>
          <t>Formal EC Implementing Act publication</t>
        </is>
      </c>
      <c r="G39" s="34" t="inlineStr">
        <is>
          <t>Critical</t>
        </is>
      </c>
    </row>
  </sheetData>
  <mergeCells count="7">
    <mergeCell ref="A1:G1"/>
    <mergeCell ref="A17:G17"/>
    <mergeCell ref="A34:G34"/>
    <mergeCell ref="A4:G4"/>
    <mergeCell ref="A26:G26"/>
    <mergeCell ref="A2:G2"/>
    <mergeCell ref="A11:G11"/>
  </mergeCells>
  <hyperlink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F13" r:id="rId5"/>
    <hyperlink xmlns:r="http://schemas.openxmlformats.org/officeDocument/2006/relationships" ref="F14" r:id="rId6"/>
    <hyperlink xmlns:r="http://schemas.openxmlformats.org/officeDocument/2006/relationships" ref="F15"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2026-10-12T13:46:36Z</dcterms:created>
  <dcterms:modified xsi:type="dcterms:W3CDTF">2026-10-12T13:46:36Z</dcterms:modified>
</cp:coreProperties>
</file>