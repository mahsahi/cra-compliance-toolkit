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temp\BSI-CRA-REF\"/>
    </mc:Choice>
  </mc:AlternateContent>
  <xr:revisionPtr revIDLastSave="0" documentId="13_ncr:1_{D5BF18AB-6491-49B8-8CB9-DBD3BA2B7252}" xr6:coauthVersionLast="47" xr6:coauthVersionMax="47" xr10:uidLastSave="{00000000-0000-0000-0000-000000000000}"/>
  <bookViews>
    <workbookView xWindow="-120" yWindow="-120" windowWidth="51840" windowHeight="21120" xr2:uid="{00000000-000D-0000-FFFF-FFFF00000000}"/>
  </bookViews>
  <sheets>
    <sheet name="Assessment" sheetId="1" r:id="rId1"/>
    <sheet name="Summary" sheetId="2" r:id="rId2"/>
    <sheet name="Method" sheetId="3" r:id="rId3"/>
  </sheets>
  <definedNames>
    <definedName name="_xlnm._FilterDatabase" localSheetId="0" hidden="1">Assessment!$A$1:$O$593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44" i="3" l="1"/>
  <c r="Z593" i="2"/>
  <c r="Y593" i="2"/>
  <c r="Z592" i="2"/>
  <c r="Y592" i="2"/>
  <c r="Z591" i="2"/>
  <c r="Y591" i="2"/>
  <c r="Z590" i="2"/>
  <c r="Y590" i="2"/>
  <c r="Z589" i="2"/>
  <c r="Y589" i="2"/>
  <c r="Z588" i="2"/>
  <c r="Y588" i="2"/>
  <c r="Z587" i="2"/>
  <c r="Y587" i="2"/>
  <c r="Z586" i="2"/>
  <c r="Y586" i="2"/>
  <c r="Z585" i="2"/>
  <c r="Y585" i="2"/>
  <c r="Z584" i="2"/>
  <c r="Y584" i="2"/>
  <c r="Z583" i="2"/>
  <c r="Y583" i="2"/>
  <c r="Z582" i="2"/>
  <c r="Y582" i="2"/>
  <c r="Z581" i="2"/>
  <c r="Y581" i="2"/>
  <c r="Z580" i="2"/>
  <c r="Y580" i="2"/>
  <c r="Z579" i="2"/>
  <c r="Y579" i="2"/>
  <c r="Z578" i="2"/>
  <c r="Y578" i="2"/>
  <c r="Z577" i="2"/>
  <c r="Y577" i="2"/>
  <c r="Z576" i="2"/>
  <c r="Y576" i="2"/>
  <c r="Z575" i="2"/>
  <c r="Y575" i="2"/>
  <c r="Z574" i="2"/>
  <c r="Y574" i="2"/>
  <c r="Z573" i="2"/>
  <c r="Y573" i="2"/>
  <c r="Z572" i="2"/>
  <c r="Y572" i="2"/>
  <c r="Z571" i="2"/>
  <c r="Y571" i="2"/>
  <c r="Z570" i="2"/>
  <c r="Y570" i="2"/>
  <c r="Z569" i="2"/>
  <c r="Y569" i="2"/>
  <c r="Z568" i="2"/>
  <c r="Y568" i="2"/>
  <c r="Z567" i="2"/>
  <c r="Y567" i="2"/>
  <c r="Z566" i="2"/>
  <c r="Y566" i="2"/>
  <c r="Z565" i="2"/>
  <c r="Y565" i="2"/>
  <c r="Z564" i="2"/>
  <c r="Y564" i="2"/>
  <c r="Z563" i="2"/>
  <c r="Y563" i="2"/>
  <c r="Z562" i="2"/>
  <c r="Y562" i="2"/>
  <c r="Z561" i="2"/>
  <c r="Y561" i="2"/>
  <c r="Z560" i="2"/>
  <c r="Y560" i="2"/>
  <c r="Z559" i="2"/>
  <c r="Y559" i="2"/>
  <c r="Z558" i="2"/>
  <c r="Y558" i="2"/>
  <c r="Z557" i="2"/>
  <c r="Y557" i="2"/>
  <c r="Z556" i="2"/>
  <c r="Y556" i="2"/>
  <c r="Z555" i="2"/>
  <c r="Y555" i="2"/>
  <c r="Z554" i="2"/>
  <c r="Y554" i="2"/>
  <c r="Z553" i="2"/>
  <c r="Y553" i="2"/>
  <c r="Z552" i="2"/>
  <c r="Y552" i="2"/>
  <c r="Z551" i="2"/>
  <c r="Y551" i="2"/>
  <c r="Z550" i="2"/>
  <c r="Y550" i="2"/>
  <c r="Z549" i="2"/>
  <c r="Y549" i="2"/>
  <c r="Z548" i="2"/>
  <c r="Y548" i="2"/>
  <c r="Z547" i="2"/>
  <c r="Y547" i="2"/>
  <c r="Z546" i="2"/>
  <c r="Y546" i="2"/>
  <c r="Z545" i="2"/>
  <c r="Y545" i="2"/>
  <c r="Z544" i="2"/>
  <c r="Y544" i="2"/>
  <c r="Z543" i="2"/>
  <c r="Y543" i="2"/>
  <c r="Z542" i="2"/>
  <c r="Y542" i="2"/>
  <c r="Z541" i="2"/>
  <c r="Y541" i="2"/>
  <c r="Z540" i="2"/>
  <c r="Y540" i="2"/>
  <c r="Z539" i="2"/>
  <c r="Y539" i="2"/>
  <c r="Z538" i="2"/>
  <c r="Y538" i="2"/>
  <c r="Z537" i="2"/>
  <c r="Y537" i="2"/>
  <c r="Z536" i="2"/>
  <c r="Y536" i="2"/>
  <c r="Z535" i="2"/>
  <c r="Y535" i="2"/>
  <c r="Z534" i="2"/>
  <c r="Y534" i="2"/>
  <c r="Z533" i="2"/>
  <c r="Y533" i="2"/>
  <c r="Z532" i="2"/>
  <c r="Y532" i="2"/>
  <c r="Z531" i="2"/>
  <c r="Y531" i="2"/>
  <c r="Z530" i="2"/>
  <c r="Y530" i="2"/>
  <c r="Z529" i="2"/>
  <c r="Y529" i="2"/>
  <c r="Z528" i="2"/>
  <c r="Y528" i="2"/>
  <c r="Z527" i="2"/>
  <c r="Y527" i="2"/>
  <c r="Z526" i="2"/>
  <c r="Y526" i="2"/>
  <c r="Z525" i="2"/>
  <c r="Y525" i="2"/>
  <c r="Z524" i="2"/>
  <c r="Y524" i="2"/>
  <c r="Z523" i="2"/>
  <c r="Y523" i="2"/>
  <c r="Z522" i="2"/>
  <c r="Y522" i="2"/>
  <c r="Z521" i="2"/>
  <c r="Y521" i="2"/>
  <c r="Z520" i="2"/>
  <c r="Y520" i="2"/>
  <c r="Z519" i="2"/>
  <c r="Y519" i="2"/>
  <c r="Z518" i="2"/>
  <c r="Y518" i="2"/>
  <c r="Z517" i="2"/>
  <c r="Y517" i="2"/>
  <c r="Z516" i="2"/>
  <c r="Y516" i="2"/>
  <c r="Z515" i="2"/>
  <c r="Y515" i="2"/>
  <c r="Z514" i="2"/>
  <c r="Y514" i="2"/>
  <c r="Z513" i="2"/>
  <c r="Y513" i="2"/>
  <c r="Z512" i="2"/>
  <c r="Y512" i="2"/>
  <c r="Z511" i="2"/>
  <c r="Y511" i="2"/>
  <c r="Z510" i="2"/>
  <c r="Y510" i="2"/>
  <c r="Z509" i="2"/>
  <c r="Y509" i="2"/>
  <c r="Z508" i="2"/>
  <c r="Y508" i="2"/>
  <c r="Z507" i="2"/>
  <c r="Y507" i="2"/>
  <c r="Z506" i="2"/>
  <c r="Y506" i="2"/>
  <c r="Z505" i="2"/>
  <c r="Y505" i="2"/>
  <c r="Z504" i="2"/>
  <c r="Y504" i="2"/>
  <c r="Z503" i="2"/>
  <c r="Y503" i="2"/>
  <c r="Z502" i="2"/>
  <c r="Y502" i="2"/>
  <c r="Z501" i="2"/>
  <c r="Y501" i="2"/>
  <c r="Z500" i="2"/>
  <c r="Y500" i="2"/>
  <c r="Z499" i="2"/>
  <c r="Y499" i="2"/>
  <c r="Z498" i="2"/>
  <c r="Y498" i="2"/>
  <c r="Z497" i="2"/>
  <c r="Y497" i="2"/>
  <c r="Z496" i="2"/>
  <c r="Y496" i="2"/>
  <c r="Z495" i="2"/>
  <c r="Y495" i="2"/>
  <c r="Z494" i="2"/>
  <c r="Y494" i="2"/>
  <c r="Z493" i="2"/>
  <c r="Y493" i="2"/>
  <c r="Z492" i="2"/>
  <c r="Y492" i="2"/>
  <c r="Z491" i="2"/>
  <c r="Y491" i="2"/>
  <c r="Z490" i="2"/>
  <c r="Y490" i="2"/>
  <c r="Z489" i="2"/>
  <c r="Y489" i="2"/>
  <c r="Z488" i="2"/>
  <c r="Y488" i="2"/>
  <c r="Z487" i="2"/>
  <c r="Y487" i="2"/>
  <c r="Z486" i="2"/>
  <c r="Y486" i="2"/>
  <c r="Z485" i="2"/>
  <c r="Y485" i="2"/>
  <c r="Z484" i="2"/>
  <c r="Y484" i="2"/>
  <c r="Z483" i="2"/>
  <c r="Y483" i="2"/>
  <c r="Z482" i="2"/>
  <c r="Y482" i="2"/>
  <c r="Z481" i="2"/>
  <c r="Y481" i="2"/>
  <c r="Z480" i="2"/>
  <c r="Y480" i="2"/>
  <c r="Z479" i="2"/>
  <c r="Y479" i="2"/>
  <c r="Z478" i="2"/>
  <c r="Y478" i="2"/>
  <c r="Z477" i="2"/>
  <c r="Y477" i="2"/>
  <c r="Z476" i="2"/>
  <c r="Y476" i="2"/>
  <c r="Z475" i="2"/>
  <c r="Y475" i="2"/>
  <c r="Z474" i="2"/>
  <c r="Y474" i="2"/>
  <c r="Z473" i="2"/>
  <c r="Y473" i="2"/>
  <c r="Z472" i="2"/>
  <c r="Y472" i="2"/>
  <c r="Z471" i="2"/>
  <c r="Y471" i="2"/>
  <c r="Z470" i="2"/>
  <c r="Y470" i="2"/>
  <c r="Z469" i="2"/>
  <c r="Y469" i="2"/>
  <c r="Z468" i="2"/>
  <c r="Y468" i="2"/>
  <c r="Z467" i="2"/>
  <c r="Y467" i="2"/>
  <c r="Z466" i="2"/>
  <c r="Y466" i="2"/>
  <c r="Z465" i="2"/>
  <c r="Y465" i="2"/>
  <c r="Z464" i="2"/>
  <c r="Y464" i="2"/>
  <c r="Z463" i="2"/>
  <c r="Y463" i="2"/>
  <c r="Z462" i="2"/>
  <c r="Y462" i="2"/>
  <c r="Z461" i="2"/>
  <c r="Y461" i="2"/>
  <c r="Z460" i="2"/>
  <c r="Y460" i="2"/>
  <c r="Z459" i="2"/>
  <c r="Y459" i="2"/>
  <c r="Z458" i="2"/>
  <c r="Y458" i="2"/>
  <c r="Z457" i="2"/>
  <c r="Y457" i="2"/>
  <c r="Z456" i="2"/>
  <c r="Y456" i="2"/>
  <c r="Z455" i="2"/>
  <c r="Y455" i="2"/>
  <c r="Z454" i="2"/>
  <c r="Y454" i="2"/>
  <c r="Z453" i="2"/>
  <c r="Y453" i="2"/>
  <c r="Z452" i="2"/>
  <c r="Y452" i="2"/>
  <c r="Z451" i="2"/>
  <c r="Y451" i="2"/>
  <c r="Z450" i="2"/>
  <c r="Y450" i="2"/>
  <c r="Z449" i="2"/>
  <c r="Y449" i="2"/>
  <c r="Z448" i="2"/>
  <c r="Y448" i="2"/>
  <c r="Z447" i="2"/>
  <c r="Y447" i="2"/>
  <c r="Z446" i="2"/>
  <c r="Y446" i="2"/>
  <c r="Z445" i="2"/>
  <c r="Y445" i="2"/>
  <c r="Z444" i="2"/>
  <c r="Y444" i="2"/>
  <c r="Z443" i="2"/>
  <c r="Y443" i="2"/>
  <c r="Z442" i="2"/>
  <c r="Y442" i="2"/>
  <c r="Z441" i="2"/>
  <c r="Y441" i="2"/>
  <c r="Z440" i="2"/>
  <c r="Y440" i="2"/>
  <c r="Z439" i="2"/>
  <c r="Y439" i="2"/>
  <c r="Z438" i="2"/>
  <c r="Y438" i="2"/>
  <c r="Z437" i="2"/>
  <c r="Y437" i="2"/>
  <c r="Z436" i="2"/>
  <c r="Y436" i="2"/>
  <c r="Z435" i="2"/>
  <c r="Y435" i="2"/>
  <c r="Z434" i="2"/>
  <c r="Y434" i="2"/>
  <c r="Z433" i="2"/>
  <c r="Y433" i="2"/>
  <c r="Z432" i="2"/>
  <c r="Y432" i="2"/>
  <c r="Z431" i="2"/>
  <c r="Y431" i="2"/>
  <c r="Z430" i="2"/>
  <c r="Y430" i="2"/>
  <c r="Z429" i="2"/>
  <c r="Y429" i="2"/>
  <c r="Z428" i="2"/>
  <c r="Y428" i="2"/>
  <c r="Z427" i="2"/>
  <c r="Y427" i="2"/>
  <c r="Z426" i="2"/>
  <c r="Y426" i="2"/>
  <c r="Z425" i="2"/>
  <c r="Y425" i="2"/>
  <c r="Z424" i="2"/>
  <c r="Y424" i="2"/>
  <c r="Z423" i="2"/>
  <c r="Y423" i="2"/>
  <c r="Z422" i="2"/>
  <c r="Y422" i="2"/>
  <c r="Z421" i="2"/>
  <c r="Y421" i="2"/>
  <c r="Z420" i="2"/>
  <c r="Y420" i="2"/>
  <c r="Z419" i="2"/>
  <c r="Y419" i="2"/>
  <c r="Z418" i="2"/>
  <c r="Y418" i="2"/>
  <c r="Z417" i="2"/>
  <c r="Y417" i="2"/>
  <c r="Z416" i="2"/>
  <c r="Y416" i="2"/>
  <c r="Z415" i="2"/>
  <c r="Y415" i="2"/>
  <c r="Z414" i="2"/>
  <c r="Y414" i="2"/>
  <c r="Z413" i="2"/>
  <c r="Y413" i="2"/>
  <c r="Z412" i="2"/>
  <c r="Y412" i="2"/>
  <c r="Z411" i="2"/>
  <c r="Y411" i="2"/>
  <c r="Z410" i="2"/>
  <c r="Y410" i="2"/>
  <c r="Z409" i="2"/>
  <c r="Y409" i="2"/>
  <c r="Z408" i="2"/>
  <c r="Y408" i="2"/>
  <c r="Z407" i="2"/>
  <c r="Y407" i="2"/>
  <c r="Z406" i="2"/>
  <c r="Y406" i="2"/>
  <c r="Z405" i="2"/>
  <c r="Y405" i="2"/>
  <c r="Z404" i="2"/>
  <c r="Y404" i="2"/>
  <c r="Z403" i="2"/>
  <c r="Y403" i="2"/>
  <c r="Z402" i="2"/>
  <c r="Y402" i="2"/>
  <c r="Z401" i="2"/>
  <c r="Y401" i="2"/>
  <c r="Z400" i="2"/>
  <c r="Y400" i="2"/>
  <c r="Z399" i="2"/>
  <c r="Y399" i="2"/>
  <c r="Z398" i="2"/>
  <c r="Y398" i="2"/>
  <c r="Z397" i="2"/>
  <c r="Y397" i="2"/>
  <c r="Z396" i="2"/>
  <c r="Y396" i="2"/>
  <c r="Z395" i="2"/>
  <c r="Y395" i="2"/>
  <c r="Z394" i="2"/>
  <c r="Y394" i="2"/>
  <c r="Z393" i="2"/>
  <c r="Y393" i="2"/>
  <c r="Z392" i="2"/>
  <c r="Y392" i="2"/>
  <c r="Z391" i="2"/>
  <c r="Y391" i="2"/>
  <c r="Z390" i="2"/>
  <c r="Y390" i="2"/>
  <c r="Z389" i="2"/>
  <c r="Y389" i="2"/>
  <c r="Z388" i="2"/>
  <c r="Y388" i="2"/>
  <c r="Z387" i="2"/>
  <c r="Y387" i="2"/>
  <c r="Z386" i="2"/>
  <c r="Y386" i="2"/>
  <c r="Z385" i="2"/>
  <c r="Y385" i="2"/>
  <c r="Z384" i="2"/>
  <c r="Y384" i="2"/>
  <c r="Z383" i="2"/>
  <c r="Y383" i="2"/>
  <c r="Z382" i="2"/>
  <c r="Y382" i="2"/>
  <c r="Z381" i="2"/>
  <c r="Y381" i="2"/>
  <c r="Z380" i="2"/>
  <c r="Y380" i="2"/>
  <c r="Z379" i="2"/>
  <c r="Y379" i="2"/>
  <c r="Z378" i="2"/>
  <c r="Y378" i="2"/>
  <c r="Z377" i="2"/>
  <c r="Y377" i="2"/>
  <c r="Z376" i="2"/>
  <c r="Y376" i="2"/>
  <c r="Z375" i="2"/>
  <c r="Y375" i="2"/>
  <c r="Z374" i="2"/>
  <c r="Y374" i="2"/>
  <c r="Z373" i="2"/>
  <c r="Y373" i="2"/>
  <c r="Z372" i="2"/>
  <c r="Y372" i="2"/>
  <c r="Z371" i="2"/>
  <c r="Y371" i="2"/>
  <c r="Z370" i="2"/>
  <c r="Y370" i="2"/>
  <c r="Z369" i="2"/>
  <c r="Y369" i="2"/>
  <c r="Z368" i="2"/>
  <c r="Y368" i="2"/>
  <c r="Z367" i="2"/>
  <c r="Y367" i="2"/>
  <c r="Z366" i="2"/>
  <c r="Y366" i="2"/>
  <c r="Z365" i="2"/>
  <c r="Y365" i="2"/>
  <c r="Z364" i="2"/>
  <c r="Y364" i="2"/>
  <c r="Z363" i="2"/>
  <c r="Y363" i="2"/>
  <c r="Z362" i="2"/>
  <c r="Y362" i="2"/>
  <c r="Z361" i="2"/>
  <c r="Y361" i="2"/>
  <c r="Z360" i="2"/>
  <c r="Y360" i="2"/>
  <c r="Z359" i="2"/>
  <c r="Y359" i="2"/>
  <c r="Z358" i="2"/>
  <c r="Y358" i="2"/>
  <c r="Z357" i="2"/>
  <c r="Y357" i="2"/>
  <c r="Z356" i="2"/>
  <c r="Y356" i="2"/>
  <c r="Z355" i="2"/>
  <c r="Y355" i="2"/>
  <c r="Z354" i="2"/>
  <c r="Y354" i="2"/>
  <c r="Z353" i="2"/>
  <c r="Y353" i="2"/>
  <c r="Z352" i="2"/>
  <c r="Y352" i="2"/>
  <c r="Z351" i="2"/>
  <c r="Y351" i="2"/>
  <c r="Z350" i="2"/>
  <c r="Y350" i="2"/>
  <c r="Z349" i="2"/>
  <c r="Y349" i="2"/>
  <c r="Z348" i="2"/>
  <c r="Y348" i="2"/>
  <c r="Z347" i="2"/>
  <c r="Y347" i="2"/>
  <c r="Z346" i="2"/>
  <c r="Y346" i="2"/>
  <c r="Z345" i="2"/>
  <c r="Y345" i="2"/>
  <c r="Z344" i="2"/>
  <c r="Y344" i="2"/>
  <c r="Z343" i="2"/>
  <c r="Y343" i="2"/>
  <c r="Z342" i="2"/>
  <c r="Y342" i="2"/>
  <c r="Z341" i="2"/>
  <c r="Y341" i="2"/>
  <c r="X341" i="2"/>
  <c r="I341" i="2"/>
  <c r="H341" i="2"/>
  <c r="G341" i="2"/>
  <c r="Z340" i="2"/>
  <c r="Y340" i="2"/>
  <c r="Z339" i="2"/>
  <c r="Y339" i="2"/>
  <c r="Z338" i="2"/>
  <c r="Y338" i="2"/>
  <c r="Z337" i="2"/>
  <c r="Y337" i="2"/>
  <c r="Z336" i="2"/>
  <c r="Y336" i="2"/>
  <c r="Z335" i="2"/>
  <c r="Y335" i="2"/>
  <c r="Z334" i="2"/>
  <c r="Y334" i="2"/>
  <c r="Z333" i="2"/>
  <c r="Y333" i="2"/>
  <c r="Z332" i="2"/>
  <c r="Y332" i="2"/>
  <c r="Z331" i="2"/>
  <c r="Y331" i="2"/>
  <c r="Z330" i="2"/>
  <c r="Y330" i="2"/>
  <c r="Z329" i="2"/>
  <c r="Y329" i="2"/>
  <c r="Z328" i="2"/>
  <c r="Y328" i="2"/>
  <c r="Z327" i="2"/>
  <c r="Y327" i="2"/>
  <c r="Z326" i="2"/>
  <c r="Y326" i="2"/>
  <c r="Z325" i="2"/>
  <c r="Y325" i="2"/>
  <c r="Z324" i="2"/>
  <c r="Y324" i="2"/>
  <c r="Z323" i="2"/>
  <c r="Y323" i="2"/>
  <c r="Z322" i="2"/>
  <c r="Y322" i="2"/>
  <c r="Z321" i="2"/>
  <c r="Y321" i="2"/>
  <c r="Z320" i="2"/>
  <c r="Y320" i="2"/>
  <c r="Z319" i="2"/>
  <c r="Y319" i="2"/>
  <c r="Z318" i="2"/>
  <c r="Y318" i="2"/>
  <c r="Z317" i="2"/>
  <c r="Y317" i="2"/>
  <c r="Z316" i="2"/>
  <c r="Y316" i="2"/>
  <c r="Z315" i="2"/>
  <c r="Y315" i="2"/>
  <c r="Z314" i="2"/>
  <c r="Y314" i="2"/>
  <c r="Z313" i="2"/>
  <c r="Y313" i="2"/>
  <c r="Z312" i="2"/>
  <c r="Y312" i="2"/>
  <c r="Z311" i="2"/>
  <c r="Y311" i="2"/>
  <c r="Z310" i="2"/>
  <c r="Y310" i="2"/>
  <c r="Z309" i="2"/>
  <c r="Y309" i="2"/>
  <c r="Z308" i="2"/>
  <c r="Y308" i="2"/>
  <c r="Z307" i="2"/>
  <c r="Y307" i="2"/>
  <c r="Z306" i="2"/>
  <c r="Y306" i="2"/>
  <c r="Z305" i="2"/>
  <c r="Y305" i="2"/>
  <c r="Z304" i="2"/>
  <c r="Y304" i="2"/>
  <c r="Z303" i="2"/>
  <c r="Y303" i="2"/>
  <c r="Z302" i="2"/>
  <c r="Y302" i="2"/>
  <c r="Z301" i="2"/>
  <c r="Y301" i="2"/>
  <c r="Z300" i="2"/>
  <c r="Y300" i="2"/>
  <c r="Z299" i="2"/>
  <c r="Y299" i="2"/>
  <c r="Z298" i="2"/>
  <c r="Y298" i="2"/>
  <c r="Z297" i="2"/>
  <c r="Y297" i="2"/>
  <c r="Z296" i="2"/>
  <c r="Y296" i="2"/>
  <c r="Z295" i="2"/>
  <c r="Y295" i="2"/>
  <c r="Z294" i="2"/>
  <c r="Y294" i="2"/>
  <c r="Z293" i="2"/>
  <c r="Y293" i="2"/>
  <c r="Z292" i="2"/>
  <c r="Y292" i="2"/>
  <c r="Z291" i="2"/>
  <c r="Y291" i="2"/>
  <c r="Z290" i="2"/>
  <c r="Y290" i="2"/>
  <c r="Z289" i="2"/>
  <c r="Y289" i="2"/>
  <c r="Z288" i="2"/>
  <c r="Y288" i="2"/>
  <c r="Z287" i="2"/>
  <c r="Y287" i="2"/>
  <c r="Z286" i="2"/>
  <c r="Y286" i="2"/>
  <c r="Z285" i="2"/>
  <c r="Y285" i="2"/>
  <c r="Z284" i="2"/>
  <c r="Y284" i="2"/>
  <c r="Z283" i="2"/>
  <c r="Y283" i="2"/>
  <c r="Z282" i="2"/>
  <c r="Y282" i="2"/>
  <c r="Z281" i="2"/>
  <c r="Y281" i="2"/>
  <c r="Z280" i="2"/>
  <c r="Y280" i="2"/>
  <c r="Z279" i="2"/>
  <c r="Y279" i="2"/>
  <c r="Z278" i="2"/>
  <c r="Y278" i="2"/>
  <c r="Z277" i="2"/>
  <c r="Y277" i="2"/>
  <c r="Z276" i="2"/>
  <c r="Y276" i="2"/>
  <c r="Z275" i="2"/>
  <c r="Y275" i="2"/>
  <c r="Z274" i="2"/>
  <c r="Y274" i="2"/>
  <c r="Z273" i="2"/>
  <c r="Y273" i="2"/>
  <c r="Z272" i="2"/>
  <c r="Y272" i="2"/>
  <c r="Z271" i="2"/>
  <c r="Y271" i="2"/>
  <c r="Z270" i="2"/>
  <c r="Y270" i="2"/>
  <c r="Z269" i="2"/>
  <c r="Y269" i="2"/>
  <c r="Z268" i="2"/>
  <c r="Y268" i="2"/>
  <c r="Z267" i="2"/>
  <c r="Y267" i="2"/>
  <c r="Z266" i="2"/>
  <c r="Y266" i="2"/>
  <c r="Z265" i="2"/>
  <c r="Y265" i="2"/>
  <c r="Z264" i="2"/>
  <c r="Y264" i="2"/>
  <c r="Z263" i="2"/>
  <c r="Y263" i="2"/>
  <c r="Z262" i="2"/>
  <c r="Y262" i="2"/>
  <c r="Z261" i="2"/>
  <c r="Y261" i="2"/>
  <c r="Z260" i="2"/>
  <c r="Y260" i="2"/>
  <c r="Z259" i="2"/>
  <c r="Y259" i="2"/>
  <c r="Z258" i="2"/>
  <c r="Y258" i="2"/>
  <c r="Z257" i="2"/>
  <c r="Y257" i="2"/>
  <c r="Z256" i="2"/>
  <c r="Y256" i="2"/>
  <c r="Z255" i="2"/>
  <c r="Y255" i="2"/>
  <c r="Z254" i="2"/>
  <c r="Y254" i="2"/>
  <c r="Z253" i="2"/>
  <c r="Y253" i="2"/>
  <c r="Z252" i="2"/>
  <c r="Y252" i="2"/>
  <c r="Z251" i="2"/>
  <c r="Y251" i="2"/>
  <c r="Z250" i="2"/>
  <c r="Y250" i="2"/>
  <c r="Z249" i="2"/>
  <c r="Y249" i="2"/>
  <c r="Z248" i="2"/>
  <c r="Y248" i="2"/>
  <c r="Z247" i="2"/>
  <c r="Y247" i="2"/>
  <c r="Z246" i="2"/>
  <c r="Y246" i="2"/>
  <c r="Z245" i="2"/>
  <c r="Y245" i="2"/>
  <c r="Z244" i="2"/>
  <c r="Y244" i="2"/>
  <c r="Z243" i="2"/>
  <c r="Y243" i="2"/>
  <c r="Z242" i="2"/>
  <c r="Y242" i="2"/>
  <c r="Z241" i="2"/>
  <c r="Y241" i="2"/>
  <c r="Z240" i="2"/>
  <c r="Y240" i="2"/>
  <c r="Z239" i="2"/>
  <c r="Y239" i="2"/>
  <c r="Z238" i="2"/>
  <c r="Y238" i="2"/>
  <c r="Z237" i="2"/>
  <c r="Y237" i="2"/>
  <c r="Z236" i="2"/>
  <c r="Y236" i="2"/>
  <c r="Z235" i="2"/>
  <c r="Y235" i="2"/>
  <c r="Z234" i="2"/>
  <c r="Y234" i="2"/>
  <c r="Z233" i="2"/>
  <c r="Y233" i="2"/>
  <c r="Z232" i="2"/>
  <c r="Y232" i="2"/>
  <c r="Z231" i="2"/>
  <c r="Y231" i="2"/>
  <c r="Z230" i="2"/>
  <c r="Y230" i="2"/>
  <c r="Z229" i="2"/>
  <c r="Y229" i="2"/>
  <c r="Z228" i="2"/>
  <c r="Y228" i="2"/>
  <c r="Z227" i="2"/>
  <c r="Y227" i="2"/>
  <c r="Z226" i="2"/>
  <c r="Y226" i="2"/>
  <c r="Z225" i="2"/>
  <c r="Y225" i="2"/>
  <c r="Z224" i="2"/>
  <c r="Y224" i="2"/>
  <c r="Z223" i="2"/>
  <c r="Y223" i="2"/>
  <c r="Z222" i="2"/>
  <c r="Y222" i="2"/>
  <c r="Z221" i="2"/>
  <c r="Y221" i="2"/>
  <c r="Z220" i="2"/>
  <c r="Y220" i="2"/>
  <c r="Z219" i="2"/>
  <c r="Y219" i="2"/>
  <c r="Z218" i="2"/>
  <c r="Y218" i="2"/>
  <c r="Z217" i="2"/>
  <c r="Y217" i="2"/>
  <c r="Z216" i="2"/>
  <c r="Y216" i="2"/>
  <c r="Z215" i="2"/>
  <c r="Y215" i="2"/>
  <c r="Z214" i="2"/>
  <c r="Y214" i="2"/>
  <c r="Z213" i="2"/>
  <c r="Y213" i="2"/>
  <c r="Z212" i="2"/>
  <c r="Y212" i="2"/>
  <c r="Z211" i="2"/>
  <c r="Y211" i="2"/>
  <c r="Z210" i="2"/>
  <c r="Y210" i="2"/>
  <c r="Z209" i="2"/>
  <c r="Y209" i="2"/>
  <c r="Z208" i="2"/>
  <c r="Y208" i="2"/>
  <c r="Z207" i="2"/>
  <c r="Y207" i="2"/>
  <c r="Z206" i="2"/>
  <c r="Y206" i="2"/>
  <c r="Z205" i="2"/>
  <c r="Y205" i="2"/>
  <c r="Z204" i="2"/>
  <c r="Y204" i="2"/>
  <c r="Z203" i="2"/>
  <c r="Y203" i="2"/>
  <c r="Z202" i="2"/>
  <c r="Y202" i="2"/>
  <c r="Z201" i="2"/>
  <c r="Y201" i="2"/>
  <c r="Z200" i="2"/>
  <c r="Y200" i="2"/>
  <c r="Z199" i="2"/>
  <c r="Y199" i="2"/>
  <c r="Z198" i="2"/>
  <c r="Y198" i="2"/>
  <c r="Z197" i="2"/>
  <c r="Y197" i="2"/>
  <c r="Z196" i="2"/>
  <c r="Y196" i="2"/>
  <c r="Z195" i="2"/>
  <c r="Y195" i="2"/>
  <c r="Z194" i="2"/>
  <c r="Y194" i="2"/>
  <c r="Z193" i="2"/>
  <c r="Y193" i="2"/>
  <c r="Z192" i="2"/>
  <c r="Y192" i="2"/>
  <c r="Z191" i="2"/>
  <c r="Y191" i="2"/>
  <c r="Z190" i="2"/>
  <c r="Y190" i="2"/>
  <c r="Z189" i="2"/>
  <c r="Y189" i="2"/>
  <c r="Z188" i="2"/>
  <c r="Y188" i="2"/>
  <c r="Z187" i="2"/>
  <c r="Y187" i="2"/>
  <c r="Z186" i="2"/>
  <c r="Y186" i="2"/>
  <c r="Z185" i="2"/>
  <c r="Y185" i="2"/>
  <c r="Z184" i="2"/>
  <c r="Y184" i="2"/>
  <c r="Z183" i="2"/>
  <c r="Y183" i="2"/>
  <c r="Z182" i="2"/>
  <c r="Y182" i="2"/>
  <c r="Z181" i="2"/>
  <c r="Y181" i="2"/>
  <c r="Z180" i="2"/>
  <c r="Y180" i="2"/>
  <c r="Z179" i="2"/>
  <c r="Y179" i="2"/>
  <c r="Z178" i="2"/>
  <c r="Y178" i="2"/>
  <c r="Z177" i="2"/>
  <c r="Y177" i="2"/>
  <c r="Z176" i="2"/>
  <c r="Y176" i="2"/>
  <c r="Z175" i="2"/>
  <c r="Y175" i="2"/>
  <c r="Z174" i="2"/>
  <c r="Y174" i="2"/>
  <c r="Z173" i="2"/>
  <c r="Y173" i="2"/>
  <c r="Z172" i="2"/>
  <c r="Y172" i="2"/>
  <c r="Z171" i="2"/>
  <c r="Y171" i="2"/>
  <c r="Z170" i="2"/>
  <c r="Y170" i="2"/>
  <c r="Z169" i="2"/>
  <c r="Y169" i="2"/>
  <c r="Z168" i="2"/>
  <c r="Y168" i="2"/>
  <c r="Z167" i="2"/>
  <c r="Y167" i="2"/>
  <c r="Z166" i="2"/>
  <c r="Y166" i="2"/>
  <c r="Z165" i="2"/>
  <c r="Y165" i="2"/>
  <c r="Z164" i="2"/>
  <c r="Y164" i="2"/>
  <c r="Z163" i="2"/>
  <c r="Y163" i="2"/>
  <c r="Z162" i="2"/>
  <c r="Y162" i="2"/>
  <c r="Z161" i="2"/>
  <c r="Y161" i="2"/>
  <c r="Z160" i="2"/>
  <c r="Y160" i="2"/>
  <c r="Z159" i="2"/>
  <c r="Y159" i="2"/>
  <c r="Z158" i="2"/>
  <c r="Y158" i="2"/>
  <c r="Z157" i="2"/>
  <c r="Y157" i="2"/>
  <c r="Z156" i="2"/>
  <c r="Y156" i="2"/>
  <c r="Z155" i="2"/>
  <c r="Y155" i="2"/>
  <c r="Z154" i="2"/>
  <c r="Y154" i="2"/>
  <c r="Z153" i="2"/>
  <c r="Y153" i="2"/>
  <c r="Z152" i="2"/>
  <c r="Y152" i="2"/>
  <c r="Z151" i="2"/>
  <c r="Y151" i="2"/>
  <c r="Z150" i="2"/>
  <c r="Y150" i="2"/>
  <c r="Z149" i="2"/>
  <c r="Y149" i="2"/>
  <c r="Z148" i="2"/>
  <c r="Y148" i="2"/>
  <c r="Z147" i="2"/>
  <c r="Y147" i="2"/>
  <c r="Z146" i="2"/>
  <c r="Y146" i="2"/>
  <c r="Z145" i="2"/>
  <c r="Y145" i="2"/>
  <c r="X145" i="2"/>
  <c r="Z144" i="2"/>
  <c r="Y144" i="2"/>
  <c r="Z143" i="2"/>
  <c r="Y143" i="2"/>
  <c r="Z142" i="2"/>
  <c r="Y142" i="2"/>
  <c r="Z141" i="2"/>
  <c r="Y141" i="2"/>
  <c r="Z140" i="2"/>
  <c r="Y140" i="2"/>
  <c r="Z139" i="2"/>
  <c r="Y139" i="2"/>
  <c r="Z138" i="2"/>
  <c r="Y138" i="2"/>
  <c r="Z137" i="2"/>
  <c r="Y137" i="2"/>
  <c r="Z136" i="2"/>
  <c r="Y136" i="2"/>
  <c r="Z135" i="2"/>
  <c r="Y135" i="2"/>
  <c r="Z134" i="2"/>
  <c r="Y134" i="2"/>
  <c r="Z133" i="2"/>
  <c r="Y133" i="2"/>
  <c r="Z132" i="2"/>
  <c r="Y132" i="2"/>
  <c r="Z131" i="2"/>
  <c r="Y131" i="2"/>
  <c r="Z130" i="2"/>
  <c r="Y130" i="2"/>
  <c r="Z129" i="2"/>
  <c r="Y129" i="2"/>
  <c r="Z128" i="2"/>
  <c r="Y128" i="2"/>
  <c r="Z127" i="2"/>
  <c r="Y127" i="2"/>
  <c r="Z126" i="2"/>
  <c r="Y126" i="2"/>
  <c r="Z125" i="2"/>
  <c r="Y125" i="2"/>
  <c r="Z124" i="2"/>
  <c r="Y124" i="2"/>
  <c r="Z123" i="2"/>
  <c r="Y123" i="2"/>
  <c r="Z122" i="2"/>
  <c r="Y122" i="2"/>
  <c r="Z121" i="2"/>
  <c r="Y121" i="2"/>
  <c r="Z120" i="2"/>
  <c r="Y120" i="2"/>
  <c r="Z119" i="2"/>
  <c r="Y119" i="2"/>
  <c r="Z118" i="2"/>
  <c r="Y118" i="2"/>
  <c r="Z117" i="2"/>
  <c r="Y117" i="2"/>
  <c r="Z116" i="2"/>
  <c r="Y116" i="2"/>
  <c r="Z115" i="2"/>
  <c r="Y115" i="2"/>
  <c r="X115" i="2"/>
  <c r="H115" i="2"/>
  <c r="Z114" i="2"/>
  <c r="Y114" i="2"/>
  <c r="Z113" i="2"/>
  <c r="Y113" i="2"/>
  <c r="Z112" i="2"/>
  <c r="Y112" i="2"/>
  <c r="Z111" i="2"/>
  <c r="Y111" i="2"/>
  <c r="X111" i="2"/>
  <c r="G111" i="2" s="1"/>
  <c r="I111" i="2"/>
  <c r="H111" i="2"/>
  <c r="Z110" i="2"/>
  <c r="Y110" i="2"/>
  <c r="Z109" i="2"/>
  <c r="Y109" i="2"/>
  <c r="Z108" i="2"/>
  <c r="Y108" i="2"/>
  <c r="Z107" i="2"/>
  <c r="Y107" i="2"/>
  <c r="Z106" i="2"/>
  <c r="Y106" i="2"/>
  <c r="Z105" i="2"/>
  <c r="Y105" i="2"/>
  <c r="Z104" i="2"/>
  <c r="Y104" i="2"/>
  <c r="Z103" i="2"/>
  <c r="Y103" i="2"/>
  <c r="Z102" i="2"/>
  <c r="Y102" i="2"/>
  <c r="Z101" i="2"/>
  <c r="Y101" i="2"/>
  <c r="Z100" i="2"/>
  <c r="Y100" i="2"/>
  <c r="Z99" i="2"/>
  <c r="Y99" i="2"/>
  <c r="Z98" i="2"/>
  <c r="Y98" i="2"/>
  <c r="Z97" i="2"/>
  <c r="Y97" i="2"/>
  <c r="Z96" i="2"/>
  <c r="Y96" i="2"/>
  <c r="Z95" i="2"/>
  <c r="Y95" i="2"/>
  <c r="Z94" i="2"/>
  <c r="Y94" i="2"/>
  <c r="Z93" i="2"/>
  <c r="Y93" i="2"/>
  <c r="Z92" i="2"/>
  <c r="Y92" i="2"/>
  <c r="Z91" i="2"/>
  <c r="Y91" i="2"/>
  <c r="Z90" i="2"/>
  <c r="Y90" i="2"/>
  <c r="Z89" i="2"/>
  <c r="Y89" i="2"/>
  <c r="Z88" i="2"/>
  <c r="Y88" i="2"/>
  <c r="Z87" i="2"/>
  <c r="Y87" i="2"/>
  <c r="Z86" i="2"/>
  <c r="Y86" i="2"/>
  <c r="Z85" i="2"/>
  <c r="Y85" i="2"/>
  <c r="Z84" i="2"/>
  <c r="Y84" i="2"/>
  <c r="Z83" i="2"/>
  <c r="Y83" i="2"/>
  <c r="Z82" i="2"/>
  <c r="Y82" i="2"/>
  <c r="Z81" i="2"/>
  <c r="Y81" i="2"/>
  <c r="Z80" i="2"/>
  <c r="Y80" i="2"/>
  <c r="Z79" i="2"/>
  <c r="Y79" i="2"/>
  <c r="Z78" i="2"/>
  <c r="Y78" i="2"/>
  <c r="Z77" i="2"/>
  <c r="Y77" i="2"/>
  <c r="Z76" i="2"/>
  <c r="Y76" i="2"/>
  <c r="Z75" i="2"/>
  <c r="Y75" i="2"/>
  <c r="Z74" i="2"/>
  <c r="Y74" i="2"/>
  <c r="Z73" i="2"/>
  <c r="Y73" i="2"/>
  <c r="Z72" i="2"/>
  <c r="Y72" i="2"/>
  <c r="Z71" i="2"/>
  <c r="Y71" i="2"/>
  <c r="Z70" i="2"/>
  <c r="Y70" i="2"/>
  <c r="Z69" i="2"/>
  <c r="Y69" i="2"/>
  <c r="Z68" i="2"/>
  <c r="Y68" i="2"/>
  <c r="Z67" i="2"/>
  <c r="Y67" i="2"/>
  <c r="Z66" i="2"/>
  <c r="Y66" i="2"/>
  <c r="Z65" i="2"/>
  <c r="Y65" i="2"/>
  <c r="Z64" i="2"/>
  <c r="Y64" i="2"/>
  <c r="Z63" i="2"/>
  <c r="Y63" i="2"/>
  <c r="Z62" i="2"/>
  <c r="Y62" i="2"/>
  <c r="Z61" i="2"/>
  <c r="Y61" i="2"/>
  <c r="Z60" i="2"/>
  <c r="Y60" i="2"/>
  <c r="Z59" i="2"/>
  <c r="Y59" i="2"/>
  <c r="Z58" i="2"/>
  <c r="Y58" i="2"/>
  <c r="Z57" i="2"/>
  <c r="Y57" i="2"/>
  <c r="Z56" i="2"/>
  <c r="Y56" i="2"/>
  <c r="Z55" i="2"/>
  <c r="Y55" i="2"/>
  <c r="Z54" i="2"/>
  <c r="Y54" i="2"/>
  <c r="Z53" i="2"/>
  <c r="Y53" i="2"/>
  <c r="Z52" i="2"/>
  <c r="Y52" i="2"/>
  <c r="Z51" i="2"/>
  <c r="Y51" i="2"/>
  <c r="Z50" i="2"/>
  <c r="Y50" i="2"/>
  <c r="Z49" i="2"/>
  <c r="Y49" i="2"/>
  <c r="Z48" i="2"/>
  <c r="Y48" i="2"/>
  <c r="Z47" i="2"/>
  <c r="Y47" i="2"/>
  <c r="Z46" i="2"/>
  <c r="Y46" i="2"/>
  <c r="Z45" i="2"/>
  <c r="Y45" i="2"/>
  <c r="Z44" i="2"/>
  <c r="Y44" i="2"/>
  <c r="Z43" i="2"/>
  <c r="Y43" i="2"/>
  <c r="Z42" i="2"/>
  <c r="Y42" i="2"/>
  <c r="Z41" i="2"/>
  <c r="Y41" i="2"/>
  <c r="Z40" i="2"/>
  <c r="Y40" i="2"/>
  <c r="Z39" i="2"/>
  <c r="Y39" i="2"/>
  <c r="Z38" i="2"/>
  <c r="Y38" i="2"/>
  <c r="Z37" i="2"/>
  <c r="Y37" i="2"/>
  <c r="Z36" i="2"/>
  <c r="Y36" i="2"/>
  <c r="Z35" i="2"/>
  <c r="Y35" i="2"/>
  <c r="Z34" i="2"/>
  <c r="Y34" i="2"/>
  <c r="Z33" i="2"/>
  <c r="Y33" i="2"/>
  <c r="Z32" i="2"/>
  <c r="Y32" i="2"/>
  <c r="Z31" i="2"/>
  <c r="Y31" i="2"/>
  <c r="Z30" i="2"/>
  <c r="Y30" i="2"/>
  <c r="Z29" i="2"/>
  <c r="Y29" i="2"/>
  <c r="Z28" i="2"/>
  <c r="Y28" i="2"/>
  <c r="Z27" i="2"/>
  <c r="Y27" i="2"/>
  <c r="Z26" i="2"/>
  <c r="Y26" i="2"/>
  <c r="Z25" i="2"/>
  <c r="Y25" i="2"/>
  <c r="Z24" i="2"/>
  <c r="Y24" i="2"/>
  <c r="Z23" i="2"/>
  <c r="Y23" i="2"/>
  <c r="Z22" i="2"/>
  <c r="Y22" i="2"/>
  <c r="Z21" i="2"/>
  <c r="Y21" i="2"/>
  <c r="Z20" i="2"/>
  <c r="Y20" i="2"/>
  <c r="Z19" i="2"/>
  <c r="Y19" i="2"/>
  <c r="Z18" i="2"/>
  <c r="Y18" i="2"/>
  <c r="Z17" i="2"/>
  <c r="Y17" i="2"/>
  <c r="Z16" i="2"/>
  <c r="Y16" i="2"/>
  <c r="Z15" i="2"/>
  <c r="Y15" i="2"/>
  <c r="Z14" i="2"/>
  <c r="Y14" i="2"/>
  <c r="Z13" i="2"/>
  <c r="Y13" i="2"/>
  <c r="Z12" i="2"/>
  <c r="Y12" i="2"/>
  <c r="E12" i="2"/>
  <c r="D12" i="2"/>
  <c r="C12" i="2"/>
  <c r="B12" i="2"/>
  <c r="Z11" i="2"/>
  <c r="Y11" i="2"/>
  <c r="Z10" i="2"/>
  <c r="Y10" i="2"/>
  <c r="E10" i="2"/>
  <c r="D10" i="2"/>
  <c r="C10" i="2"/>
  <c r="B10" i="2"/>
  <c r="Z9" i="2"/>
  <c r="Y9" i="2"/>
  <c r="E9" i="2"/>
  <c r="D9" i="2"/>
  <c r="C9" i="2"/>
  <c r="B9" i="2"/>
  <c r="Z8" i="2"/>
  <c r="Y8" i="2"/>
  <c r="E8" i="2"/>
  <c r="D8" i="2"/>
  <c r="C8" i="2"/>
  <c r="B8" i="2"/>
  <c r="Z7" i="2"/>
  <c r="Y7" i="2"/>
  <c r="E7" i="2"/>
  <c r="D7" i="2"/>
  <c r="C7" i="2"/>
  <c r="B7" i="2"/>
  <c r="Z6" i="2"/>
  <c r="Y6" i="2"/>
  <c r="E6" i="2"/>
  <c r="D6" i="2"/>
  <c r="C6" i="2"/>
  <c r="B6" i="2"/>
  <c r="X563" i="2" s="1"/>
  <c r="Z5" i="2"/>
  <c r="Y5" i="2"/>
  <c r="Z4" i="2"/>
  <c r="Y4" i="2"/>
  <c r="Z3" i="2"/>
  <c r="Y3" i="2"/>
  <c r="Z2" i="2"/>
  <c r="Y2" i="2"/>
  <c r="D11" i="2" l="1"/>
  <c r="D13" i="2" s="1"/>
  <c r="X208" i="2"/>
  <c r="H208" i="2" s="1"/>
  <c r="X194" i="2"/>
  <c r="X135" i="2"/>
  <c r="I135" i="2" s="1"/>
  <c r="X181" i="2"/>
  <c r="X321" i="2"/>
  <c r="I321" i="2" s="1"/>
  <c r="X120" i="2"/>
  <c r="I120" i="2" s="1"/>
  <c r="X432" i="2"/>
  <c r="B432" i="2" s="1"/>
  <c r="X54" i="2"/>
  <c r="F54" i="2" s="1"/>
  <c r="A54" i="2"/>
  <c r="I54" i="2"/>
  <c r="D120" i="2"/>
  <c r="B120" i="2"/>
  <c r="A120" i="2"/>
  <c r="H120" i="2"/>
  <c r="G120" i="2"/>
  <c r="F120" i="2"/>
  <c r="E120" i="2"/>
  <c r="C120" i="2"/>
  <c r="F135" i="2"/>
  <c r="D135" i="2"/>
  <c r="C135" i="2"/>
  <c r="B135" i="2"/>
  <c r="A135" i="2"/>
  <c r="H135" i="2"/>
  <c r="E135" i="2"/>
  <c r="X32" i="2"/>
  <c r="X27" i="2"/>
  <c r="X22" i="2"/>
  <c r="H321" i="2"/>
  <c r="E321" i="2"/>
  <c r="B321" i="2"/>
  <c r="A321" i="2"/>
  <c r="X86" i="2"/>
  <c r="X59" i="2"/>
  <c r="X64" i="2"/>
  <c r="I563" i="2"/>
  <c r="D563" i="2"/>
  <c r="C563" i="2"/>
  <c r="B563" i="2"/>
  <c r="H563" i="2"/>
  <c r="A563" i="2"/>
  <c r="G563" i="2"/>
  <c r="F563" i="2"/>
  <c r="E563" i="2"/>
  <c r="I115" i="2"/>
  <c r="F115" i="2"/>
  <c r="E115" i="2"/>
  <c r="D115" i="2"/>
  <c r="C115" i="2"/>
  <c r="B115" i="2"/>
  <c r="A115" i="2"/>
  <c r="G208" i="2"/>
  <c r="F208" i="2"/>
  <c r="E208" i="2"/>
  <c r="D208" i="2"/>
  <c r="B208" i="2"/>
  <c r="I208" i="2"/>
  <c r="C208" i="2"/>
  <c r="A208" i="2"/>
  <c r="B145" i="2"/>
  <c r="A145" i="2"/>
  <c r="I145" i="2"/>
  <c r="H145" i="2"/>
  <c r="G145" i="2"/>
  <c r="F145" i="2"/>
  <c r="E145" i="2"/>
  <c r="D145" i="2"/>
  <c r="C145" i="2"/>
  <c r="H432" i="2"/>
  <c r="G432" i="2"/>
  <c r="F432" i="2"/>
  <c r="E432" i="2"/>
  <c r="D432" i="2"/>
  <c r="C432" i="2"/>
  <c r="A432" i="2"/>
  <c r="I432" i="2"/>
  <c r="G115" i="2"/>
  <c r="F194" i="2"/>
  <c r="E194" i="2"/>
  <c r="D194" i="2"/>
  <c r="B194" i="2"/>
  <c r="A194" i="2"/>
  <c r="X101" i="2"/>
  <c r="X19" i="2"/>
  <c r="F111" i="2"/>
  <c r="E111" i="2"/>
  <c r="D111" i="2"/>
  <c r="C111" i="2"/>
  <c r="B111" i="2"/>
  <c r="A111" i="2"/>
  <c r="X190" i="2"/>
  <c r="X245" i="2"/>
  <c r="X152" i="2"/>
  <c r="X251" i="2"/>
  <c r="X234" i="2"/>
  <c r="X203" i="2"/>
  <c r="X38" i="2"/>
  <c r="X70" i="2"/>
  <c r="X177" i="2"/>
  <c r="X198" i="2"/>
  <c r="C11" i="2"/>
  <c r="C13" i="2" s="1"/>
  <c r="X176" i="2"/>
  <c r="X24" i="2"/>
  <c r="X43" i="2"/>
  <c r="X75" i="2"/>
  <c r="X94" i="2"/>
  <c r="X103" i="2"/>
  <c r="X213" i="2"/>
  <c r="X289" i="2"/>
  <c r="X327" i="2"/>
  <c r="X521" i="2"/>
  <c r="B181" i="2"/>
  <c r="I181" i="2"/>
  <c r="H181" i="2"/>
  <c r="G181" i="2"/>
  <c r="F181" i="2"/>
  <c r="E181" i="2"/>
  <c r="D181" i="2"/>
  <c r="X608" i="2"/>
  <c r="X587" i="2"/>
  <c r="X601" i="2"/>
  <c r="X604" i="2"/>
  <c r="X589" i="2"/>
  <c r="X581" i="2"/>
  <c r="X573" i="2"/>
  <c r="X565" i="2"/>
  <c r="X557" i="2"/>
  <c r="X549" i="2"/>
  <c r="X541" i="2"/>
  <c r="X533" i="2"/>
  <c r="X525" i="2"/>
  <c r="X580" i="2"/>
  <c r="X577" i="2"/>
  <c r="X574" i="2"/>
  <c r="X562" i="2"/>
  <c r="X559" i="2"/>
  <c r="X568" i="2"/>
  <c r="X440" i="2"/>
  <c r="X429" i="2"/>
  <c r="X418" i="2"/>
  <c r="X407" i="2"/>
  <c r="X396" i="2"/>
  <c r="X385" i="2"/>
  <c r="X592" i="2"/>
  <c r="X571" i="2"/>
  <c r="X556" i="2"/>
  <c r="X553" i="2"/>
  <c r="X550" i="2"/>
  <c r="X538" i="2"/>
  <c r="X535" i="2"/>
  <c r="X506" i="2"/>
  <c r="X495" i="2"/>
  <c r="X484" i="2"/>
  <c r="X473" i="2"/>
  <c r="X462" i="2"/>
  <c r="X451" i="2"/>
  <c r="X607" i="2"/>
  <c r="X544" i="2"/>
  <c r="X603" i="2"/>
  <c r="X547" i="2"/>
  <c r="X532" i="2"/>
  <c r="X529" i="2"/>
  <c r="X526" i="2"/>
  <c r="X448" i="2"/>
  <c r="X437" i="2"/>
  <c r="X426" i="2"/>
  <c r="X415" i="2"/>
  <c r="X404" i="2"/>
  <c r="X520" i="2"/>
  <c r="X517" i="2"/>
  <c r="X503" i="2"/>
  <c r="X492" i="2"/>
  <c r="X481" i="2"/>
  <c r="X470" i="2"/>
  <c r="X459" i="2"/>
  <c r="X599" i="2"/>
  <c r="X595" i="2"/>
  <c r="X523" i="2"/>
  <c r="X514" i="2"/>
  <c r="X456" i="2"/>
  <c r="X445" i="2"/>
  <c r="X434" i="2"/>
  <c r="X423" i="2"/>
  <c r="X412" i="2"/>
  <c r="X401" i="2"/>
  <c r="X390" i="2"/>
  <c r="X379" i="2"/>
  <c r="X371" i="2"/>
  <c r="X363" i="2"/>
  <c r="X355" i="2"/>
  <c r="X511" i="2"/>
  <c r="X500" i="2"/>
  <c r="X489" i="2"/>
  <c r="X478" i="2"/>
  <c r="X467" i="2"/>
  <c r="X582" i="2"/>
  <c r="X570" i="2"/>
  <c r="X567" i="2"/>
  <c r="X464" i="2"/>
  <c r="X453" i="2"/>
  <c r="X591" i="2"/>
  <c r="X585" i="2"/>
  <c r="X576" i="2"/>
  <c r="X508" i="2"/>
  <c r="X497" i="2"/>
  <c r="X486" i="2"/>
  <c r="X475" i="2"/>
  <c r="X594" i="2"/>
  <c r="X588" i="2"/>
  <c r="X579" i="2"/>
  <c r="X564" i="2"/>
  <c r="X561" i="2"/>
  <c r="X558" i="2"/>
  <c r="X546" i="2"/>
  <c r="X543" i="2"/>
  <c r="X516" i="2"/>
  <c r="X502" i="2"/>
  <c r="X491" i="2"/>
  <c r="X424" i="2"/>
  <c r="X354" i="2"/>
  <c r="X606" i="2"/>
  <c r="X600" i="2"/>
  <c r="X593" i="2"/>
  <c r="X551" i="2"/>
  <c r="X519" i="2"/>
  <c r="X438" i="2"/>
  <c r="X420" i="2"/>
  <c r="X410" i="2"/>
  <c r="X524" i="2"/>
  <c r="X493" i="2"/>
  <c r="X472" i="2"/>
  <c r="X406" i="2"/>
  <c r="X374" i="2"/>
  <c r="X560" i="2"/>
  <c r="X515" i="2"/>
  <c r="X510" i="2"/>
  <c r="X460" i="2"/>
  <c r="X380" i="2"/>
  <c r="X377" i="2"/>
  <c r="X368" i="2"/>
  <c r="X351" i="2"/>
  <c r="X343" i="2"/>
  <c r="X335" i="2"/>
  <c r="X578" i="2"/>
  <c r="X569" i="2"/>
  <c r="X555" i="2"/>
  <c r="X528" i="2"/>
  <c r="X480" i="2"/>
  <c r="X452" i="2"/>
  <c r="X427" i="2"/>
  <c r="X383" i="2"/>
  <c r="X598" i="2"/>
  <c r="X542" i="2"/>
  <c r="X468" i="2"/>
  <c r="X413" i="2"/>
  <c r="X386" i="2"/>
  <c r="X365" i="2"/>
  <c r="X583" i="2"/>
  <c r="X537" i="2"/>
  <c r="X441" i="2"/>
  <c r="X409" i="2"/>
  <c r="X399" i="2"/>
  <c r="X505" i="2"/>
  <c r="X488" i="2"/>
  <c r="X359" i="2"/>
  <c r="X348" i="2"/>
  <c r="X340" i="2"/>
  <c r="X332" i="2"/>
  <c r="X324" i="2"/>
  <c r="X316" i="2"/>
  <c r="X308" i="2"/>
  <c r="X300" i="2"/>
  <c r="X501" i="2"/>
  <c r="X476" i="2"/>
  <c r="X430" i="2"/>
  <c r="X416" i="2"/>
  <c r="X392" i="2"/>
  <c r="X356" i="2"/>
  <c r="X605" i="2"/>
  <c r="X496" i="2"/>
  <c r="X463" i="2"/>
  <c r="X455" i="2"/>
  <c r="X444" i="2"/>
  <c r="X402" i="2"/>
  <c r="X395" i="2"/>
  <c r="X597" i="2"/>
  <c r="X554" i="2"/>
  <c r="X527" i="2"/>
  <c r="X522" i="2"/>
  <c r="X518" i="2"/>
  <c r="X433" i="2"/>
  <c r="X398" i="2"/>
  <c r="X540" i="2"/>
  <c r="X531" i="2"/>
  <c r="X504" i="2"/>
  <c r="X458" i="2"/>
  <c r="X436" i="2"/>
  <c r="X422" i="2"/>
  <c r="X408" i="2"/>
  <c r="X394" i="2"/>
  <c r="X333" i="2"/>
  <c r="X465" i="2"/>
  <c r="X425" i="2"/>
  <c r="X336" i="2"/>
  <c r="X320" i="2"/>
  <c r="X317" i="2"/>
  <c r="X311" i="2"/>
  <c r="X305" i="2"/>
  <c r="X566" i="2"/>
  <c r="X369" i="2"/>
  <c r="X361" i="2"/>
  <c r="X353" i="2"/>
  <c r="X314" i="2"/>
  <c r="X291" i="2"/>
  <c r="X280" i="2"/>
  <c r="X269" i="2"/>
  <c r="X258" i="2"/>
  <c r="X247" i="2"/>
  <c r="X239" i="2"/>
  <c r="X231" i="2"/>
  <c r="X223" i="2"/>
  <c r="X215" i="2"/>
  <c r="X207" i="2"/>
  <c r="X199" i="2"/>
  <c r="X191" i="2"/>
  <c r="X183" i="2"/>
  <c r="X513" i="2"/>
  <c r="X494" i="2"/>
  <c r="X482" i="2"/>
  <c r="X419" i="2"/>
  <c r="X389" i="2"/>
  <c r="X323" i="2"/>
  <c r="X302" i="2"/>
  <c r="X572" i="2"/>
  <c r="X507" i="2"/>
  <c r="X414" i="2"/>
  <c r="X376" i="2"/>
  <c r="X357" i="2"/>
  <c r="X346" i="2"/>
  <c r="X339" i="2"/>
  <c r="X329" i="2"/>
  <c r="X326" i="2"/>
  <c r="X255" i="2"/>
  <c r="X299" i="2"/>
  <c r="X288" i="2"/>
  <c r="X277" i="2"/>
  <c r="X266" i="2"/>
  <c r="X586" i="2"/>
  <c r="X469" i="2"/>
  <c r="X342" i="2"/>
  <c r="X244" i="2"/>
  <c r="X236" i="2"/>
  <c r="X228" i="2"/>
  <c r="X220" i="2"/>
  <c r="X212" i="2"/>
  <c r="X204" i="2"/>
  <c r="X196" i="2"/>
  <c r="X188" i="2"/>
  <c r="X602" i="2"/>
  <c r="X552" i="2"/>
  <c r="X384" i="2"/>
  <c r="X263" i="2"/>
  <c r="X252" i="2"/>
  <c r="X446" i="2"/>
  <c r="X435" i="2"/>
  <c r="X345" i="2"/>
  <c r="X296" i="2"/>
  <c r="X285" i="2"/>
  <c r="X274" i="2"/>
  <c r="X545" i="2"/>
  <c r="X539" i="2"/>
  <c r="X499" i="2"/>
  <c r="X487" i="2"/>
  <c r="X372" i="2"/>
  <c r="X364" i="2"/>
  <c r="X349" i="2"/>
  <c r="X474" i="2"/>
  <c r="X457" i="2"/>
  <c r="X403" i="2"/>
  <c r="X393" i="2"/>
  <c r="X388" i="2"/>
  <c r="X313" i="2"/>
  <c r="X310" i="2"/>
  <c r="X271" i="2"/>
  <c r="X260" i="2"/>
  <c r="X249" i="2"/>
  <c r="X241" i="2"/>
  <c r="X233" i="2"/>
  <c r="X225" i="2"/>
  <c r="X217" i="2"/>
  <c r="X209" i="2"/>
  <c r="X439" i="2"/>
  <c r="X360" i="2"/>
  <c r="X307" i="2"/>
  <c r="X293" i="2"/>
  <c r="X282" i="2"/>
  <c r="X450" i="2"/>
  <c r="X397" i="2"/>
  <c r="X319" i="2"/>
  <c r="X375" i="2"/>
  <c r="X367" i="2"/>
  <c r="X295" i="2"/>
  <c r="X222" i="2"/>
  <c r="X509" i="2"/>
  <c r="X483" i="2"/>
  <c r="X362" i="2"/>
  <c r="X283" i="2"/>
  <c r="X262" i="2"/>
  <c r="X254" i="2"/>
  <c r="X243" i="2"/>
  <c r="X229" i="2"/>
  <c r="X421" i="2"/>
  <c r="X312" i="2"/>
  <c r="X178" i="2"/>
  <c r="X170" i="2"/>
  <c r="X162" i="2"/>
  <c r="X154" i="2"/>
  <c r="X146" i="2"/>
  <c r="X138" i="2"/>
  <c r="X130" i="2"/>
  <c r="X122" i="2"/>
  <c r="X114" i="2"/>
  <c r="X106" i="2"/>
  <c r="X98" i="2"/>
  <c r="X90" i="2"/>
  <c r="X443" i="2"/>
  <c r="X270" i="2"/>
  <c r="X466" i="2"/>
  <c r="X405" i="2"/>
  <c r="X373" i="2"/>
  <c r="X325" i="2"/>
  <c r="X205" i="2"/>
  <c r="X202" i="2"/>
  <c r="X246" i="2"/>
  <c r="X232" i="2"/>
  <c r="X391" i="2"/>
  <c r="X350" i="2"/>
  <c r="X303" i="2"/>
  <c r="X290" i="2"/>
  <c r="X534" i="2"/>
  <c r="X442" i="2"/>
  <c r="X278" i="2"/>
  <c r="X257" i="2"/>
  <c r="X250" i="2"/>
  <c r="X490" i="2"/>
  <c r="X344" i="2"/>
  <c r="X334" i="2"/>
  <c r="X298" i="2"/>
  <c r="X286" i="2"/>
  <c r="X265" i="2"/>
  <c r="X235" i="2"/>
  <c r="X411" i="2"/>
  <c r="X218" i="2"/>
  <c r="X211" i="2"/>
  <c r="X201" i="2"/>
  <c r="X180" i="2"/>
  <c r="X172" i="2"/>
  <c r="X164" i="2"/>
  <c r="X156" i="2"/>
  <c r="X148" i="2"/>
  <c r="X140" i="2"/>
  <c r="X132" i="2"/>
  <c r="X498" i="2"/>
  <c r="X366" i="2"/>
  <c r="X315" i="2"/>
  <c r="X273" i="2"/>
  <c r="X214" i="2"/>
  <c r="X294" i="2"/>
  <c r="X238" i="2"/>
  <c r="X221" i="2"/>
  <c r="X596" i="2"/>
  <c r="X449" i="2"/>
  <c r="X281" i="2"/>
  <c r="X261" i="2"/>
  <c r="X253" i="2"/>
  <c r="X242" i="2"/>
  <c r="X479" i="2"/>
  <c r="X417" i="2"/>
  <c r="X338" i="2"/>
  <c r="X328" i="2"/>
  <c r="X306" i="2"/>
  <c r="X224" i="2"/>
  <c r="X584" i="2"/>
  <c r="X575" i="2"/>
  <c r="X530" i="2"/>
  <c r="X447" i="2"/>
  <c r="X301" i="2"/>
  <c r="X318" i="2"/>
  <c r="X206" i="2"/>
  <c r="X105" i="2"/>
  <c r="X88" i="2"/>
  <c r="X471" i="2"/>
  <c r="X400" i="2"/>
  <c r="X347" i="2"/>
  <c r="X192" i="2"/>
  <c r="X179" i="2"/>
  <c r="X165" i="2"/>
  <c r="X161" i="2"/>
  <c r="X77" i="2"/>
  <c r="X69" i="2"/>
  <c r="X61" i="2"/>
  <c r="X53" i="2"/>
  <c r="X45" i="2"/>
  <c r="X37" i="2"/>
  <c r="X29" i="2"/>
  <c r="X21" i="2"/>
  <c r="X381" i="2"/>
  <c r="X292" i="2"/>
  <c r="X141" i="2"/>
  <c r="X119" i="2"/>
  <c r="X102" i="2"/>
  <c r="X85" i="2"/>
  <c r="X216" i="2"/>
  <c r="X279" i="2"/>
  <c r="X144" i="2"/>
  <c r="X131" i="2"/>
  <c r="X128" i="2"/>
  <c r="X125" i="2"/>
  <c r="X116" i="2"/>
  <c r="X99" i="2"/>
  <c r="X428" i="2"/>
  <c r="X267" i="2"/>
  <c r="X187" i="2"/>
  <c r="X175" i="2"/>
  <c r="X168" i="2"/>
  <c r="X147" i="2"/>
  <c r="X82" i="2"/>
  <c r="X74" i="2"/>
  <c r="X66" i="2"/>
  <c r="X58" i="2"/>
  <c r="X50" i="2"/>
  <c r="X42" i="2"/>
  <c r="X34" i="2"/>
  <c r="X26" i="2"/>
  <c r="X18" i="2"/>
  <c r="X370" i="2"/>
  <c r="X248" i="2"/>
  <c r="X134" i="2"/>
  <c r="X113" i="2"/>
  <c r="X96" i="2"/>
  <c r="X536" i="2"/>
  <c r="X331" i="2"/>
  <c r="X237" i="2"/>
  <c r="X137" i="2"/>
  <c r="X304" i="2"/>
  <c r="X284" i="2"/>
  <c r="X171" i="2"/>
  <c r="X150" i="2"/>
  <c r="X110" i="2"/>
  <c r="X93" i="2"/>
  <c r="X548" i="2"/>
  <c r="X512" i="2"/>
  <c r="X387" i="2"/>
  <c r="X210" i="2"/>
  <c r="X182" i="2"/>
  <c r="X157" i="2"/>
  <c r="X79" i="2"/>
  <c r="X71" i="2"/>
  <c r="X63" i="2"/>
  <c r="X55" i="2"/>
  <c r="X47" i="2"/>
  <c r="X39" i="2"/>
  <c r="X31" i="2"/>
  <c r="X23" i="2"/>
  <c r="X378" i="2"/>
  <c r="X352" i="2"/>
  <c r="X297" i="2"/>
  <c r="X272" i="2"/>
  <c r="X259" i="2"/>
  <c r="X107" i="2"/>
  <c r="X87" i="2"/>
  <c r="X337" i="2"/>
  <c r="X226" i="2"/>
  <c r="X200" i="2"/>
  <c r="X153" i="2"/>
  <c r="X124" i="2"/>
  <c r="X230" i="2"/>
  <c r="X143" i="2"/>
  <c r="X127" i="2"/>
  <c r="X104" i="2"/>
  <c r="X20" i="2"/>
  <c r="X590" i="2"/>
  <c r="X330" i="2"/>
  <c r="X195" i="2"/>
  <c r="X186" i="2"/>
  <c r="X174" i="2"/>
  <c r="X167" i="2"/>
  <c r="X160" i="2"/>
  <c r="X121" i="2"/>
  <c r="X84" i="2"/>
  <c r="X76" i="2"/>
  <c r="X68" i="2"/>
  <c r="X60" i="2"/>
  <c r="X52" i="2"/>
  <c r="X44" i="2"/>
  <c r="X36" i="2"/>
  <c r="X28" i="2"/>
  <c r="X322" i="2"/>
  <c r="X309" i="2"/>
  <c r="X477" i="2"/>
  <c r="X276" i="2"/>
  <c r="X264" i="2"/>
  <c r="X81" i="2"/>
  <c r="X73" i="2"/>
  <c r="X65" i="2"/>
  <c r="X57" i="2"/>
  <c r="X49" i="2"/>
  <c r="X41" i="2"/>
  <c r="X33" i="2"/>
  <c r="X25" i="2"/>
  <c r="X17" i="2"/>
  <c r="X169" i="2"/>
  <c r="X48" i="2"/>
  <c r="X80" i="2"/>
  <c r="X287" i="2"/>
  <c r="X112" i="2"/>
  <c r="X184" i="2"/>
  <c r="X118" i="2"/>
  <c r="X166" i="2"/>
  <c r="X136" i="2"/>
  <c r="X56" i="2"/>
  <c r="X89" i="2"/>
  <c r="X123" i="2"/>
  <c r="X133" i="2"/>
  <c r="X149" i="2"/>
  <c r="X227" i="2"/>
  <c r="X51" i="2"/>
  <c r="X117" i="2"/>
  <c r="X155" i="2"/>
  <c r="X173" i="2"/>
  <c r="X358" i="2"/>
  <c r="X454" i="2"/>
  <c r="B11" i="2"/>
  <c r="X158" i="2"/>
  <c r="X461" i="2"/>
  <c r="X268" i="2"/>
  <c r="E11" i="2"/>
  <c r="E13" i="2" s="1"/>
  <c r="X92" i="2"/>
  <c r="X83" i="2"/>
  <c r="X109" i="2"/>
  <c r="X275" i="2"/>
  <c r="X163" i="2"/>
  <c r="X126" i="2"/>
  <c r="X189" i="2"/>
  <c r="X197" i="2"/>
  <c r="X108" i="2"/>
  <c r="X30" i="2"/>
  <c r="X62" i="2"/>
  <c r="X185" i="2"/>
  <c r="X256" i="2"/>
  <c r="E341" i="2"/>
  <c r="D341" i="2"/>
  <c r="C341" i="2"/>
  <c r="B341" i="2"/>
  <c r="F341" i="2"/>
  <c r="A341" i="2"/>
  <c r="X35" i="2"/>
  <c r="X67" i="2"/>
  <c r="X139" i="2"/>
  <c r="X46" i="2"/>
  <c r="X78" i="2"/>
  <c r="X40" i="2"/>
  <c r="X72" i="2"/>
  <c r="X193" i="2"/>
  <c r="X97" i="2"/>
  <c r="X159" i="2"/>
  <c r="X100" i="2"/>
  <c r="X129" i="2"/>
  <c r="X151" i="2"/>
  <c r="X240" i="2"/>
  <c r="X382" i="2"/>
  <c r="X431" i="2"/>
  <c r="X219" i="2"/>
  <c r="X142" i="2"/>
  <c r="X91" i="2"/>
  <c r="X95" i="2"/>
  <c r="X485" i="2"/>
  <c r="G54" i="2" l="1"/>
  <c r="H54" i="2"/>
  <c r="B54" i="2"/>
  <c r="C54" i="2"/>
  <c r="D54" i="2"/>
  <c r="C321" i="2"/>
  <c r="E54" i="2"/>
  <c r="D321" i="2"/>
  <c r="F321" i="2"/>
  <c r="G321" i="2"/>
  <c r="C181" i="2"/>
  <c r="A181" i="2"/>
  <c r="I194" i="2"/>
  <c r="H194" i="2"/>
  <c r="C194" i="2"/>
  <c r="G194" i="2"/>
  <c r="G135" i="2"/>
  <c r="I266" i="2"/>
  <c r="H266" i="2"/>
  <c r="G266" i="2"/>
  <c r="F266" i="2"/>
  <c r="E266" i="2"/>
  <c r="D266" i="2"/>
  <c r="C266" i="2"/>
  <c r="B266" i="2"/>
  <c r="A266" i="2"/>
  <c r="I134" i="2"/>
  <c r="H134" i="2"/>
  <c r="G134" i="2"/>
  <c r="F134" i="2"/>
  <c r="E134" i="2"/>
  <c r="D134" i="2"/>
  <c r="C134" i="2"/>
  <c r="A134" i="2"/>
  <c r="B134" i="2"/>
  <c r="C259" i="2"/>
  <c r="B259" i="2"/>
  <c r="A259" i="2"/>
  <c r="I259" i="2"/>
  <c r="H259" i="2"/>
  <c r="G259" i="2"/>
  <c r="E259" i="2"/>
  <c r="D259" i="2"/>
  <c r="F259" i="2"/>
  <c r="I474" i="2"/>
  <c r="H474" i="2"/>
  <c r="E474" i="2"/>
  <c r="G474" i="2"/>
  <c r="F474" i="2"/>
  <c r="D474" i="2"/>
  <c r="B474" i="2"/>
  <c r="A474" i="2"/>
  <c r="C474" i="2"/>
  <c r="A272" i="2"/>
  <c r="I272" i="2"/>
  <c r="H272" i="2"/>
  <c r="G272" i="2"/>
  <c r="F272" i="2"/>
  <c r="E272" i="2"/>
  <c r="D272" i="2"/>
  <c r="C272" i="2"/>
  <c r="B272" i="2"/>
  <c r="A516" i="2"/>
  <c r="I516" i="2"/>
  <c r="H516" i="2"/>
  <c r="G516" i="2"/>
  <c r="F516" i="2"/>
  <c r="E516" i="2"/>
  <c r="D516" i="2"/>
  <c r="C516" i="2"/>
  <c r="B516" i="2"/>
  <c r="G32" i="2"/>
  <c r="F32" i="2"/>
  <c r="E32" i="2"/>
  <c r="D32" i="2"/>
  <c r="C32" i="2"/>
  <c r="B32" i="2"/>
  <c r="A32" i="2"/>
  <c r="I32" i="2"/>
  <c r="H32" i="2"/>
  <c r="I509" i="2"/>
  <c r="H509" i="2"/>
  <c r="G509" i="2"/>
  <c r="F509" i="2"/>
  <c r="E509" i="2"/>
  <c r="D509" i="2"/>
  <c r="C509" i="2"/>
  <c r="B509" i="2"/>
  <c r="A509" i="2"/>
  <c r="I66" i="2"/>
  <c r="H66" i="2"/>
  <c r="G66" i="2"/>
  <c r="F66" i="2"/>
  <c r="E66" i="2"/>
  <c r="D66" i="2"/>
  <c r="C66" i="2"/>
  <c r="B66" i="2"/>
  <c r="A66" i="2"/>
  <c r="H257" i="2"/>
  <c r="G257" i="2"/>
  <c r="F257" i="2"/>
  <c r="E257" i="2"/>
  <c r="D257" i="2"/>
  <c r="B257" i="2"/>
  <c r="C257" i="2"/>
  <c r="A257" i="2"/>
  <c r="I257" i="2"/>
  <c r="E277" i="2"/>
  <c r="I277" i="2"/>
  <c r="H277" i="2"/>
  <c r="G277" i="2"/>
  <c r="F277" i="2"/>
  <c r="D277" i="2"/>
  <c r="C277" i="2"/>
  <c r="B277" i="2"/>
  <c r="A277" i="2"/>
  <c r="E454" i="2"/>
  <c r="I454" i="2"/>
  <c r="H454" i="2"/>
  <c r="G454" i="2"/>
  <c r="F454" i="2"/>
  <c r="D454" i="2"/>
  <c r="C454" i="2"/>
  <c r="B454" i="2"/>
  <c r="A454" i="2"/>
  <c r="G40" i="2"/>
  <c r="F40" i="2"/>
  <c r="E40" i="2"/>
  <c r="D40" i="2"/>
  <c r="C40" i="2"/>
  <c r="B40" i="2"/>
  <c r="A40" i="2"/>
  <c r="I40" i="2"/>
  <c r="H40" i="2"/>
  <c r="I362" i="2"/>
  <c r="H362" i="2"/>
  <c r="G362" i="2"/>
  <c r="F362" i="2"/>
  <c r="E362" i="2"/>
  <c r="D362" i="2"/>
  <c r="C362" i="2"/>
  <c r="B362" i="2"/>
  <c r="A362" i="2"/>
  <c r="G23" i="2"/>
  <c r="H23" i="2"/>
  <c r="I23" i="2"/>
  <c r="F23" i="2"/>
  <c r="D23" i="2"/>
  <c r="B23" i="2"/>
  <c r="A23" i="2"/>
  <c r="E23" i="2"/>
  <c r="C23" i="2"/>
  <c r="H60" i="2"/>
  <c r="F60" i="2"/>
  <c r="G60" i="2"/>
  <c r="A60" i="2"/>
  <c r="C60" i="2"/>
  <c r="D60" i="2"/>
  <c r="B60" i="2"/>
  <c r="E60" i="2"/>
  <c r="I60" i="2"/>
  <c r="G56" i="2"/>
  <c r="F56" i="2"/>
  <c r="E56" i="2"/>
  <c r="D56" i="2"/>
  <c r="C56" i="2"/>
  <c r="B56" i="2"/>
  <c r="A56" i="2"/>
  <c r="H56" i="2"/>
  <c r="I56" i="2"/>
  <c r="H121" i="2"/>
  <c r="F121" i="2"/>
  <c r="D121" i="2"/>
  <c r="I121" i="2"/>
  <c r="C121" i="2"/>
  <c r="G121" i="2"/>
  <c r="B121" i="2"/>
  <c r="A121" i="2"/>
  <c r="E121" i="2"/>
  <c r="I79" i="2"/>
  <c r="H79" i="2"/>
  <c r="G79" i="2"/>
  <c r="F79" i="2"/>
  <c r="D79" i="2"/>
  <c r="B79" i="2"/>
  <c r="C79" i="2"/>
  <c r="E79" i="2"/>
  <c r="A79" i="2"/>
  <c r="D168" i="2"/>
  <c r="C168" i="2"/>
  <c r="B168" i="2"/>
  <c r="A168" i="2"/>
  <c r="I168" i="2"/>
  <c r="H168" i="2"/>
  <c r="G168" i="2"/>
  <c r="F168" i="2"/>
  <c r="E168" i="2"/>
  <c r="D400" i="2"/>
  <c r="C400" i="2"/>
  <c r="B400" i="2"/>
  <c r="A400" i="2"/>
  <c r="G400" i="2"/>
  <c r="F400" i="2"/>
  <c r="E400" i="2"/>
  <c r="I400" i="2"/>
  <c r="H400" i="2"/>
  <c r="I140" i="2"/>
  <c r="H140" i="2"/>
  <c r="G140" i="2"/>
  <c r="F140" i="2"/>
  <c r="E140" i="2"/>
  <c r="D140" i="2"/>
  <c r="B140" i="2"/>
  <c r="A140" i="2"/>
  <c r="C140" i="2"/>
  <c r="B405" i="2"/>
  <c r="A405" i="2"/>
  <c r="F405" i="2"/>
  <c r="I405" i="2"/>
  <c r="H405" i="2"/>
  <c r="G405" i="2"/>
  <c r="D405" i="2"/>
  <c r="C405" i="2"/>
  <c r="E405" i="2"/>
  <c r="G450" i="2"/>
  <c r="I450" i="2"/>
  <c r="H450" i="2"/>
  <c r="F450" i="2"/>
  <c r="E450" i="2"/>
  <c r="D450" i="2"/>
  <c r="B450" i="2"/>
  <c r="A450" i="2"/>
  <c r="C450" i="2"/>
  <c r="I435" i="2"/>
  <c r="E435" i="2"/>
  <c r="D435" i="2"/>
  <c r="C435" i="2"/>
  <c r="B435" i="2"/>
  <c r="A435" i="2"/>
  <c r="F435" i="2"/>
  <c r="H435" i="2"/>
  <c r="G435" i="2"/>
  <c r="I302" i="2"/>
  <c r="H302" i="2"/>
  <c r="G302" i="2"/>
  <c r="F302" i="2"/>
  <c r="E302" i="2"/>
  <c r="D302" i="2"/>
  <c r="C302" i="2"/>
  <c r="B302" i="2"/>
  <c r="A302" i="2"/>
  <c r="E333" i="2"/>
  <c r="D333" i="2"/>
  <c r="C333" i="2"/>
  <c r="B333" i="2"/>
  <c r="I333" i="2"/>
  <c r="H333" i="2"/>
  <c r="G333" i="2"/>
  <c r="F333" i="2"/>
  <c r="A333" i="2"/>
  <c r="I324" i="2"/>
  <c r="A324" i="2"/>
  <c r="H324" i="2"/>
  <c r="F324" i="2"/>
  <c r="C324" i="2"/>
  <c r="G324" i="2"/>
  <c r="E324" i="2"/>
  <c r="D324" i="2"/>
  <c r="B324" i="2"/>
  <c r="C460" i="2"/>
  <c r="B460" i="2"/>
  <c r="A460" i="2"/>
  <c r="I460" i="2"/>
  <c r="H460" i="2"/>
  <c r="G460" i="2"/>
  <c r="F460" i="2"/>
  <c r="E460" i="2"/>
  <c r="D460" i="2"/>
  <c r="A497" i="2"/>
  <c r="I497" i="2"/>
  <c r="D497" i="2"/>
  <c r="H497" i="2"/>
  <c r="G497" i="2"/>
  <c r="F497" i="2"/>
  <c r="E497" i="2"/>
  <c r="C497" i="2"/>
  <c r="B497" i="2"/>
  <c r="A481" i="2"/>
  <c r="I481" i="2"/>
  <c r="H481" i="2"/>
  <c r="G481" i="2"/>
  <c r="F481" i="2"/>
  <c r="E481" i="2"/>
  <c r="D481" i="2"/>
  <c r="C481" i="2"/>
  <c r="B481" i="2"/>
  <c r="I407" i="2"/>
  <c r="H407" i="2"/>
  <c r="G407" i="2"/>
  <c r="F407" i="2"/>
  <c r="D407" i="2"/>
  <c r="C407" i="2"/>
  <c r="E407" i="2"/>
  <c r="B407" i="2"/>
  <c r="A407" i="2"/>
  <c r="C289" i="2"/>
  <c r="B289" i="2"/>
  <c r="A289" i="2"/>
  <c r="I289" i="2"/>
  <c r="D289" i="2"/>
  <c r="E289" i="2"/>
  <c r="H289" i="2"/>
  <c r="G289" i="2"/>
  <c r="F289" i="2"/>
  <c r="D136" i="2"/>
  <c r="C136" i="2"/>
  <c r="B136" i="2"/>
  <c r="A136" i="2"/>
  <c r="I136" i="2"/>
  <c r="F136" i="2"/>
  <c r="H136" i="2"/>
  <c r="G136" i="2"/>
  <c r="E136" i="2"/>
  <c r="D160" i="2"/>
  <c r="C160" i="2"/>
  <c r="B160" i="2"/>
  <c r="A160" i="2"/>
  <c r="H160" i="2"/>
  <c r="F160" i="2"/>
  <c r="I160" i="2"/>
  <c r="G160" i="2"/>
  <c r="E160" i="2"/>
  <c r="H157" i="2"/>
  <c r="G157" i="2"/>
  <c r="F157" i="2"/>
  <c r="E157" i="2"/>
  <c r="D157" i="2"/>
  <c r="I157" i="2"/>
  <c r="C157" i="2"/>
  <c r="B157" i="2"/>
  <c r="A157" i="2"/>
  <c r="G175" i="2"/>
  <c r="F175" i="2"/>
  <c r="E175" i="2"/>
  <c r="D175" i="2"/>
  <c r="I175" i="2"/>
  <c r="H175" i="2"/>
  <c r="C175" i="2"/>
  <c r="B175" i="2"/>
  <c r="A175" i="2"/>
  <c r="C471" i="2"/>
  <c r="B471" i="2"/>
  <c r="A471" i="2"/>
  <c r="F471" i="2"/>
  <c r="I471" i="2"/>
  <c r="H471" i="2"/>
  <c r="G471" i="2"/>
  <c r="E471" i="2"/>
  <c r="D471" i="2"/>
  <c r="I148" i="2"/>
  <c r="C148" i="2"/>
  <c r="B148" i="2"/>
  <c r="A148" i="2"/>
  <c r="F148" i="2"/>
  <c r="H148" i="2"/>
  <c r="G148" i="2"/>
  <c r="E148" i="2"/>
  <c r="D148" i="2"/>
  <c r="I466" i="2"/>
  <c r="H466" i="2"/>
  <c r="G466" i="2"/>
  <c r="E466" i="2"/>
  <c r="D466" i="2"/>
  <c r="C466" i="2"/>
  <c r="B466" i="2"/>
  <c r="A466" i="2"/>
  <c r="F466" i="2"/>
  <c r="I282" i="2"/>
  <c r="H282" i="2"/>
  <c r="G282" i="2"/>
  <c r="F282" i="2"/>
  <c r="E282" i="2"/>
  <c r="D282" i="2"/>
  <c r="B282" i="2"/>
  <c r="A282" i="2"/>
  <c r="C282" i="2"/>
  <c r="E446" i="2"/>
  <c r="F446" i="2"/>
  <c r="D446" i="2"/>
  <c r="C446" i="2"/>
  <c r="B446" i="2"/>
  <c r="A446" i="2"/>
  <c r="I446" i="2"/>
  <c r="H446" i="2"/>
  <c r="G446" i="2"/>
  <c r="I323" i="2"/>
  <c r="H323" i="2"/>
  <c r="G323" i="2"/>
  <c r="F323" i="2"/>
  <c r="E323" i="2"/>
  <c r="D323" i="2"/>
  <c r="C323" i="2"/>
  <c r="B323" i="2"/>
  <c r="A323" i="2"/>
  <c r="B394" i="2"/>
  <c r="A394" i="2"/>
  <c r="I394" i="2"/>
  <c r="H394" i="2"/>
  <c r="G394" i="2"/>
  <c r="F394" i="2"/>
  <c r="E394" i="2"/>
  <c r="D394" i="2"/>
  <c r="C394" i="2"/>
  <c r="I332" i="2"/>
  <c r="H332" i="2"/>
  <c r="G332" i="2"/>
  <c r="F332" i="2"/>
  <c r="E332" i="2"/>
  <c r="D332" i="2"/>
  <c r="C332" i="2"/>
  <c r="B332" i="2"/>
  <c r="A332" i="2"/>
  <c r="E510" i="2"/>
  <c r="I510" i="2"/>
  <c r="H510" i="2"/>
  <c r="G510" i="2"/>
  <c r="F510" i="2"/>
  <c r="D510" i="2"/>
  <c r="C510" i="2"/>
  <c r="B510" i="2"/>
  <c r="A510" i="2"/>
  <c r="I508" i="2"/>
  <c r="D508" i="2"/>
  <c r="H508" i="2"/>
  <c r="B508" i="2"/>
  <c r="A508" i="2"/>
  <c r="G508" i="2"/>
  <c r="F508" i="2"/>
  <c r="E508" i="2"/>
  <c r="C508" i="2"/>
  <c r="I492" i="2"/>
  <c r="H492" i="2"/>
  <c r="G492" i="2"/>
  <c r="F492" i="2"/>
  <c r="E492" i="2"/>
  <c r="D492" i="2"/>
  <c r="C492" i="2"/>
  <c r="B492" i="2"/>
  <c r="A492" i="2"/>
  <c r="I418" i="2"/>
  <c r="H418" i="2"/>
  <c r="G418" i="2"/>
  <c r="F418" i="2"/>
  <c r="D418" i="2"/>
  <c r="C418" i="2"/>
  <c r="A418" i="2"/>
  <c r="E418" i="2"/>
  <c r="B418" i="2"/>
  <c r="B213" i="2"/>
  <c r="A213" i="2"/>
  <c r="D213" i="2"/>
  <c r="F213" i="2"/>
  <c r="E213" i="2"/>
  <c r="I213" i="2"/>
  <c r="H213" i="2"/>
  <c r="C213" i="2"/>
  <c r="G213" i="2"/>
  <c r="B88" i="2"/>
  <c r="A88" i="2"/>
  <c r="I88" i="2"/>
  <c r="H88" i="2"/>
  <c r="G88" i="2"/>
  <c r="F88" i="2"/>
  <c r="E88" i="2"/>
  <c r="D88" i="2"/>
  <c r="C88" i="2"/>
  <c r="I156" i="2"/>
  <c r="H156" i="2"/>
  <c r="F156" i="2"/>
  <c r="E156" i="2"/>
  <c r="D156" i="2"/>
  <c r="C156" i="2"/>
  <c r="B156" i="2"/>
  <c r="A156" i="2"/>
  <c r="G156" i="2"/>
  <c r="I270" i="2"/>
  <c r="H270" i="2"/>
  <c r="G270" i="2"/>
  <c r="F270" i="2"/>
  <c r="D270" i="2"/>
  <c r="C270" i="2"/>
  <c r="B270" i="2"/>
  <c r="A270" i="2"/>
  <c r="E270" i="2"/>
  <c r="E293" i="2"/>
  <c r="I293" i="2"/>
  <c r="H293" i="2"/>
  <c r="D293" i="2"/>
  <c r="B293" i="2"/>
  <c r="A293" i="2"/>
  <c r="G293" i="2"/>
  <c r="F293" i="2"/>
  <c r="C293" i="2"/>
  <c r="I252" i="2"/>
  <c r="H252" i="2"/>
  <c r="G252" i="2"/>
  <c r="E252" i="2"/>
  <c r="D252" i="2"/>
  <c r="F252" i="2"/>
  <c r="A252" i="2"/>
  <c r="B252" i="2"/>
  <c r="C252" i="2"/>
  <c r="I389" i="2"/>
  <c r="H389" i="2"/>
  <c r="G389" i="2"/>
  <c r="F389" i="2"/>
  <c r="D389" i="2"/>
  <c r="E389" i="2"/>
  <c r="C389" i="2"/>
  <c r="B389" i="2"/>
  <c r="A389" i="2"/>
  <c r="I408" i="2"/>
  <c r="H408" i="2"/>
  <c r="G408" i="2"/>
  <c r="F408" i="2"/>
  <c r="E408" i="2"/>
  <c r="D408" i="2"/>
  <c r="A408" i="2"/>
  <c r="C408" i="2"/>
  <c r="B408" i="2"/>
  <c r="I340" i="2"/>
  <c r="B340" i="2"/>
  <c r="A340" i="2"/>
  <c r="H340" i="2"/>
  <c r="G340" i="2"/>
  <c r="F340" i="2"/>
  <c r="E340" i="2"/>
  <c r="C340" i="2"/>
  <c r="D340" i="2"/>
  <c r="I515" i="2"/>
  <c r="D515" i="2"/>
  <c r="C515" i="2"/>
  <c r="F515" i="2"/>
  <c r="E515" i="2"/>
  <c r="B515" i="2"/>
  <c r="A515" i="2"/>
  <c r="H515" i="2"/>
  <c r="G515" i="2"/>
  <c r="H576" i="2"/>
  <c r="G576" i="2"/>
  <c r="F576" i="2"/>
  <c r="I576" i="2"/>
  <c r="A576" i="2"/>
  <c r="E576" i="2"/>
  <c r="D576" i="2"/>
  <c r="B576" i="2"/>
  <c r="C576" i="2"/>
  <c r="I503" i="2"/>
  <c r="H503" i="2"/>
  <c r="G503" i="2"/>
  <c r="F503" i="2"/>
  <c r="E503" i="2"/>
  <c r="D503" i="2"/>
  <c r="C503" i="2"/>
  <c r="B503" i="2"/>
  <c r="A503" i="2"/>
  <c r="I429" i="2"/>
  <c r="H429" i="2"/>
  <c r="G429" i="2"/>
  <c r="F429" i="2"/>
  <c r="D429" i="2"/>
  <c r="C429" i="2"/>
  <c r="E429" i="2"/>
  <c r="B429" i="2"/>
  <c r="A429" i="2"/>
  <c r="A103" i="2"/>
  <c r="B103" i="2"/>
  <c r="D103" i="2"/>
  <c r="E103" i="2"/>
  <c r="C103" i="2"/>
  <c r="I103" i="2"/>
  <c r="H103" i="2"/>
  <c r="F103" i="2"/>
  <c r="G103" i="2"/>
  <c r="A280" i="2"/>
  <c r="I280" i="2"/>
  <c r="H280" i="2"/>
  <c r="G280" i="2"/>
  <c r="F280" i="2"/>
  <c r="E280" i="2"/>
  <c r="D280" i="2"/>
  <c r="C280" i="2"/>
  <c r="B280" i="2"/>
  <c r="H29" i="2"/>
  <c r="I29" i="2"/>
  <c r="G29" i="2"/>
  <c r="F29" i="2"/>
  <c r="E29" i="2"/>
  <c r="D29" i="2"/>
  <c r="C29" i="2"/>
  <c r="B29" i="2"/>
  <c r="A29" i="2"/>
  <c r="I452" i="2"/>
  <c r="H452" i="2"/>
  <c r="G452" i="2"/>
  <c r="F452" i="2"/>
  <c r="E452" i="2"/>
  <c r="D452" i="2"/>
  <c r="C452" i="2"/>
  <c r="B452" i="2"/>
  <c r="A452" i="2"/>
  <c r="E349" i="2"/>
  <c r="D349" i="2"/>
  <c r="C349" i="2"/>
  <c r="B349" i="2"/>
  <c r="A349" i="2"/>
  <c r="I349" i="2"/>
  <c r="H349" i="2"/>
  <c r="G349" i="2"/>
  <c r="F349" i="2"/>
  <c r="D34" i="2"/>
  <c r="I34" i="2"/>
  <c r="H34" i="2"/>
  <c r="G34" i="2"/>
  <c r="F34" i="2"/>
  <c r="E34" i="2"/>
  <c r="C34" i="2"/>
  <c r="B34" i="2"/>
  <c r="A34" i="2"/>
  <c r="G350" i="2"/>
  <c r="F350" i="2"/>
  <c r="E350" i="2"/>
  <c r="D350" i="2"/>
  <c r="C350" i="2"/>
  <c r="B350" i="2"/>
  <c r="A350" i="2"/>
  <c r="I350" i="2"/>
  <c r="H350" i="2"/>
  <c r="E566" i="2"/>
  <c r="B566" i="2"/>
  <c r="A566" i="2"/>
  <c r="I566" i="2"/>
  <c r="H566" i="2"/>
  <c r="G566" i="2"/>
  <c r="F566" i="2"/>
  <c r="D566" i="2"/>
  <c r="C566" i="2"/>
  <c r="I445" i="2"/>
  <c r="H445" i="2"/>
  <c r="G445" i="2"/>
  <c r="F445" i="2"/>
  <c r="E445" i="2"/>
  <c r="D445" i="2"/>
  <c r="C445" i="2"/>
  <c r="B445" i="2"/>
  <c r="A445" i="2"/>
  <c r="I499" i="2"/>
  <c r="H499" i="2"/>
  <c r="G499" i="2"/>
  <c r="F499" i="2"/>
  <c r="C499" i="2"/>
  <c r="E499" i="2"/>
  <c r="D499" i="2"/>
  <c r="B499" i="2"/>
  <c r="A499" i="2"/>
  <c r="I58" i="2"/>
  <c r="H58" i="2"/>
  <c r="G58" i="2"/>
  <c r="F58" i="2"/>
  <c r="E58" i="2"/>
  <c r="D58" i="2"/>
  <c r="C58" i="2"/>
  <c r="B58" i="2"/>
  <c r="A58" i="2"/>
  <c r="E317" i="2"/>
  <c r="I317" i="2"/>
  <c r="H317" i="2"/>
  <c r="G317" i="2"/>
  <c r="F317" i="2"/>
  <c r="D317" i="2"/>
  <c r="C317" i="2"/>
  <c r="B317" i="2"/>
  <c r="A317" i="2"/>
  <c r="F202" i="2"/>
  <c r="E202" i="2"/>
  <c r="D202" i="2"/>
  <c r="C202" i="2"/>
  <c r="B202" i="2"/>
  <c r="A202" i="2"/>
  <c r="I202" i="2"/>
  <c r="H202" i="2"/>
  <c r="G202" i="2"/>
  <c r="E285" i="2"/>
  <c r="I285" i="2"/>
  <c r="H285" i="2"/>
  <c r="G285" i="2"/>
  <c r="F285" i="2"/>
  <c r="D285" i="2"/>
  <c r="A285" i="2"/>
  <c r="C285" i="2"/>
  <c r="B285" i="2"/>
  <c r="I368" i="2"/>
  <c r="H368" i="2"/>
  <c r="F368" i="2"/>
  <c r="E368" i="2"/>
  <c r="D368" i="2"/>
  <c r="C368" i="2"/>
  <c r="G368" i="2"/>
  <c r="B368" i="2"/>
  <c r="A368" i="2"/>
  <c r="D599" i="2"/>
  <c r="C599" i="2"/>
  <c r="A599" i="2"/>
  <c r="I599" i="2"/>
  <c r="H599" i="2"/>
  <c r="G599" i="2"/>
  <c r="F599" i="2"/>
  <c r="E599" i="2"/>
  <c r="B599" i="2"/>
  <c r="I498" i="2"/>
  <c r="H498" i="2"/>
  <c r="G498" i="2"/>
  <c r="F498" i="2"/>
  <c r="E498" i="2"/>
  <c r="D498" i="2"/>
  <c r="C498" i="2"/>
  <c r="B498" i="2"/>
  <c r="A498" i="2"/>
  <c r="A385" i="2"/>
  <c r="I385" i="2"/>
  <c r="D385" i="2"/>
  <c r="C385" i="2"/>
  <c r="H385" i="2"/>
  <c r="G385" i="2"/>
  <c r="F385" i="2"/>
  <c r="E385" i="2"/>
  <c r="B385" i="2"/>
  <c r="G373" i="2"/>
  <c r="F373" i="2"/>
  <c r="E373" i="2"/>
  <c r="D373" i="2"/>
  <c r="C373" i="2"/>
  <c r="B373" i="2"/>
  <c r="A373" i="2"/>
  <c r="I373" i="2"/>
  <c r="H373" i="2"/>
  <c r="E486" i="2"/>
  <c r="C486" i="2"/>
  <c r="I486" i="2"/>
  <c r="F486" i="2"/>
  <c r="H486" i="2"/>
  <c r="G486" i="2"/>
  <c r="D486" i="2"/>
  <c r="B486" i="2"/>
  <c r="A486" i="2"/>
  <c r="G167" i="2"/>
  <c r="F167" i="2"/>
  <c r="E167" i="2"/>
  <c r="D167" i="2"/>
  <c r="H167" i="2"/>
  <c r="B167" i="2"/>
  <c r="I167" i="2"/>
  <c r="C167" i="2"/>
  <c r="A167" i="2"/>
  <c r="I182" i="2"/>
  <c r="H182" i="2"/>
  <c r="G182" i="2"/>
  <c r="F182" i="2"/>
  <c r="D182" i="2"/>
  <c r="B182" i="2"/>
  <c r="E182" i="2"/>
  <c r="A182" i="2"/>
  <c r="C182" i="2"/>
  <c r="D187" i="2"/>
  <c r="C187" i="2"/>
  <c r="B187" i="2"/>
  <c r="A187" i="2"/>
  <c r="I187" i="2"/>
  <c r="H187" i="2"/>
  <c r="G187" i="2"/>
  <c r="F187" i="2"/>
  <c r="E187" i="2"/>
  <c r="F210" i="2"/>
  <c r="E210" i="2"/>
  <c r="D210" i="2"/>
  <c r="C210" i="2"/>
  <c r="B210" i="2"/>
  <c r="A210" i="2"/>
  <c r="I210" i="2"/>
  <c r="H210" i="2"/>
  <c r="G210" i="2"/>
  <c r="I90" i="2"/>
  <c r="H90" i="2"/>
  <c r="G90" i="2"/>
  <c r="F90" i="2"/>
  <c r="E90" i="2"/>
  <c r="C90" i="2"/>
  <c r="A90" i="2"/>
  <c r="D90" i="2"/>
  <c r="B90" i="2"/>
  <c r="E360" i="2"/>
  <c r="D360" i="2"/>
  <c r="C360" i="2"/>
  <c r="B360" i="2"/>
  <c r="A360" i="2"/>
  <c r="I360" i="2"/>
  <c r="F360" i="2"/>
  <c r="H360" i="2"/>
  <c r="G360" i="2"/>
  <c r="B384" i="2"/>
  <c r="A384" i="2"/>
  <c r="I384" i="2"/>
  <c r="H384" i="2"/>
  <c r="G384" i="2"/>
  <c r="F384" i="2"/>
  <c r="E384" i="2"/>
  <c r="D384" i="2"/>
  <c r="C384" i="2"/>
  <c r="C482" i="2"/>
  <c r="B482" i="2"/>
  <c r="A482" i="2"/>
  <c r="I482" i="2"/>
  <c r="H482" i="2"/>
  <c r="G482" i="2"/>
  <c r="F482" i="2"/>
  <c r="E482" i="2"/>
  <c r="D482" i="2"/>
  <c r="F436" i="2"/>
  <c r="E436" i="2"/>
  <c r="D436" i="2"/>
  <c r="C436" i="2"/>
  <c r="B436" i="2"/>
  <c r="A436" i="2"/>
  <c r="I436" i="2"/>
  <c r="H436" i="2"/>
  <c r="G436" i="2"/>
  <c r="A359" i="2"/>
  <c r="I359" i="2"/>
  <c r="H359" i="2"/>
  <c r="G359" i="2"/>
  <c r="F359" i="2"/>
  <c r="C359" i="2"/>
  <c r="D359" i="2"/>
  <c r="E359" i="2"/>
  <c r="B359" i="2"/>
  <c r="F374" i="2"/>
  <c r="I374" i="2"/>
  <c r="H374" i="2"/>
  <c r="G374" i="2"/>
  <c r="D374" i="2"/>
  <c r="C374" i="2"/>
  <c r="B374" i="2"/>
  <c r="A374" i="2"/>
  <c r="E374" i="2"/>
  <c r="I591" i="2"/>
  <c r="D591" i="2"/>
  <c r="C591" i="2"/>
  <c r="H591" i="2"/>
  <c r="G591" i="2"/>
  <c r="F591" i="2"/>
  <c r="A591" i="2"/>
  <c r="E591" i="2"/>
  <c r="B591" i="2"/>
  <c r="H520" i="2"/>
  <c r="G520" i="2"/>
  <c r="F520" i="2"/>
  <c r="I520" i="2"/>
  <c r="E520" i="2"/>
  <c r="D520" i="2"/>
  <c r="C520" i="2"/>
  <c r="B520" i="2"/>
  <c r="A520" i="2"/>
  <c r="H568" i="2"/>
  <c r="G568" i="2"/>
  <c r="F568" i="2"/>
  <c r="I568" i="2"/>
  <c r="E568" i="2"/>
  <c r="D568" i="2"/>
  <c r="C568" i="2"/>
  <c r="B568" i="2"/>
  <c r="A568" i="2"/>
  <c r="C75" i="2"/>
  <c r="B75" i="2"/>
  <c r="A75" i="2"/>
  <c r="F75" i="2"/>
  <c r="D75" i="2"/>
  <c r="E75" i="2"/>
  <c r="I75" i="2"/>
  <c r="H75" i="2"/>
  <c r="G75" i="2"/>
  <c r="A381" i="2"/>
  <c r="H381" i="2"/>
  <c r="G381" i="2"/>
  <c r="F381" i="2"/>
  <c r="E381" i="2"/>
  <c r="D381" i="2"/>
  <c r="C381" i="2"/>
  <c r="B381" i="2"/>
  <c r="I381" i="2"/>
  <c r="B383" i="2"/>
  <c r="A383" i="2"/>
  <c r="I383" i="2"/>
  <c r="G383" i="2"/>
  <c r="F383" i="2"/>
  <c r="E383" i="2"/>
  <c r="D383" i="2"/>
  <c r="H383" i="2"/>
  <c r="C383" i="2"/>
  <c r="C278" i="2"/>
  <c r="B278" i="2"/>
  <c r="A278" i="2"/>
  <c r="H278" i="2"/>
  <c r="G278" i="2"/>
  <c r="F278" i="2"/>
  <c r="E278" i="2"/>
  <c r="D278" i="2"/>
  <c r="I278" i="2"/>
  <c r="D604" i="2"/>
  <c r="C604" i="2"/>
  <c r="B604" i="2"/>
  <c r="A604" i="2"/>
  <c r="F604" i="2"/>
  <c r="I604" i="2"/>
  <c r="H604" i="2"/>
  <c r="G604" i="2"/>
  <c r="E604" i="2"/>
  <c r="I248" i="2"/>
  <c r="H248" i="2"/>
  <c r="G248" i="2"/>
  <c r="F248" i="2"/>
  <c r="E248" i="2"/>
  <c r="D248" i="2"/>
  <c r="C248" i="2"/>
  <c r="A248" i="2"/>
  <c r="B248" i="2"/>
  <c r="I463" i="2"/>
  <c r="H463" i="2"/>
  <c r="C463" i="2"/>
  <c r="G463" i="2"/>
  <c r="F463" i="2"/>
  <c r="E463" i="2"/>
  <c r="D463" i="2"/>
  <c r="B463" i="2"/>
  <c r="A463" i="2"/>
  <c r="A449" i="2"/>
  <c r="C449" i="2"/>
  <c r="B449" i="2"/>
  <c r="I449" i="2"/>
  <c r="H449" i="2"/>
  <c r="G449" i="2"/>
  <c r="F449" i="2"/>
  <c r="E449" i="2"/>
  <c r="D449" i="2"/>
  <c r="I496" i="2"/>
  <c r="H496" i="2"/>
  <c r="C496" i="2"/>
  <c r="E496" i="2"/>
  <c r="G496" i="2"/>
  <c r="F496" i="2"/>
  <c r="D496" i="2"/>
  <c r="B496" i="2"/>
  <c r="A496" i="2"/>
  <c r="F358" i="2"/>
  <c r="B358" i="2"/>
  <c r="A358" i="2"/>
  <c r="I358" i="2"/>
  <c r="H358" i="2"/>
  <c r="G358" i="2"/>
  <c r="E358" i="2"/>
  <c r="D358" i="2"/>
  <c r="C358" i="2"/>
  <c r="H528" i="2"/>
  <c r="G528" i="2"/>
  <c r="F528" i="2"/>
  <c r="E528" i="2"/>
  <c r="I528" i="2"/>
  <c r="D528" i="2"/>
  <c r="C528" i="2"/>
  <c r="B528" i="2"/>
  <c r="A528" i="2"/>
  <c r="H36" i="2"/>
  <c r="F36" i="2"/>
  <c r="A36" i="2"/>
  <c r="G36" i="2"/>
  <c r="I36" i="2"/>
  <c r="E36" i="2"/>
  <c r="D36" i="2"/>
  <c r="B36" i="2"/>
  <c r="C36" i="2"/>
  <c r="E391" i="2"/>
  <c r="D391" i="2"/>
  <c r="C391" i="2"/>
  <c r="I391" i="2"/>
  <c r="G391" i="2"/>
  <c r="F391" i="2"/>
  <c r="B391" i="2"/>
  <c r="A391" i="2"/>
  <c r="H391" i="2"/>
  <c r="I339" i="2"/>
  <c r="H339" i="2"/>
  <c r="G339" i="2"/>
  <c r="F339" i="2"/>
  <c r="E339" i="2"/>
  <c r="D339" i="2"/>
  <c r="C339" i="2"/>
  <c r="B339" i="2"/>
  <c r="A339" i="2"/>
  <c r="B416" i="2"/>
  <c r="A416" i="2"/>
  <c r="I416" i="2"/>
  <c r="H416" i="2"/>
  <c r="G416" i="2"/>
  <c r="F416" i="2"/>
  <c r="E416" i="2"/>
  <c r="D416" i="2"/>
  <c r="C416" i="2"/>
  <c r="I456" i="2"/>
  <c r="H456" i="2"/>
  <c r="G456" i="2"/>
  <c r="F456" i="2"/>
  <c r="E456" i="2"/>
  <c r="D456" i="2"/>
  <c r="C456" i="2"/>
  <c r="B456" i="2"/>
  <c r="A456" i="2"/>
  <c r="I139" i="2"/>
  <c r="H139" i="2"/>
  <c r="G139" i="2"/>
  <c r="F139" i="2"/>
  <c r="E139" i="2"/>
  <c r="D139" i="2"/>
  <c r="C139" i="2"/>
  <c r="B139" i="2"/>
  <c r="A139" i="2"/>
  <c r="H68" i="2"/>
  <c r="F68" i="2"/>
  <c r="A68" i="2"/>
  <c r="I68" i="2"/>
  <c r="G68" i="2"/>
  <c r="D68" i="2"/>
  <c r="B68" i="2"/>
  <c r="C68" i="2"/>
  <c r="E68" i="2"/>
  <c r="B205" i="2"/>
  <c r="A205" i="2"/>
  <c r="I205" i="2"/>
  <c r="H205" i="2"/>
  <c r="E205" i="2"/>
  <c r="D205" i="2"/>
  <c r="C205" i="2"/>
  <c r="G205" i="2"/>
  <c r="F205" i="2"/>
  <c r="E594" i="2"/>
  <c r="D594" i="2"/>
  <c r="C594" i="2"/>
  <c r="B594" i="2"/>
  <c r="A594" i="2"/>
  <c r="I594" i="2"/>
  <c r="F594" i="2"/>
  <c r="H594" i="2"/>
  <c r="G594" i="2"/>
  <c r="A123" i="2"/>
  <c r="B123" i="2"/>
  <c r="I123" i="2"/>
  <c r="H123" i="2"/>
  <c r="G123" i="2"/>
  <c r="F123" i="2"/>
  <c r="E123" i="2"/>
  <c r="D123" i="2"/>
  <c r="C123" i="2"/>
  <c r="I308" i="2"/>
  <c r="H308" i="2"/>
  <c r="G308" i="2"/>
  <c r="F308" i="2"/>
  <c r="E308" i="2"/>
  <c r="D308" i="2"/>
  <c r="C308" i="2"/>
  <c r="B308" i="2"/>
  <c r="A308" i="2"/>
  <c r="I105" i="2"/>
  <c r="H105" i="2"/>
  <c r="G105" i="2"/>
  <c r="F105" i="2"/>
  <c r="E105" i="2"/>
  <c r="D105" i="2"/>
  <c r="C105" i="2"/>
  <c r="B105" i="2"/>
  <c r="A105" i="2"/>
  <c r="I263" i="2"/>
  <c r="H263" i="2"/>
  <c r="G263" i="2"/>
  <c r="F263" i="2"/>
  <c r="E263" i="2"/>
  <c r="A263" i="2"/>
  <c r="D263" i="2"/>
  <c r="C263" i="2"/>
  <c r="B263" i="2"/>
  <c r="E422" i="2"/>
  <c r="G422" i="2"/>
  <c r="F422" i="2"/>
  <c r="H422" i="2"/>
  <c r="I422" i="2"/>
  <c r="C422" i="2"/>
  <c r="D422" i="2"/>
  <c r="B422" i="2"/>
  <c r="A422" i="2"/>
  <c r="I185" i="2"/>
  <c r="H185" i="2"/>
  <c r="G185" i="2"/>
  <c r="F185" i="2"/>
  <c r="E185" i="2"/>
  <c r="D185" i="2"/>
  <c r="C185" i="2"/>
  <c r="B185" i="2"/>
  <c r="A185" i="2"/>
  <c r="F186" i="2"/>
  <c r="B186" i="2"/>
  <c r="G186" i="2"/>
  <c r="E186" i="2"/>
  <c r="D186" i="2"/>
  <c r="C186" i="2"/>
  <c r="A186" i="2"/>
  <c r="H186" i="2"/>
  <c r="I186" i="2"/>
  <c r="I387" i="2"/>
  <c r="C387" i="2"/>
  <c r="B387" i="2"/>
  <c r="A387" i="2"/>
  <c r="H387" i="2"/>
  <c r="G387" i="2"/>
  <c r="F387" i="2"/>
  <c r="E387" i="2"/>
  <c r="D387" i="2"/>
  <c r="B206" i="2"/>
  <c r="A206" i="2"/>
  <c r="I206" i="2"/>
  <c r="H206" i="2"/>
  <c r="G206" i="2"/>
  <c r="F206" i="2"/>
  <c r="E206" i="2"/>
  <c r="D206" i="2"/>
  <c r="C206" i="2"/>
  <c r="I172" i="2"/>
  <c r="H172" i="2"/>
  <c r="F172" i="2"/>
  <c r="E172" i="2"/>
  <c r="D172" i="2"/>
  <c r="C172" i="2"/>
  <c r="B172" i="2"/>
  <c r="A172" i="2"/>
  <c r="G172" i="2"/>
  <c r="I98" i="2"/>
  <c r="G98" i="2"/>
  <c r="D98" i="2"/>
  <c r="B98" i="2"/>
  <c r="A98" i="2"/>
  <c r="E98" i="2"/>
  <c r="H98" i="2"/>
  <c r="C98" i="2"/>
  <c r="F98" i="2"/>
  <c r="I439" i="2"/>
  <c r="F439" i="2"/>
  <c r="G439" i="2"/>
  <c r="H439" i="2"/>
  <c r="E439" i="2"/>
  <c r="D439" i="2"/>
  <c r="C439" i="2"/>
  <c r="B439" i="2"/>
  <c r="A439" i="2"/>
  <c r="H552" i="2"/>
  <c r="G552" i="2"/>
  <c r="F552" i="2"/>
  <c r="C552" i="2"/>
  <c r="I552" i="2"/>
  <c r="E552" i="2"/>
  <c r="D552" i="2"/>
  <c r="B552" i="2"/>
  <c r="A552" i="2"/>
  <c r="E494" i="2"/>
  <c r="G494" i="2"/>
  <c r="I494" i="2"/>
  <c r="H494" i="2"/>
  <c r="F494" i="2"/>
  <c r="D494" i="2"/>
  <c r="C494" i="2"/>
  <c r="B494" i="2"/>
  <c r="A494" i="2"/>
  <c r="I458" i="2"/>
  <c r="H458" i="2"/>
  <c r="G458" i="2"/>
  <c r="F458" i="2"/>
  <c r="E458" i="2"/>
  <c r="D458" i="2"/>
  <c r="C458" i="2"/>
  <c r="B458" i="2"/>
  <c r="A458" i="2"/>
  <c r="I488" i="2"/>
  <c r="H488" i="2"/>
  <c r="G488" i="2"/>
  <c r="F488" i="2"/>
  <c r="E488" i="2"/>
  <c r="D488" i="2"/>
  <c r="C488" i="2"/>
  <c r="B488" i="2"/>
  <c r="A488" i="2"/>
  <c r="E406" i="2"/>
  <c r="I406" i="2"/>
  <c r="H406" i="2"/>
  <c r="G406" i="2"/>
  <c r="F406" i="2"/>
  <c r="D406" i="2"/>
  <c r="C406" i="2"/>
  <c r="B406" i="2"/>
  <c r="A406" i="2"/>
  <c r="B453" i="2"/>
  <c r="A453" i="2"/>
  <c r="F453" i="2"/>
  <c r="E453" i="2"/>
  <c r="D453" i="2"/>
  <c r="C453" i="2"/>
  <c r="I453" i="2"/>
  <c r="H453" i="2"/>
  <c r="G453" i="2"/>
  <c r="I404" i="2"/>
  <c r="G404" i="2"/>
  <c r="F404" i="2"/>
  <c r="H404" i="2"/>
  <c r="E404" i="2"/>
  <c r="D404" i="2"/>
  <c r="C404" i="2"/>
  <c r="B404" i="2"/>
  <c r="A404" i="2"/>
  <c r="I559" i="2"/>
  <c r="H559" i="2"/>
  <c r="G559" i="2"/>
  <c r="F559" i="2"/>
  <c r="E559" i="2"/>
  <c r="D559" i="2"/>
  <c r="C559" i="2"/>
  <c r="B559" i="2"/>
  <c r="A559" i="2"/>
  <c r="C43" i="2"/>
  <c r="B43" i="2"/>
  <c r="A43" i="2"/>
  <c r="D43" i="2"/>
  <c r="F43" i="2"/>
  <c r="I43" i="2"/>
  <c r="H43" i="2"/>
  <c r="E43" i="2"/>
  <c r="G43" i="2"/>
  <c r="B100" i="2"/>
  <c r="A100" i="2"/>
  <c r="C100" i="2"/>
  <c r="I100" i="2"/>
  <c r="H100" i="2"/>
  <c r="G100" i="2"/>
  <c r="F100" i="2"/>
  <c r="E100" i="2"/>
  <c r="D100" i="2"/>
  <c r="D190" i="2"/>
  <c r="C190" i="2"/>
  <c r="B190" i="2"/>
  <c r="A190" i="2"/>
  <c r="I190" i="2"/>
  <c r="G190" i="2"/>
  <c r="F190" i="2"/>
  <c r="E190" i="2"/>
  <c r="H190" i="2"/>
  <c r="G159" i="2"/>
  <c r="F159" i="2"/>
  <c r="E159" i="2"/>
  <c r="D159" i="2"/>
  <c r="B159" i="2"/>
  <c r="C159" i="2"/>
  <c r="H159" i="2"/>
  <c r="I159" i="2"/>
  <c r="A159" i="2"/>
  <c r="I291" i="2"/>
  <c r="H291" i="2"/>
  <c r="G291" i="2"/>
  <c r="F291" i="2"/>
  <c r="E291" i="2"/>
  <c r="D291" i="2"/>
  <c r="C291" i="2"/>
  <c r="B291" i="2"/>
  <c r="A291" i="2"/>
  <c r="F22" i="2"/>
  <c r="E22" i="2"/>
  <c r="D22" i="2"/>
  <c r="C22" i="2"/>
  <c r="B22" i="2"/>
  <c r="A22" i="2"/>
  <c r="G22" i="2"/>
  <c r="H22" i="2"/>
  <c r="I22" i="2"/>
  <c r="F46" i="2"/>
  <c r="E46" i="2"/>
  <c r="C46" i="2"/>
  <c r="H46" i="2"/>
  <c r="D46" i="2"/>
  <c r="I46" i="2"/>
  <c r="G46" i="2"/>
  <c r="A46" i="2"/>
  <c r="B46" i="2"/>
  <c r="I578" i="2"/>
  <c r="H578" i="2"/>
  <c r="G578" i="2"/>
  <c r="F578" i="2"/>
  <c r="E578" i="2"/>
  <c r="D578" i="2"/>
  <c r="C578" i="2"/>
  <c r="B578" i="2"/>
  <c r="A578" i="2"/>
  <c r="I47" i="2"/>
  <c r="H47" i="2"/>
  <c r="G47" i="2"/>
  <c r="F47" i="2"/>
  <c r="D47" i="2"/>
  <c r="B47" i="2"/>
  <c r="C47" i="2"/>
  <c r="E47" i="2"/>
  <c r="A47" i="2"/>
  <c r="E588" i="2"/>
  <c r="I588" i="2"/>
  <c r="H588" i="2"/>
  <c r="G588" i="2"/>
  <c r="F588" i="2"/>
  <c r="D588" i="2"/>
  <c r="C588" i="2"/>
  <c r="B588" i="2"/>
  <c r="A588" i="2"/>
  <c r="I63" i="2"/>
  <c r="H63" i="2"/>
  <c r="G63" i="2"/>
  <c r="F63" i="2"/>
  <c r="D63" i="2"/>
  <c r="B63" i="2"/>
  <c r="C63" i="2"/>
  <c r="A63" i="2"/>
  <c r="E63" i="2"/>
  <c r="I99" i="2"/>
  <c r="H99" i="2"/>
  <c r="G99" i="2"/>
  <c r="F99" i="2"/>
  <c r="E99" i="2"/>
  <c r="D99" i="2"/>
  <c r="C99" i="2"/>
  <c r="B99" i="2"/>
  <c r="A99" i="2"/>
  <c r="I318" i="2"/>
  <c r="H318" i="2"/>
  <c r="G318" i="2"/>
  <c r="F318" i="2"/>
  <c r="E318" i="2"/>
  <c r="D318" i="2"/>
  <c r="C318" i="2"/>
  <c r="B318" i="2"/>
  <c r="A318" i="2"/>
  <c r="I180" i="2"/>
  <c r="H180" i="2"/>
  <c r="G180" i="2"/>
  <c r="E180" i="2"/>
  <c r="F180" i="2"/>
  <c r="D180" i="2"/>
  <c r="C180" i="2"/>
  <c r="B180" i="2"/>
  <c r="A180" i="2"/>
  <c r="F30" i="2"/>
  <c r="H30" i="2"/>
  <c r="I30" i="2"/>
  <c r="G30" i="2"/>
  <c r="E30" i="2"/>
  <c r="D30" i="2"/>
  <c r="C30" i="2"/>
  <c r="B30" i="2"/>
  <c r="A30" i="2"/>
  <c r="G287" i="2"/>
  <c r="F287" i="2"/>
  <c r="E287" i="2"/>
  <c r="D287" i="2"/>
  <c r="C287" i="2"/>
  <c r="B287" i="2"/>
  <c r="A287" i="2"/>
  <c r="I287" i="2"/>
  <c r="H287" i="2"/>
  <c r="I330" i="2"/>
  <c r="H330" i="2"/>
  <c r="G330" i="2"/>
  <c r="D330" i="2"/>
  <c r="B330" i="2"/>
  <c r="A330" i="2"/>
  <c r="E330" i="2"/>
  <c r="C330" i="2"/>
  <c r="F330" i="2"/>
  <c r="B548" i="2"/>
  <c r="A548" i="2"/>
  <c r="C548" i="2"/>
  <c r="F548" i="2"/>
  <c r="E548" i="2"/>
  <c r="D548" i="2"/>
  <c r="I548" i="2"/>
  <c r="H548" i="2"/>
  <c r="G548" i="2"/>
  <c r="I116" i="2"/>
  <c r="H116" i="2"/>
  <c r="G116" i="2"/>
  <c r="F116" i="2"/>
  <c r="E116" i="2"/>
  <c r="D116" i="2"/>
  <c r="C116" i="2"/>
  <c r="B116" i="2"/>
  <c r="A116" i="2"/>
  <c r="E301" i="2"/>
  <c r="H301" i="2"/>
  <c r="G301" i="2"/>
  <c r="F301" i="2"/>
  <c r="D301" i="2"/>
  <c r="C301" i="2"/>
  <c r="B301" i="2"/>
  <c r="A301" i="2"/>
  <c r="I301" i="2"/>
  <c r="I201" i="2"/>
  <c r="H201" i="2"/>
  <c r="G201" i="2"/>
  <c r="E201" i="2"/>
  <c r="F201" i="2"/>
  <c r="D201" i="2"/>
  <c r="C201" i="2"/>
  <c r="B201" i="2"/>
  <c r="A201" i="2"/>
  <c r="I106" i="2"/>
  <c r="A106" i="2"/>
  <c r="H106" i="2"/>
  <c r="E106" i="2"/>
  <c r="F106" i="2"/>
  <c r="G106" i="2"/>
  <c r="D106" i="2"/>
  <c r="B106" i="2"/>
  <c r="C106" i="2"/>
  <c r="E209" i="2"/>
  <c r="D209" i="2"/>
  <c r="C209" i="2"/>
  <c r="B209" i="2"/>
  <c r="A209" i="2"/>
  <c r="I209" i="2"/>
  <c r="G209" i="2"/>
  <c r="H209" i="2"/>
  <c r="F209" i="2"/>
  <c r="F602" i="2"/>
  <c r="E602" i="2"/>
  <c r="C602" i="2"/>
  <c r="G602" i="2"/>
  <c r="I602" i="2"/>
  <c r="H602" i="2"/>
  <c r="D602" i="2"/>
  <c r="B602" i="2"/>
  <c r="A602" i="2"/>
  <c r="A513" i="2"/>
  <c r="F513" i="2"/>
  <c r="I513" i="2"/>
  <c r="H513" i="2"/>
  <c r="G513" i="2"/>
  <c r="E513" i="2"/>
  <c r="D513" i="2"/>
  <c r="C513" i="2"/>
  <c r="B513" i="2"/>
  <c r="C504" i="2"/>
  <c r="B504" i="2"/>
  <c r="A504" i="2"/>
  <c r="H504" i="2"/>
  <c r="G504" i="2"/>
  <c r="F504" i="2"/>
  <c r="E504" i="2"/>
  <c r="D504" i="2"/>
  <c r="I504" i="2"/>
  <c r="A505" i="2"/>
  <c r="G505" i="2"/>
  <c r="I505" i="2"/>
  <c r="H505" i="2"/>
  <c r="F505" i="2"/>
  <c r="E505" i="2"/>
  <c r="D505" i="2"/>
  <c r="B505" i="2"/>
  <c r="C505" i="2"/>
  <c r="F472" i="2"/>
  <c r="I472" i="2"/>
  <c r="H472" i="2"/>
  <c r="G472" i="2"/>
  <c r="E472" i="2"/>
  <c r="D472" i="2"/>
  <c r="C472" i="2"/>
  <c r="B472" i="2"/>
  <c r="A472" i="2"/>
  <c r="I464" i="2"/>
  <c r="C464" i="2"/>
  <c r="H464" i="2"/>
  <c r="G464" i="2"/>
  <c r="F464" i="2"/>
  <c r="E464" i="2"/>
  <c r="D464" i="2"/>
  <c r="B464" i="2"/>
  <c r="A464" i="2"/>
  <c r="I415" i="2"/>
  <c r="G415" i="2"/>
  <c r="F415" i="2"/>
  <c r="B415" i="2"/>
  <c r="A415" i="2"/>
  <c r="H415" i="2"/>
  <c r="D415" i="2"/>
  <c r="E415" i="2"/>
  <c r="C415" i="2"/>
  <c r="I562" i="2"/>
  <c r="H562" i="2"/>
  <c r="G562" i="2"/>
  <c r="F562" i="2"/>
  <c r="E562" i="2"/>
  <c r="D562" i="2"/>
  <c r="C562" i="2"/>
  <c r="B562" i="2"/>
  <c r="A562" i="2"/>
  <c r="G24" i="2"/>
  <c r="F24" i="2"/>
  <c r="E24" i="2"/>
  <c r="D24" i="2"/>
  <c r="C24" i="2"/>
  <c r="B24" i="2"/>
  <c r="A24" i="2"/>
  <c r="H24" i="2"/>
  <c r="I24" i="2"/>
  <c r="H81" i="2"/>
  <c r="G81" i="2"/>
  <c r="F81" i="2"/>
  <c r="E81" i="2"/>
  <c r="D81" i="2"/>
  <c r="C81" i="2"/>
  <c r="B81" i="2"/>
  <c r="A81" i="2"/>
  <c r="I81" i="2"/>
  <c r="I589" i="2"/>
  <c r="H589" i="2"/>
  <c r="G589" i="2"/>
  <c r="F589" i="2"/>
  <c r="E589" i="2"/>
  <c r="D589" i="2"/>
  <c r="C589" i="2"/>
  <c r="B589" i="2"/>
  <c r="A589" i="2"/>
  <c r="A264" i="2"/>
  <c r="F264" i="2"/>
  <c r="E264" i="2"/>
  <c r="D264" i="2"/>
  <c r="C264" i="2"/>
  <c r="B264" i="2"/>
  <c r="I264" i="2"/>
  <c r="H264" i="2"/>
  <c r="G264" i="2"/>
  <c r="I455" i="2"/>
  <c r="H455" i="2"/>
  <c r="C455" i="2"/>
  <c r="G455" i="2"/>
  <c r="D455" i="2"/>
  <c r="F455" i="2"/>
  <c r="E455" i="2"/>
  <c r="B455" i="2"/>
  <c r="A455" i="2"/>
  <c r="I61" i="2"/>
  <c r="H61" i="2"/>
  <c r="G61" i="2"/>
  <c r="F61" i="2"/>
  <c r="E61" i="2"/>
  <c r="D61" i="2"/>
  <c r="C61" i="2"/>
  <c r="B61" i="2"/>
  <c r="A61" i="2"/>
  <c r="I487" i="2"/>
  <c r="H487" i="2"/>
  <c r="G487" i="2"/>
  <c r="F487" i="2"/>
  <c r="E487" i="2"/>
  <c r="D487" i="2"/>
  <c r="C487" i="2"/>
  <c r="B487" i="2"/>
  <c r="A487" i="2"/>
  <c r="I392" i="2"/>
  <c r="H392" i="2"/>
  <c r="F392" i="2"/>
  <c r="D392" i="2"/>
  <c r="E392" i="2"/>
  <c r="C392" i="2"/>
  <c r="B392" i="2"/>
  <c r="A392" i="2"/>
  <c r="G392" i="2"/>
  <c r="E558" i="2"/>
  <c r="D558" i="2"/>
  <c r="F558" i="2"/>
  <c r="I558" i="2"/>
  <c r="H558" i="2"/>
  <c r="G558" i="2"/>
  <c r="C558" i="2"/>
  <c r="B558" i="2"/>
  <c r="A558" i="2"/>
  <c r="E550" i="2"/>
  <c r="I550" i="2"/>
  <c r="H550" i="2"/>
  <c r="G550" i="2"/>
  <c r="F550" i="2"/>
  <c r="D550" i="2"/>
  <c r="C550" i="2"/>
  <c r="B550" i="2"/>
  <c r="A550" i="2"/>
  <c r="C35" i="2"/>
  <c r="B35" i="2"/>
  <c r="A35" i="2"/>
  <c r="I35" i="2"/>
  <c r="H35" i="2"/>
  <c r="G35" i="2"/>
  <c r="F35" i="2"/>
  <c r="E35" i="2"/>
  <c r="D35" i="2"/>
  <c r="A367" i="2"/>
  <c r="I367" i="2"/>
  <c r="H367" i="2"/>
  <c r="G367" i="2"/>
  <c r="F367" i="2"/>
  <c r="E367" i="2"/>
  <c r="D367" i="2"/>
  <c r="C367" i="2"/>
  <c r="B367" i="2"/>
  <c r="I571" i="2"/>
  <c r="D571" i="2"/>
  <c r="C571" i="2"/>
  <c r="B571" i="2"/>
  <c r="H571" i="2"/>
  <c r="G571" i="2"/>
  <c r="F571" i="2"/>
  <c r="E571" i="2"/>
  <c r="A571" i="2"/>
  <c r="C300" i="2"/>
  <c r="B300" i="2"/>
  <c r="A300" i="2"/>
  <c r="F300" i="2"/>
  <c r="E300" i="2"/>
  <c r="D300" i="2"/>
  <c r="G300" i="2"/>
  <c r="I300" i="2"/>
  <c r="H300" i="2"/>
  <c r="I507" i="2"/>
  <c r="C507" i="2"/>
  <c r="B507" i="2"/>
  <c r="A507" i="2"/>
  <c r="H507" i="2"/>
  <c r="G507" i="2"/>
  <c r="F507" i="2"/>
  <c r="E507" i="2"/>
  <c r="D507" i="2"/>
  <c r="A256" i="2"/>
  <c r="C256" i="2"/>
  <c r="D256" i="2"/>
  <c r="B256" i="2"/>
  <c r="I256" i="2"/>
  <c r="H256" i="2"/>
  <c r="G256" i="2"/>
  <c r="F256" i="2"/>
  <c r="E256" i="2"/>
  <c r="I307" i="2"/>
  <c r="H307" i="2"/>
  <c r="G307" i="2"/>
  <c r="F307" i="2"/>
  <c r="D307" i="2"/>
  <c r="C307" i="2"/>
  <c r="B307" i="2"/>
  <c r="A307" i="2"/>
  <c r="E307" i="2"/>
  <c r="I440" i="2"/>
  <c r="H440" i="2"/>
  <c r="G440" i="2"/>
  <c r="F440" i="2"/>
  <c r="D440" i="2"/>
  <c r="C440" i="2"/>
  <c r="B440" i="2"/>
  <c r="E440" i="2"/>
  <c r="A440" i="2"/>
  <c r="G80" i="2"/>
  <c r="F80" i="2"/>
  <c r="E80" i="2"/>
  <c r="D80" i="2"/>
  <c r="C80" i="2"/>
  <c r="B80" i="2"/>
  <c r="A80" i="2"/>
  <c r="I80" i="2"/>
  <c r="H80" i="2"/>
  <c r="F590" i="2"/>
  <c r="E590" i="2"/>
  <c r="G590" i="2"/>
  <c r="D590" i="2"/>
  <c r="C590" i="2"/>
  <c r="B590" i="2"/>
  <c r="A590" i="2"/>
  <c r="I590" i="2"/>
  <c r="H590" i="2"/>
  <c r="F93" i="2"/>
  <c r="E93" i="2"/>
  <c r="I93" i="2"/>
  <c r="H93" i="2"/>
  <c r="G93" i="2"/>
  <c r="D93" i="2"/>
  <c r="C93" i="2"/>
  <c r="A93" i="2"/>
  <c r="B93" i="2"/>
  <c r="H125" i="2"/>
  <c r="G125" i="2"/>
  <c r="F125" i="2"/>
  <c r="E125" i="2"/>
  <c r="D125" i="2"/>
  <c r="I125" i="2"/>
  <c r="C125" i="2"/>
  <c r="B125" i="2"/>
  <c r="A125" i="2"/>
  <c r="H447" i="2"/>
  <c r="F447" i="2"/>
  <c r="E447" i="2"/>
  <c r="D447" i="2"/>
  <c r="C447" i="2"/>
  <c r="B447" i="2"/>
  <c r="A447" i="2"/>
  <c r="I447" i="2"/>
  <c r="G447" i="2"/>
  <c r="I211" i="2"/>
  <c r="H211" i="2"/>
  <c r="G211" i="2"/>
  <c r="E211" i="2"/>
  <c r="B211" i="2"/>
  <c r="F211" i="2"/>
  <c r="D211" i="2"/>
  <c r="C211" i="2"/>
  <c r="A211" i="2"/>
  <c r="I114" i="2"/>
  <c r="D114" i="2"/>
  <c r="C114" i="2"/>
  <c r="B114" i="2"/>
  <c r="A114" i="2"/>
  <c r="H114" i="2"/>
  <c r="G114" i="2"/>
  <c r="F114" i="2"/>
  <c r="E114" i="2"/>
  <c r="I217" i="2"/>
  <c r="F217" i="2"/>
  <c r="A217" i="2"/>
  <c r="G217" i="2"/>
  <c r="E217" i="2"/>
  <c r="H217" i="2"/>
  <c r="C217" i="2"/>
  <c r="B217" i="2"/>
  <c r="D217" i="2"/>
  <c r="I188" i="2"/>
  <c r="C188" i="2"/>
  <c r="B188" i="2"/>
  <c r="A188" i="2"/>
  <c r="G188" i="2"/>
  <c r="F188" i="2"/>
  <c r="D188" i="2"/>
  <c r="H188" i="2"/>
  <c r="E188" i="2"/>
  <c r="H183" i="2"/>
  <c r="G183" i="2"/>
  <c r="F183" i="2"/>
  <c r="E183" i="2"/>
  <c r="D183" i="2"/>
  <c r="B183" i="2"/>
  <c r="I183" i="2"/>
  <c r="C183" i="2"/>
  <c r="A183" i="2"/>
  <c r="I531" i="2"/>
  <c r="D531" i="2"/>
  <c r="C531" i="2"/>
  <c r="B531" i="2"/>
  <c r="H531" i="2"/>
  <c r="G531" i="2"/>
  <c r="F531" i="2"/>
  <c r="E531" i="2"/>
  <c r="A531" i="2"/>
  <c r="H399" i="2"/>
  <c r="G399" i="2"/>
  <c r="F399" i="2"/>
  <c r="E399" i="2"/>
  <c r="C399" i="2"/>
  <c r="A399" i="2"/>
  <c r="I399" i="2"/>
  <c r="D399" i="2"/>
  <c r="B399" i="2"/>
  <c r="C493" i="2"/>
  <c r="B493" i="2"/>
  <c r="A493" i="2"/>
  <c r="I493" i="2"/>
  <c r="H493" i="2"/>
  <c r="G493" i="2"/>
  <c r="F493" i="2"/>
  <c r="E493" i="2"/>
  <c r="D493" i="2"/>
  <c r="I567" i="2"/>
  <c r="H567" i="2"/>
  <c r="C567" i="2"/>
  <c r="G567" i="2"/>
  <c r="E567" i="2"/>
  <c r="A567" i="2"/>
  <c r="D567" i="2"/>
  <c r="B567" i="2"/>
  <c r="F567" i="2"/>
  <c r="I426" i="2"/>
  <c r="G426" i="2"/>
  <c r="F426" i="2"/>
  <c r="B426" i="2"/>
  <c r="H426" i="2"/>
  <c r="E426" i="2"/>
  <c r="D426" i="2"/>
  <c r="C426" i="2"/>
  <c r="A426" i="2"/>
  <c r="E574" i="2"/>
  <c r="I574" i="2"/>
  <c r="H574" i="2"/>
  <c r="G574" i="2"/>
  <c r="F574" i="2"/>
  <c r="D574" i="2"/>
  <c r="C574" i="2"/>
  <c r="B574" i="2"/>
  <c r="A574" i="2"/>
  <c r="D176" i="2"/>
  <c r="C176" i="2"/>
  <c r="B176" i="2"/>
  <c r="A176" i="2"/>
  <c r="G176" i="2"/>
  <c r="F176" i="2"/>
  <c r="E176" i="2"/>
  <c r="I176" i="2"/>
  <c r="H176" i="2"/>
  <c r="I113" i="2"/>
  <c r="H113" i="2"/>
  <c r="G113" i="2"/>
  <c r="F113" i="2"/>
  <c r="E113" i="2"/>
  <c r="D113" i="2"/>
  <c r="C113" i="2"/>
  <c r="A113" i="2"/>
  <c r="B113" i="2"/>
  <c r="E424" i="2"/>
  <c r="D424" i="2"/>
  <c r="C424" i="2"/>
  <c r="B424" i="2"/>
  <c r="A424" i="2"/>
  <c r="I424" i="2"/>
  <c r="H424" i="2"/>
  <c r="G424" i="2"/>
  <c r="F424" i="2"/>
  <c r="I243" i="2"/>
  <c r="H243" i="2"/>
  <c r="G243" i="2"/>
  <c r="F243" i="2"/>
  <c r="E243" i="2"/>
  <c r="D243" i="2"/>
  <c r="B243" i="2"/>
  <c r="A243" i="2"/>
  <c r="C243" i="2"/>
  <c r="H281" i="2"/>
  <c r="E281" i="2"/>
  <c r="I281" i="2"/>
  <c r="G281" i="2"/>
  <c r="F281" i="2"/>
  <c r="D281" i="2"/>
  <c r="C281" i="2"/>
  <c r="B281" i="2"/>
  <c r="A281" i="2"/>
  <c r="I314" i="2"/>
  <c r="D314" i="2"/>
  <c r="B314" i="2"/>
  <c r="A314" i="2"/>
  <c r="H314" i="2"/>
  <c r="G314" i="2"/>
  <c r="F314" i="2"/>
  <c r="E314" i="2"/>
  <c r="C314" i="2"/>
  <c r="I370" i="2"/>
  <c r="H370" i="2"/>
  <c r="G370" i="2"/>
  <c r="F370" i="2"/>
  <c r="E370" i="2"/>
  <c r="D370" i="2"/>
  <c r="C370" i="2"/>
  <c r="B370" i="2"/>
  <c r="A370" i="2"/>
  <c r="I299" i="2"/>
  <c r="H299" i="2"/>
  <c r="G299" i="2"/>
  <c r="F299" i="2"/>
  <c r="E299" i="2"/>
  <c r="D299" i="2"/>
  <c r="C299" i="2"/>
  <c r="B299" i="2"/>
  <c r="A299" i="2"/>
  <c r="I412" i="2"/>
  <c r="H412" i="2"/>
  <c r="C412" i="2"/>
  <c r="F412" i="2"/>
  <c r="G412" i="2"/>
  <c r="E412" i="2"/>
  <c r="D412" i="2"/>
  <c r="B412" i="2"/>
  <c r="A412" i="2"/>
  <c r="F297" i="2"/>
  <c r="E297" i="2"/>
  <c r="D297" i="2"/>
  <c r="C297" i="2"/>
  <c r="B297" i="2"/>
  <c r="A297" i="2"/>
  <c r="I297" i="2"/>
  <c r="H297" i="2"/>
  <c r="G297" i="2"/>
  <c r="I283" i="2"/>
  <c r="H283" i="2"/>
  <c r="G283" i="2"/>
  <c r="F283" i="2"/>
  <c r="E283" i="2"/>
  <c r="D283" i="2"/>
  <c r="C283" i="2"/>
  <c r="B283" i="2"/>
  <c r="A283" i="2"/>
  <c r="I361" i="2"/>
  <c r="H361" i="2"/>
  <c r="B361" i="2"/>
  <c r="G361" i="2"/>
  <c r="F361" i="2"/>
  <c r="E361" i="2"/>
  <c r="D361" i="2"/>
  <c r="C361" i="2"/>
  <c r="A361" i="2"/>
  <c r="I423" i="2"/>
  <c r="H423" i="2"/>
  <c r="G423" i="2"/>
  <c r="F423" i="2"/>
  <c r="E423" i="2"/>
  <c r="D423" i="2"/>
  <c r="C423" i="2"/>
  <c r="A423" i="2"/>
  <c r="B423" i="2"/>
  <c r="I608" i="2"/>
  <c r="H608" i="2"/>
  <c r="G608" i="2"/>
  <c r="F608" i="2"/>
  <c r="D608" i="2"/>
  <c r="C608" i="2"/>
  <c r="B608" i="2"/>
  <c r="E608" i="2"/>
  <c r="A608" i="2"/>
  <c r="H173" i="2"/>
  <c r="G173" i="2"/>
  <c r="F173" i="2"/>
  <c r="E173" i="2"/>
  <c r="D173" i="2"/>
  <c r="C173" i="2"/>
  <c r="I173" i="2"/>
  <c r="B173" i="2"/>
  <c r="A173" i="2"/>
  <c r="D221" i="2"/>
  <c r="B221" i="2"/>
  <c r="A221" i="2"/>
  <c r="I221" i="2"/>
  <c r="G221" i="2"/>
  <c r="C221" i="2"/>
  <c r="H221" i="2"/>
  <c r="F221" i="2"/>
  <c r="E221" i="2"/>
  <c r="I31" i="2"/>
  <c r="H31" i="2"/>
  <c r="G31" i="2"/>
  <c r="F31" i="2"/>
  <c r="D31" i="2"/>
  <c r="B31" i="2"/>
  <c r="C31" i="2"/>
  <c r="A31" i="2"/>
  <c r="E31" i="2"/>
  <c r="I232" i="2"/>
  <c r="F232" i="2"/>
  <c r="E232" i="2"/>
  <c r="D232" i="2"/>
  <c r="C232" i="2"/>
  <c r="B232" i="2"/>
  <c r="H232" i="2"/>
  <c r="G232" i="2"/>
  <c r="A232" i="2"/>
  <c r="I539" i="2"/>
  <c r="D539" i="2"/>
  <c r="C539" i="2"/>
  <c r="B539" i="2"/>
  <c r="E539" i="2"/>
  <c r="A539" i="2"/>
  <c r="H539" i="2"/>
  <c r="G539" i="2"/>
  <c r="F539" i="2"/>
  <c r="E430" i="2"/>
  <c r="I430" i="2"/>
  <c r="H430" i="2"/>
  <c r="G430" i="2"/>
  <c r="F430" i="2"/>
  <c r="D430" i="2"/>
  <c r="C430" i="2"/>
  <c r="B430" i="2"/>
  <c r="A430" i="2"/>
  <c r="I514" i="2"/>
  <c r="H514" i="2"/>
  <c r="G514" i="2"/>
  <c r="F514" i="2"/>
  <c r="E514" i="2"/>
  <c r="D514" i="2"/>
  <c r="C514" i="2"/>
  <c r="B514" i="2"/>
  <c r="A514" i="2"/>
  <c r="I246" i="2"/>
  <c r="H246" i="2"/>
  <c r="F246" i="2"/>
  <c r="E246" i="2"/>
  <c r="D246" i="2"/>
  <c r="C246" i="2"/>
  <c r="B246" i="2"/>
  <c r="G246" i="2"/>
  <c r="A246" i="2"/>
  <c r="I343" i="2"/>
  <c r="H343" i="2"/>
  <c r="F343" i="2"/>
  <c r="E343" i="2"/>
  <c r="D343" i="2"/>
  <c r="C343" i="2"/>
  <c r="B343" i="2"/>
  <c r="A343" i="2"/>
  <c r="G343" i="2"/>
  <c r="I315" i="2"/>
  <c r="H315" i="2"/>
  <c r="F315" i="2"/>
  <c r="C315" i="2"/>
  <c r="G315" i="2"/>
  <c r="B315" i="2"/>
  <c r="A315" i="2"/>
  <c r="E315" i="2"/>
  <c r="D315" i="2"/>
  <c r="A320" i="2"/>
  <c r="I320" i="2"/>
  <c r="H320" i="2"/>
  <c r="G320" i="2"/>
  <c r="F320" i="2"/>
  <c r="E320" i="2"/>
  <c r="D320" i="2"/>
  <c r="C320" i="2"/>
  <c r="B320" i="2"/>
  <c r="H133" i="2"/>
  <c r="G133" i="2"/>
  <c r="F133" i="2"/>
  <c r="E133" i="2"/>
  <c r="D133" i="2"/>
  <c r="I133" i="2"/>
  <c r="C133" i="2"/>
  <c r="B133" i="2"/>
  <c r="A133" i="2"/>
  <c r="F366" i="2"/>
  <c r="C366" i="2"/>
  <c r="B366" i="2"/>
  <c r="A366" i="2"/>
  <c r="I366" i="2"/>
  <c r="H366" i="2"/>
  <c r="E366" i="2"/>
  <c r="G366" i="2"/>
  <c r="D366" i="2"/>
  <c r="A336" i="2"/>
  <c r="I336" i="2"/>
  <c r="H336" i="2"/>
  <c r="G336" i="2"/>
  <c r="F336" i="2"/>
  <c r="E336" i="2"/>
  <c r="D336" i="2"/>
  <c r="C336" i="2"/>
  <c r="B336" i="2"/>
  <c r="H319" i="2"/>
  <c r="F319" i="2"/>
  <c r="E319" i="2"/>
  <c r="I319" i="2"/>
  <c r="G319" i="2"/>
  <c r="C319" i="2"/>
  <c r="D319" i="2"/>
  <c r="B319" i="2"/>
  <c r="A319" i="2"/>
  <c r="I459" i="2"/>
  <c r="H459" i="2"/>
  <c r="G459" i="2"/>
  <c r="F459" i="2"/>
  <c r="E459" i="2"/>
  <c r="D459" i="2"/>
  <c r="C459" i="2"/>
  <c r="B459" i="2"/>
  <c r="A459" i="2"/>
  <c r="I345" i="2"/>
  <c r="H345" i="2"/>
  <c r="G345" i="2"/>
  <c r="F345" i="2"/>
  <c r="E345" i="2"/>
  <c r="D345" i="2"/>
  <c r="C345" i="2"/>
  <c r="B345" i="2"/>
  <c r="A345" i="2"/>
  <c r="H327" i="2"/>
  <c r="F327" i="2"/>
  <c r="E327" i="2"/>
  <c r="B327" i="2"/>
  <c r="A327" i="2"/>
  <c r="I327" i="2"/>
  <c r="G327" i="2"/>
  <c r="C327" i="2"/>
  <c r="D327" i="2"/>
  <c r="I419" i="2"/>
  <c r="E419" i="2"/>
  <c r="H419" i="2"/>
  <c r="G419" i="2"/>
  <c r="F419" i="2"/>
  <c r="D419" i="2"/>
  <c r="C419" i="2"/>
  <c r="B419" i="2"/>
  <c r="A419" i="2"/>
  <c r="G48" i="2"/>
  <c r="F48" i="2"/>
  <c r="E48" i="2"/>
  <c r="D48" i="2"/>
  <c r="C48" i="2"/>
  <c r="B48" i="2"/>
  <c r="A48" i="2"/>
  <c r="I48" i="2"/>
  <c r="H48" i="2"/>
  <c r="H20" i="2"/>
  <c r="F20" i="2"/>
  <c r="B20" i="2"/>
  <c r="I20" i="2"/>
  <c r="G20" i="2"/>
  <c r="E20" i="2"/>
  <c r="C20" i="2"/>
  <c r="A20" i="2"/>
  <c r="D20" i="2"/>
  <c r="I110" i="2"/>
  <c r="H110" i="2"/>
  <c r="G110" i="2"/>
  <c r="F110" i="2"/>
  <c r="E110" i="2"/>
  <c r="C110" i="2"/>
  <c r="A110" i="2"/>
  <c r="D110" i="2"/>
  <c r="B110" i="2"/>
  <c r="D128" i="2"/>
  <c r="C128" i="2"/>
  <c r="B128" i="2"/>
  <c r="A128" i="2"/>
  <c r="I128" i="2"/>
  <c r="H128" i="2"/>
  <c r="G128" i="2"/>
  <c r="F128" i="2"/>
  <c r="E128" i="2"/>
  <c r="B530" i="2"/>
  <c r="A530" i="2"/>
  <c r="H530" i="2"/>
  <c r="G530" i="2"/>
  <c r="E530" i="2"/>
  <c r="I530" i="2"/>
  <c r="C530" i="2"/>
  <c r="D530" i="2"/>
  <c r="F530" i="2"/>
  <c r="H218" i="2"/>
  <c r="F218" i="2"/>
  <c r="E218" i="2"/>
  <c r="D218" i="2"/>
  <c r="C218" i="2"/>
  <c r="B218" i="2"/>
  <c r="A218" i="2"/>
  <c r="I218" i="2"/>
  <c r="G218" i="2"/>
  <c r="I122" i="2"/>
  <c r="H122" i="2"/>
  <c r="G122" i="2"/>
  <c r="F122" i="2"/>
  <c r="E122" i="2"/>
  <c r="D122" i="2"/>
  <c r="C122" i="2"/>
  <c r="B122" i="2"/>
  <c r="A122" i="2"/>
  <c r="I225" i="2"/>
  <c r="H225" i="2"/>
  <c r="G225" i="2"/>
  <c r="D225" i="2"/>
  <c r="C225" i="2"/>
  <c r="B225" i="2"/>
  <c r="A225" i="2"/>
  <c r="E225" i="2"/>
  <c r="F225" i="2"/>
  <c r="I196" i="2"/>
  <c r="F196" i="2"/>
  <c r="E196" i="2"/>
  <c r="D196" i="2"/>
  <c r="C196" i="2"/>
  <c r="B196" i="2"/>
  <c r="A196" i="2"/>
  <c r="H196" i="2"/>
  <c r="G196" i="2"/>
  <c r="I191" i="2"/>
  <c r="H191" i="2"/>
  <c r="F191" i="2"/>
  <c r="E191" i="2"/>
  <c r="G191" i="2"/>
  <c r="D191" i="2"/>
  <c r="C191" i="2"/>
  <c r="B191" i="2"/>
  <c r="A191" i="2"/>
  <c r="G540" i="2"/>
  <c r="H540" i="2"/>
  <c r="F540" i="2"/>
  <c r="E540" i="2"/>
  <c r="D540" i="2"/>
  <c r="C540" i="2"/>
  <c r="B540" i="2"/>
  <c r="A540" i="2"/>
  <c r="I540" i="2"/>
  <c r="A409" i="2"/>
  <c r="I409" i="2"/>
  <c r="H409" i="2"/>
  <c r="G409" i="2"/>
  <c r="F409" i="2"/>
  <c r="E409" i="2"/>
  <c r="D409" i="2"/>
  <c r="C409" i="2"/>
  <c r="B409" i="2"/>
  <c r="D524" i="2"/>
  <c r="C524" i="2"/>
  <c r="B524" i="2"/>
  <c r="A524" i="2"/>
  <c r="I524" i="2"/>
  <c r="H524" i="2"/>
  <c r="G524" i="2"/>
  <c r="F524" i="2"/>
  <c r="E524" i="2"/>
  <c r="I570" i="2"/>
  <c r="H570" i="2"/>
  <c r="C570" i="2"/>
  <c r="B570" i="2"/>
  <c r="A570" i="2"/>
  <c r="G570" i="2"/>
  <c r="F570" i="2"/>
  <c r="E570" i="2"/>
  <c r="D570" i="2"/>
  <c r="I437" i="2"/>
  <c r="G437" i="2"/>
  <c r="F437" i="2"/>
  <c r="E437" i="2"/>
  <c r="H437" i="2"/>
  <c r="D437" i="2"/>
  <c r="C437" i="2"/>
  <c r="B437" i="2"/>
  <c r="A437" i="2"/>
  <c r="A577" i="2"/>
  <c r="I577" i="2"/>
  <c r="H577" i="2"/>
  <c r="G577" i="2"/>
  <c r="F577" i="2"/>
  <c r="E577" i="2"/>
  <c r="D577" i="2"/>
  <c r="C577" i="2"/>
  <c r="B577" i="2"/>
  <c r="F461" i="2"/>
  <c r="A461" i="2"/>
  <c r="E461" i="2"/>
  <c r="D461" i="2"/>
  <c r="C461" i="2"/>
  <c r="B461" i="2"/>
  <c r="H461" i="2"/>
  <c r="G461" i="2"/>
  <c r="I461" i="2"/>
  <c r="E462" i="2"/>
  <c r="I462" i="2"/>
  <c r="H462" i="2"/>
  <c r="G462" i="2"/>
  <c r="F462" i="2"/>
  <c r="D462" i="2"/>
  <c r="C462" i="2"/>
  <c r="B462" i="2"/>
  <c r="A462" i="2"/>
  <c r="I107" i="2"/>
  <c r="H107" i="2"/>
  <c r="G107" i="2"/>
  <c r="E107" i="2"/>
  <c r="C107" i="2"/>
  <c r="D107" i="2"/>
  <c r="A107" i="2"/>
  <c r="B107" i="2"/>
  <c r="F107" i="2"/>
  <c r="I427" i="2"/>
  <c r="B427" i="2"/>
  <c r="A427" i="2"/>
  <c r="H427" i="2"/>
  <c r="G427" i="2"/>
  <c r="F427" i="2"/>
  <c r="E427" i="2"/>
  <c r="D427" i="2"/>
  <c r="C427" i="2"/>
  <c r="F7" i="2"/>
  <c r="F8" i="2"/>
  <c r="B13" i="2"/>
  <c r="F6" i="2"/>
  <c r="F9" i="2"/>
  <c r="F10" i="2"/>
  <c r="E502" i="2"/>
  <c r="G502" i="2"/>
  <c r="F502" i="2"/>
  <c r="D502" i="2"/>
  <c r="C502" i="2"/>
  <c r="B502" i="2"/>
  <c r="A502" i="2"/>
  <c r="I502" i="2"/>
  <c r="H502" i="2"/>
  <c r="I45" i="2"/>
  <c r="H45" i="2"/>
  <c r="G45" i="2"/>
  <c r="F45" i="2"/>
  <c r="E45" i="2"/>
  <c r="D45" i="2"/>
  <c r="C45" i="2"/>
  <c r="B45" i="2"/>
  <c r="A45" i="2"/>
  <c r="E364" i="2"/>
  <c r="D364" i="2"/>
  <c r="I364" i="2"/>
  <c r="H364" i="2"/>
  <c r="G364" i="2"/>
  <c r="B364" i="2"/>
  <c r="A364" i="2"/>
  <c r="C364" i="2"/>
  <c r="F364" i="2"/>
  <c r="H605" i="2"/>
  <c r="G605" i="2"/>
  <c r="F605" i="2"/>
  <c r="E605" i="2"/>
  <c r="B605" i="2"/>
  <c r="A605" i="2"/>
  <c r="I605" i="2"/>
  <c r="D605" i="2"/>
  <c r="C605" i="2"/>
  <c r="A352" i="2"/>
  <c r="H352" i="2"/>
  <c r="I352" i="2"/>
  <c r="G352" i="2"/>
  <c r="F352" i="2"/>
  <c r="D352" i="2"/>
  <c r="B352" i="2"/>
  <c r="C352" i="2"/>
  <c r="E352" i="2"/>
  <c r="E546" i="2"/>
  <c r="I546" i="2"/>
  <c r="H546" i="2"/>
  <c r="G546" i="2"/>
  <c r="F546" i="2"/>
  <c r="D546" i="2"/>
  <c r="C546" i="2"/>
  <c r="B546" i="2"/>
  <c r="A546" i="2"/>
  <c r="I77" i="2"/>
  <c r="H77" i="2"/>
  <c r="G77" i="2"/>
  <c r="F77" i="2"/>
  <c r="E77" i="2"/>
  <c r="D77" i="2"/>
  <c r="C77" i="2"/>
  <c r="B77" i="2"/>
  <c r="A77" i="2"/>
  <c r="I222" i="2"/>
  <c r="H222" i="2"/>
  <c r="G222" i="2"/>
  <c r="F222" i="2"/>
  <c r="E222" i="2"/>
  <c r="D222" i="2"/>
  <c r="A222" i="2"/>
  <c r="C222" i="2"/>
  <c r="B222" i="2"/>
  <c r="H311" i="2"/>
  <c r="F311" i="2"/>
  <c r="E311" i="2"/>
  <c r="I311" i="2"/>
  <c r="G311" i="2"/>
  <c r="D311" i="2"/>
  <c r="C311" i="2"/>
  <c r="B311" i="2"/>
  <c r="A311" i="2"/>
  <c r="H335" i="2"/>
  <c r="F335" i="2"/>
  <c r="E335" i="2"/>
  <c r="I335" i="2"/>
  <c r="G335" i="2"/>
  <c r="D335" i="2"/>
  <c r="C335" i="2"/>
  <c r="B335" i="2"/>
  <c r="A335" i="2"/>
  <c r="I227" i="2"/>
  <c r="H227" i="2"/>
  <c r="G227" i="2"/>
  <c r="F227" i="2"/>
  <c r="E227" i="2"/>
  <c r="D227" i="2"/>
  <c r="C227" i="2"/>
  <c r="B227" i="2"/>
  <c r="A227" i="2"/>
  <c r="I295" i="2"/>
  <c r="H295" i="2"/>
  <c r="G295" i="2"/>
  <c r="F295" i="2"/>
  <c r="E295" i="2"/>
  <c r="D295" i="2"/>
  <c r="C295" i="2"/>
  <c r="A295" i="2"/>
  <c r="B295" i="2"/>
  <c r="H165" i="2"/>
  <c r="G165" i="2"/>
  <c r="F165" i="2"/>
  <c r="E165" i="2"/>
  <c r="D165" i="2"/>
  <c r="C165" i="2"/>
  <c r="I165" i="2"/>
  <c r="B165" i="2"/>
  <c r="A165" i="2"/>
  <c r="I376" i="2"/>
  <c r="H376" i="2"/>
  <c r="G376" i="2"/>
  <c r="F376" i="2"/>
  <c r="E376" i="2"/>
  <c r="D376" i="2"/>
  <c r="C376" i="2"/>
  <c r="B376" i="2"/>
  <c r="A376" i="2"/>
  <c r="I595" i="2"/>
  <c r="F595" i="2"/>
  <c r="E595" i="2"/>
  <c r="D595" i="2"/>
  <c r="H595" i="2"/>
  <c r="G595" i="2"/>
  <c r="C595" i="2"/>
  <c r="B595" i="2"/>
  <c r="A595" i="2"/>
  <c r="F94" i="2"/>
  <c r="E94" i="2"/>
  <c r="D94" i="2"/>
  <c r="C94" i="2"/>
  <c r="B94" i="2"/>
  <c r="A94" i="2"/>
  <c r="I94" i="2"/>
  <c r="H94" i="2"/>
  <c r="G94" i="2"/>
  <c r="I62" i="2"/>
  <c r="H62" i="2"/>
  <c r="F62" i="2"/>
  <c r="G62" i="2"/>
  <c r="E62" i="2"/>
  <c r="D62" i="2"/>
  <c r="C62" i="2"/>
  <c r="B62" i="2"/>
  <c r="A62" i="2"/>
  <c r="B112" i="2"/>
  <c r="A112" i="2"/>
  <c r="H112" i="2"/>
  <c r="C112" i="2"/>
  <c r="E112" i="2"/>
  <c r="F112" i="2"/>
  <c r="I112" i="2"/>
  <c r="G112" i="2"/>
  <c r="D112" i="2"/>
  <c r="I195" i="2"/>
  <c r="H195" i="2"/>
  <c r="G195" i="2"/>
  <c r="F195" i="2"/>
  <c r="E195" i="2"/>
  <c r="C195" i="2"/>
  <c r="B195" i="2"/>
  <c r="A195" i="2"/>
  <c r="D195" i="2"/>
  <c r="H512" i="2"/>
  <c r="F512" i="2"/>
  <c r="E512" i="2"/>
  <c r="D512" i="2"/>
  <c r="C512" i="2"/>
  <c r="B512" i="2"/>
  <c r="A512" i="2"/>
  <c r="G512" i="2"/>
  <c r="I512" i="2"/>
  <c r="H108" i="2"/>
  <c r="G108" i="2"/>
  <c r="F108" i="2"/>
  <c r="E108" i="2"/>
  <c r="D108" i="2"/>
  <c r="C108" i="2"/>
  <c r="B108" i="2"/>
  <c r="A108" i="2"/>
  <c r="I108" i="2"/>
  <c r="I485" i="2"/>
  <c r="H485" i="2"/>
  <c r="G485" i="2"/>
  <c r="F485" i="2"/>
  <c r="E485" i="2"/>
  <c r="D485" i="2"/>
  <c r="C485" i="2"/>
  <c r="B485" i="2"/>
  <c r="A485" i="2"/>
  <c r="B197" i="2"/>
  <c r="A197" i="2"/>
  <c r="I197" i="2"/>
  <c r="H197" i="2"/>
  <c r="G197" i="2"/>
  <c r="F197" i="2"/>
  <c r="E197" i="2"/>
  <c r="D197" i="2"/>
  <c r="C197" i="2"/>
  <c r="B104" i="2"/>
  <c r="A104" i="2"/>
  <c r="I104" i="2"/>
  <c r="G104" i="2"/>
  <c r="E104" i="2"/>
  <c r="H104" i="2"/>
  <c r="F104" i="2"/>
  <c r="D104" i="2"/>
  <c r="C104" i="2"/>
  <c r="I150" i="2"/>
  <c r="H150" i="2"/>
  <c r="G150" i="2"/>
  <c r="F150" i="2"/>
  <c r="E150" i="2"/>
  <c r="C150" i="2"/>
  <c r="A150" i="2"/>
  <c r="D150" i="2"/>
  <c r="B150" i="2"/>
  <c r="I131" i="2"/>
  <c r="H131" i="2"/>
  <c r="G131" i="2"/>
  <c r="F131" i="2"/>
  <c r="E131" i="2"/>
  <c r="D131" i="2"/>
  <c r="C131" i="2"/>
  <c r="B131" i="2"/>
  <c r="A131" i="2"/>
  <c r="B575" i="2"/>
  <c r="A575" i="2"/>
  <c r="C575" i="2"/>
  <c r="D575" i="2"/>
  <c r="I575" i="2"/>
  <c r="H575" i="2"/>
  <c r="G575" i="2"/>
  <c r="F575" i="2"/>
  <c r="E575" i="2"/>
  <c r="I411" i="2"/>
  <c r="H411" i="2"/>
  <c r="G411" i="2"/>
  <c r="F411" i="2"/>
  <c r="D411" i="2"/>
  <c r="A411" i="2"/>
  <c r="E411" i="2"/>
  <c r="C411" i="2"/>
  <c r="B411" i="2"/>
  <c r="I130" i="2"/>
  <c r="H130" i="2"/>
  <c r="B130" i="2"/>
  <c r="F130" i="2"/>
  <c r="E130" i="2"/>
  <c r="G130" i="2"/>
  <c r="D130" i="2"/>
  <c r="C130" i="2"/>
  <c r="A130" i="2"/>
  <c r="C233" i="2"/>
  <c r="B233" i="2"/>
  <c r="A233" i="2"/>
  <c r="E233" i="2"/>
  <c r="D233" i="2"/>
  <c r="I233" i="2"/>
  <c r="H233" i="2"/>
  <c r="F233" i="2"/>
  <c r="G233" i="2"/>
  <c r="I204" i="2"/>
  <c r="G204" i="2"/>
  <c r="F204" i="2"/>
  <c r="D204" i="2"/>
  <c r="C204" i="2"/>
  <c r="E204" i="2"/>
  <c r="A204" i="2"/>
  <c r="B204" i="2"/>
  <c r="H204" i="2"/>
  <c r="I199" i="2"/>
  <c r="H199" i="2"/>
  <c r="G199" i="2"/>
  <c r="F199" i="2"/>
  <c r="E199" i="2"/>
  <c r="D199" i="2"/>
  <c r="C199" i="2"/>
  <c r="B199" i="2"/>
  <c r="A199" i="2"/>
  <c r="E398" i="2"/>
  <c r="D398" i="2"/>
  <c r="I398" i="2"/>
  <c r="H398" i="2"/>
  <c r="G398" i="2"/>
  <c r="F398" i="2"/>
  <c r="C398" i="2"/>
  <c r="B398" i="2"/>
  <c r="A398" i="2"/>
  <c r="A441" i="2"/>
  <c r="I441" i="2"/>
  <c r="H441" i="2"/>
  <c r="G441" i="2"/>
  <c r="F441" i="2"/>
  <c r="E441" i="2"/>
  <c r="D441" i="2"/>
  <c r="C441" i="2"/>
  <c r="B441" i="2"/>
  <c r="H410" i="2"/>
  <c r="G410" i="2"/>
  <c r="F410" i="2"/>
  <c r="E410" i="2"/>
  <c r="D410" i="2"/>
  <c r="C410" i="2"/>
  <c r="A410" i="2"/>
  <c r="I410" i="2"/>
  <c r="B410" i="2"/>
  <c r="E582" i="2"/>
  <c r="I582" i="2"/>
  <c r="H582" i="2"/>
  <c r="B582" i="2"/>
  <c r="G582" i="2"/>
  <c r="F582" i="2"/>
  <c r="D582" i="2"/>
  <c r="C582" i="2"/>
  <c r="A582" i="2"/>
  <c r="I448" i="2"/>
  <c r="G448" i="2"/>
  <c r="F448" i="2"/>
  <c r="E448" i="2"/>
  <c r="H448" i="2"/>
  <c r="D448" i="2"/>
  <c r="C448" i="2"/>
  <c r="B448" i="2"/>
  <c r="A448" i="2"/>
  <c r="I580" i="2"/>
  <c r="H580" i="2"/>
  <c r="G580" i="2"/>
  <c r="F580" i="2"/>
  <c r="E580" i="2"/>
  <c r="D580" i="2"/>
  <c r="C580" i="2"/>
  <c r="B580" i="2"/>
  <c r="A580" i="2"/>
  <c r="I198" i="2"/>
  <c r="H198" i="2"/>
  <c r="G198" i="2"/>
  <c r="F198" i="2"/>
  <c r="E198" i="2"/>
  <c r="C198" i="2"/>
  <c r="D198" i="2"/>
  <c r="A198" i="2"/>
  <c r="B198" i="2"/>
  <c r="I87" i="2"/>
  <c r="H87" i="2"/>
  <c r="G87" i="2"/>
  <c r="E87" i="2"/>
  <c r="C87" i="2"/>
  <c r="A87" i="2"/>
  <c r="D87" i="2"/>
  <c r="F87" i="2"/>
  <c r="B87" i="2"/>
  <c r="I379" i="2"/>
  <c r="H379" i="2"/>
  <c r="E379" i="2"/>
  <c r="G379" i="2"/>
  <c r="F379" i="2"/>
  <c r="D379" i="2"/>
  <c r="C379" i="2"/>
  <c r="B379" i="2"/>
  <c r="A379" i="2"/>
  <c r="E261" i="2"/>
  <c r="I261" i="2"/>
  <c r="H261" i="2"/>
  <c r="G261" i="2"/>
  <c r="F261" i="2"/>
  <c r="D261" i="2"/>
  <c r="C261" i="2"/>
  <c r="B261" i="2"/>
  <c r="A261" i="2"/>
  <c r="I491" i="2"/>
  <c r="G491" i="2"/>
  <c r="H491" i="2"/>
  <c r="F491" i="2"/>
  <c r="E491" i="2"/>
  <c r="D491" i="2"/>
  <c r="C491" i="2"/>
  <c r="B491" i="2"/>
  <c r="A491" i="2"/>
  <c r="I601" i="2"/>
  <c r="H601" i="2"/>
  <c r="A601" i="2"/>
  <c r="E601" i="2"/>
  <c r="G601" i="2"/>
  <c r="F601" i="2"/>
  <c r="D601" i="2"/>
  <c r="C601" i="2"/>
  <c r="B601" i="2"/>
  <c r="E193" i="2"/>
  <c r="D193" i="2"/>
  <c r="C193" i="2"/>
  <c r="B193" i="2"/>
  <c r="A193" i="2"/>
  <c r="I193" i="2"/>
  <c r="H193" i="2"/>
  <c r="G193" i="2"/>
  <c r="F193" i="2"/>
  <c r="I53" i="2"/>
  <c r="H53" i="2"/>
  <c r="G53" i="2"/>
  <c r="F53" i="2"/>
  <c r="E53" i="2"/>
  <c r="D53" i="2"/>
  <c r="C53" i="2"/>
  <c r="B53" i="2"/>
  <c r="A53" i="2"/>
  <c r="I369" i="2"/>
  <c r="H369" i="2"/>
  <c r="B369" i="2"/>
  <c r="A369" i="2"/>
  <c r="G369" i="2"/>
  <c r="F369" i="2"/>
  <c r="E369" i="2"/>
  <c r="D369" i="2"/>
  <c r="C369" i="2"/>
  <c r="C155" i="2"/>
  <c r="B155" i="2"/>
  <c r="A155" i="2"/>
  <c r="I155" i="2"/>
  <c r="H155" i="2"/>
  <c r="G155" i="2"/>
  <c r="F155" i="2"/>
  <c r="E155" i="2"/>
  <c r="D155" i="2"/>
  <c r="I483" i="2"/>
  <c r="F483" i="2"/>
  <c r="D483" i="2"/>
  <c r="A483" i="2"/>
  <c r="H483" i="2"/>
  <c r="G483" i="2"/>
  <c r="E483" i="2"/>
  <c r="C483" i="2"/>
  <c r="B483" i="2"/>
  <c r="C51" i="2"/>
  <c r="B51" i="2"/>
  <c r="A51" i="2"/>
  <c r="F51" i="2"/>
  <c r="H51" i="2"/>
  <c r="E51" i="2"/>
  <c r="D51" i="2"/>
  <c r="G51" i="2"/>
  <c r="I51" i="2"/>
  <c r="I55" i="2"/>
  <c r="H55" i="2"/>
  <c r="G55" i="2"/>
  <c r="F55" i="2"/>
  <c r="D55" i="2"/>
  <c r="B55" i="2"/>
  <c r="C55" i="2"/>
  <c r="E55" i="2"/>
  <c r="A55" i="2"/>
  <c r="E414" i="2"/>
  <c r="C414" i="2"/>
  <c r="B414" i="2"/>
  <c r="A414" i="2"/>
  <c r="I414" i="2"/>
  <c r="H414" i="2"/>
  <c r="G414" i="2"/>
  <c r="F414" i="2"/>
  <c r="D414" i="2"/>
  <c r="E325" i="2"/>
  <c r="D325" i="2"/>
  <c r="C325" i="2"/>
  <c r="I325" i="2"/>
  <c r="H325" i="2"/>
  <c r="G325" i="2"/>
  <c r="B325" i="2"/>
  <c r="A325" i="2"/>
  <c r="F325" i="2"/>
  <c r="A425" i="2"/>
  <c r="I425" i="2"/>
  <c r="H425" i="2"/>
  <c r="G425" i="2"/>
  <c r="F425" i="2"/>
  <c r="E425" i="2"/>
  <c r="D425" i="2"/>
  <c r="C425" i="2"/>
  <c r="B425" i="2"/>
  <c r="I396" i="2"/>
  <c r="H396" i="2"/>
  <c r="D396" i="2"/>
  <c r="C396" i="2"/>
  <c r="G396" i="2"/>
  <c r="F396" i="2"/>
  <c r="E396" i="2"/>
  <c r="B396" i="2"/>
  <c r="A396" i="2"/>
  <c r="I95" i="2"/>
  <c r="H95" i="2"/>
  <c r="G95" i="2"/>
  <c r="F95" i="2"/>
  <c r="E95" i="2"/>
  <c r="D95" i="2"/>
  <c r="C95" i="2"/>
  <c r="A95" i="2"/>
  <c r="B95" i="2"/>
  <c r="B189" i="2"/>
  <c r="A189" i="2"/>
  <c r="G189" i="2"/>
  <c r="F189" i="2"/>
  <c r="E189" i="2"/>
  <c r="D189" i="2"/>
  <c r="C189" i="2"/>
  <c r="I189" i="2"/>
  <c r="H189" i="2"/>
  <c r="C169" i="2"/>
  <c r="B169" i="2"/>
  <c r="A169" i="2"/>
  <c r="I169" i="2"/>
  <c r="H169" i="2"/>
  <c r="G169" i="2"/>
  <c r="F169" i="2"/>
  <c r="E169" i="2"/>
  <c r="D169" i="2"/>
  <c r="H91" i="2"/>
  <c r="G91" i="2"/>
  <c r="F91" i="2"/>
  <c r="E91" i="2"/>
  <c r="D91" i="2"/>
  <c r="C91" i="2"/>
  <c r="B91" i="2"/>
  <c r="A91" i="2"/>
  <c r="I91" i="2"/>
  <c r="B126" i="2"/>
  <c r="A126" i="2"/>
  <c r="I126" i="2"/>
  <c r="G126" i="2"/>
  <c r="D126" i="2"/>
  <c r="E126" i="2"/>
  <c r="H126" i="2"/>
  <c r="F126" i="2"/>
  <c r="C126" i="2"/>
  <c r="H17" i="2"/>
  <c r="G17" i="2"/>
  <c r="F17" i="2"/>
  <c r="E17" i="2"/>
  <c r="D17" i="2"/>
  <c r="C17" i="2"/>
  <c r="B17" i="2"/>
  <c r="A17" i="2"/>
  <c r="I17" i="2"/>
  <c r="I127" i="2"/>
  <c r="G127" i="2"/>
  <c r="E127" i="2"/>
  <c r="B127" i="2"/>
  <c r="D127" i="2"/>
  <c r="C127" i="2"/>
  <c r="H127" i="2"/>
  <c r="F127" i="2"/>
  <c r="A127" i="2"/>
  <c r="I171" i="2"/>
  <c r="H171" i="2"/>
  <c r="G171" i="2"/>
  <c r="F171" i="2"/>
  <c r="E171" i="2"/>
  <c r="C171" i="2"/>
  <c r="A171" i="2"/>
  <c r="D171" i="2"/>
  <c r="B171" i="2"/>
  <c r="D144" i="2"/>
  <c r="C144" i="2"/>
  <c r="B144" i="2"/>
  <c r="A144" i="2"/>
  <c r="I144" i="2"/>
  <c r="H144" i="2"/>
  <c r="G144" i="2"/>
  <c r="F144" i="2"/>
  <c r="E144" i="2"/>
  <c r="H584" i="2"/>
  <c r="G584" i="2"/>
  <c r="F584" i="2"/>
  <c r="D584" i="2"/>
  <c r="C584" i="2"/>
  <c r="B584" i="2"/>
  <c r="A584" i="2"/>
  <c r="I584" i="2"/>
  <c r="E584" i="2"/>
  <c r="I235" i="2"/>
  <c r="H235" i="2"/>
  <c r="G235" i="2"/>
  <c r="F235" i="2"/>
  <c r="D235" i="2"/>
  <c r="A235" i="2"/>
  <c r="E235" i="2"/>
  <c r="C235" i="2"/>
  <c r="B235" i="2"/>
  <c r="I138" i="2"/>
  <c r="H138" i="2"/>
  <c r="B138" i="2"/>
  <c r="F138" i="2"/>
  <c r="E138" i="2"/>
  <c r="D138" i="2"/>
  <c r="C138" i="2"/>
  <c r="A138" i="2"/>
  <c r="G138" i="2"/>
  <c r="H241" i="2"/>
  <c r="I241" i="2"/>
  <c r="G241" i="2"/>
  <c r="E241" i="2"/>
  <c r="C241" i="2"/>
  <c r="D241" i="2"/>
  <c r="F241" i="2"/>
  <c r="B241" i="2"/>
  <c r="A241" i="2"/>
  <c r="I212" i="2"/>
  <c r="F212" i="2"/>
  <c r="H212" i="2"/>
  <c r="G212" i="2"/>
  <c r="E212" i="2"/>
  <c r="D212" i="2"/>
  <c r="C212" i="2"/>
  <c r="B212" i="2"/>
  <c r="A212" i="2"/>
  <c r="I207" i="2"/>
  <c r="H207" i="2"/>
  <c r="G207" i="2"/>
  <c r="F207" i="2"/>
  <c r="E207" i="2"/>
  <c r="B207" i="2"/>
  <c r="D207" i="2"/>
  <c r="C207" i="2"/>
  <c r="A207" i="2"/>
  <c r="A433" i="2"/>
  <c r="E433" i="2"/>
  <c r="I433" i="2"/>
  <c r="H433" i="2"/>
  <c r="G433" i="2"/>
  <c r="F433" i="2"/>
  <c r="D433" i="2"/>
  <c r="C433" i="2"/>
  <c r="B433" i="2"/>
  <c r="A537" i="2"/>
  <c r="G537" i="2"/>
  <c r="I537" i="2"/>
  <c r="H537" i="2"/>
  <c r="F537" i="2"/>
  <c r="E537" i="2"/>
  <c r="D537" i="2"/>
  <c r="C537" i="2"/>
  <c r="B537" i="2"/>
  <c r="I420" i="2"/>
  <c r="H420" i="2"/>
  <c r="G420" i="2"/>
  <c r="F420" i="2"/>
  <c r="E420" i="2"/>
  <c r="D420" i="2"/>
  <c r="C420" i="2"/>
  <c r="B420" i="2"/>
  <c r="A420" i="2"/>
  <c r="I467" i="2"/>
  <c r="H467" i="2"/>
  <c r="G467" i="2"/>
  <c r="F467" i="2"/>
  <c r="E467" i="2"/>
  <c r="D467" i="2"/>
  <c r="B467" i="2"/>
  <c r="A467" i="2"/>
  <c r="C467" i="2"/>
  <c r="E526" i="2"/>
  <c r="I526" i="2"/>
  <c r="H526" i="2"/>
  <c r="G526" i="2"/>
  <c r="F526" i="2"/>
  <c r="D526" i="2"/>
  <c r="C526" i="2"/>
  <c r="B526" i="2"/>
  <c r="A526" i="2"/>
  <c r="G525" i="2"/>
  <c r="I525" i="2"/>
  <c r="H525" i="2"/>
  <c r="F525" i="2"/>
  <c r="E525" i="2"/>
  <c r="D525" i="2"/>
  <c r="A525" i="2"/>
  <c r="C525" i="2"/>
  <c r="B525" i="2"/>
  <c r="I177" i="2"/>
  <c r="A177" i="2"/>
  <c r="D177" i="2"/>
  <c r="C177" i="2"/>
  <c r="F177" i="2"/>
  <c r="B177" i="2"/>
  <c r="E177" i="2"/>
  <c r="H177" i="2"/>
  <c r="G177" i="2"/>
  <c r="H21" i="2"/>
  <c r="I21" i="2"/>
  <c r="G21" i="2"/>
  <c r="F21" i="2"/>
  <c r="E21" i="2"/>
  <c r="D21" i="2"/>
  <c r="C21" i="2"/>
  <c r="B21" i="2"/>
  <c r="A21" i="2"/>
  <c r="A473" i="2"/>
  <c r="I473" i="2"/>
  <c r="H473" i="2"/>
  <c r="G473" i="2"/>
  <c r="F473" i="2"/>
  <c r="E473" i="2"/>
  <c r="D473" i="2"/>
  <c r="C473" i="2"/>
  <c r="B473" i="2"/>
  <c r="I254" i="2"/>
  <c r="H254" i="2"/>
  <c r="G254" i="2"/>
  <c r="F254" i="2"/>
  <c r="E254" i="2"/>
  <c r="D254" i="2"/>
  <c r="B254" i="2"/>
  <c r="A254" i="2"/>
  <c r="C254" i="2"/>
  <c r="I484" i="2"/>
  <c r="H484" i="2"/>
  <c r="G484" i="2"/>
  <c r="F484" i="2"/>
  <c r="E484" i="2"/>
  <c r="D484" i="2"/>
  <c r="C484" i="2"/>
  <c r="B484" i="2"/>
  <c r="A484" i="2"/>
  <c r="C27" i="2"/>
  <c r="B27" i="2"/>
  <c r="A27" i="2"/>
  <c r="E27" i="2"/>
  <c r="D27" i="2"/>
  <c r="I27" i="2"/>
  <c r="H27" i="2"/>
  <c r="G27" i="2"/>
  <c r="F27" i="2"/>
  <c r="C67" i="2"/>
  <c r="B67" i="2"/>
  <c r="A67" i="2"/>
  <c r="E67" i="2"/>
  <c r="I67" i="2"/>
  <c r="H67" i="2"/>
  <c r="G67" i="2"/>
  <c r="F67" i="2"/>
  <c r="D67" i="2"/>
  <c r="I161" i="2"/>
  <c r="H161" i="2"/>
  <c r="G161" i="2"/>
  <c r="F161" i="2"/>
  <c r="E161" i="2"/>
  <c r="D161" i="2"/>
  <c r="C161" i="2"/>
  <c r="B161" i="2"/>
  <c r="A161" i="2"/>
  <c r="G357" i="2"/>
  <c r="F357" i="2"/>
  <c r="E357" i="2"/>
  <c r="D357" i="2"/>
  <c r="C357" i="2"/>
  <c r="B357" i="2"/>
  <c r="I357" i="2"/>
  <c r="H357" i="2"/>
  <c r="A357" i="2"/>
  <c r="F501" i="2"/>
  <c r="E501" i="2"/>
  <c r="D501" i="2"/>
  <c r="C501" i="2"/>
  <c r="B501" i="2"/>
  <c r="A501" i="2"/>
  <c r="I501" i="2"/>
  <c r="H501" i="2"/>
  <c r="G501" i="2"/>
  <c r="I71" i="2"/>
  <c r="H71" i="2"/>
  <c r="G71" i="2"/>
  <c r="F71" i="2"/>
  <c r="D71" i="2"/>
  <c r="B71" i="2"/>
  <c r="C71" i="2"/>
  <c r="E71" i="2"/>
  <c r="A71" i="2"/>
  <c r="H174" i="2"/>
  <c r="F174" i="2"/>
  <c r="E174" i="2"/>
  <c r="D174" i="2"/>
  <c r="C174" i="2"/>
  <c r="B174" i="2"/>
  <c r="A174" i="2"/>
  <c r="G174" i="2"/>
  <c r="I174" i="2"/>
  <c r="B585" i="2"/>
  <c r="A585" i="2"/>
  <c r="I585" i="2"/>
  <c r="D585" i="2"/>
  <c r="H585" i="2"/>
  <c r="G585" i="2"/>
  <c r="F585" i="2"/>
  <c r="E585" i="2"/>
  <c r="C585" i="2"/>
  <c r="H25" i="2"/>
  <c r="I25" i="2"/>
  <c r="A25" i="2"/>
  <c r="G25" i="2"/>
  <c r="F25" i="2"/>
  <c r="E25" i="2"/>
  <c r="B25" i="2"/>
  <c r="D25" i="2"/>
  <c r="C25" i="2"/>
  <c r="F143" i="2"/>
  <c r="E143" i="2"/>
  <c r="I143" i="2"/>
  <c r="G143" i="2"/>
  <c r="C143" i="2"/>
  <c r="H143" i="2"/>
  <c r="D143" i="2"/>
  <c r="B143" i="2"/>
  <c r="A143" i="2"/>
  <c r="I284" i="2"/>
  <c r="H284" i="2"/>
  <c r="G284" i="2"/>
  <c r="F284" i="2"/>
  <c r="E284" i="2"/>
  <c r="C284" i="2"/>
  <c r="A284" i="2"/>
  <c r="B284" i="2"/>
  <c r="D284" i="2"/>
  <c r="E279" i="2"/>
  <c r="D279" i="2"/>
  <c r="C279" i="2"/>
  <c r="B279" i="2"/>
  <c r="A279" i="2"/>
  <c r="I279" i="2"/>
  <c r="H279" i="2"/>
  <c r="G279" i="2"/>
  <c r="F279" i="2"/>
  <c r="G224" i="2"/>
  <c r="D224" i="2"/>
  <c r="C224" i="2"/>
  <c r="B224" i="2"/>
  <c r="A224" i="2"/>
  <c r="I224" i="2"/>
  <c r="E224" i="2"/>
  <c r="H224" i="2"/>
  <c r="F224" i="2"/>
  <c r="I265" i="2"/>
  <c r="H265" i="2"/>
  <c r="G265" i="2"/>
  <c r="F265" i="2"/>
  <c r="D265" i="2"/>
  <c r="A265" i="2"/>
  <c r="E265" i="2"/>
  <c r="C265" i="2"/>
  <c r="B265" i="2"/>
  <c r="I146" i="2"/>
  <c r="H146" i="2"/>
  <c r="B146" i="2"/>
  <c r="A146" i="2"/>
  <c r="G146" i="2"/>
  <c r="F146" i="2"/>
  <c r="E146" i="2"/>
  <c r="D146" i="2"/>
  <c r="C146" i="2"/>
  <c r="H249" i="2"/>
  <c r="I249" i="2"/>
  <c r="G249" i="2"/>
  <c r="F249" i="2"/>
  <c r="D249" i="2"/>
  <c r="A249" i="2"/>
  <c r="E249" i="2"/>
  <c r="C249" i="2"/>
  <c r="B249" i="2"/>
  <c r="I220" i="2"/>
  <c r="F220" i="2"/>
  <c r="H220" i="2"/>
  <c r="G220" i="2"/>
  <c r="E220" i="2"/>
  <c r="D220" i="2"/>
  <c r="B220" i="2"/>
  <c r="C220" i="2"/>
  <c r="A220" i="2"/>
  <c r="I215" i="2"/>
  <c r="H215" i="2"/>
  <c r="G215" i="2"/>
  <c r="F215" i="2"/>
  <c r="E215" i="2"/>
  <c r="B215" i="2"/>
  <c r="D215" i="2"/>
  <c r="C215" i="2"/>
  <c r="A215" i="2"/>
  <c r="E518" i="2"/>
  <c r="C518" i="2"/>
  <c r="B518" i="2"/>
  <c r="A518" i="2"/>
  <c r="D518" i="2"/>
  <c r="I518" i="2"/>
  <c r="H518" i="2"/>
  <c r="G518" i="2"/>
  <c r="F518" i="2"/>
  <c r="H583" i="2"/>
  <c r="G583" i="2"/>
  <c r="F583" i="2"/>
  <c r="E583" i="2"/>
  <c r="D583" i="2"/>
  <c r="C583" i="2"/>
  <c r="B583" i="2"/>
  <c r="A583" i="2"/>
  <c r="I583" i="2"/>
  <c r="E438" i="2"/>
  <c r="B438" i="2"/>
  <c r="A438" i="2"/>
  <c r="I438" i="2"/>
  <c r="H438" i="2"/>
  <c r="G438" i="2"/>
  <c r="F438" i="2"/>
  <c r="D438" i="2"/>
  <c r="C438" i="2"/>
  <c r="E478" i="2"/>
  <c r="I478" i="2"/>
  <c r="H478" i="2"/>
  <c r="G478" i="2"/>
  <c r="F478" i="2"/>
  <c r="D478" i="2"/>
  <c r="C478" i="2"/>
  <c r="B478" i="2"/>
  <c r="A478" i="2"/>
  <c r="A529" i="2"/>
  <c r="I529" i="2"/>
  <c r="H529" i="2"/>
  <c r="G529" i="2"/>
  <c r="F529" i="2"/>
  <c r="E529" i="2"/>
  <c r="D529" i="2"/>
  <c r="C529" i="2"/>
  <c r="B529" i="2"/>
  <c r="B533" i="2"/>
  <c r="A533" i="2"/>
  <c r="I533" i="2"/>
  <c r="H533" i="2"/>
  <c r="G533" i="2"/>
  <c r="F533" i="2"/>
  <c r="E533" i="2"/>
  <c r="D533" i="2"/>
  <c r="C533" i="2"/>
  <c r="F70" i="2"/>
  <c r="C70" i="2"/>
  <c r="E70" i="2"/>
  <c r="G70" i="2"/>
  <c r="B70" i="2"/>
  <c r="D70" i="2"/>
  <c r="I70" i="2"/>
  <c r="A70" i="2"/>
  <c r="H70" i="2"/>
  <c r="G64" i="2"/>
  <c r="F64" i="2"/>
  <c r="E64" i="2"/>
  <c r="D64" i="2"/>
  <c r="C64" i="2"/>
  <c r="B64" i="2"/>
  <c r="A64" i="2"/>
  <c r="I64" i="2"/>
  <c r="H64" i="2"/>
  <c r="I37" i="2"/>
  <c r="H37" i="2"/>
  <c r="G37" i="2"/>
  <c r="F37" i="2"/>
  <c r="E37" i="2"/>
  <c r="D37" i="2"/>
  <c r="C37" i="2"/>
  <c r="B37" i="2"/>
  <c r="A37" i="2"/>
  <c r="B353" i="2"/>
  <c r="I353" i="2"/>
  <c r="H353" i="2"/>
  <c r="G353" i="2"/>
  <c r="F353" i="2"/>
  <c r="E353" i="2"/>
  <c r="D353" i="2"/>
  <c r="C353" i="2"/>
  <c r="A353" i="2"/>
  <c r="I495" i="2"/>
  <c r="H495" i="2"/>
  <c r="G495" i="2"/>
  <c r="F495" i="2"/>
  <c r="E495" i="2"/>
  <c r="D495" i="2"/>
  <c r="C495" i="2"/>
  <c r="B495" i="2"/>
  <c r="A495" i="2"/>
  <c r="I290" i="2"/>
  <c r="H290" i="2"/>
  <c r="F290" i="2"/>
  <c r="E290" i="2"/>
  <c r="D290" i="2"/>
  <c r="C290" i="2"/>
  <c r="B290" i="2"/>
  <c r="A290" i="2"/>
  <c r="G290" i="2"/>
  <c r="H28" i="2"/>
  <c r="F28" i="2"/>
  <c r="G28" i="2"/>
  <c r="E28" i="2"/>
  <c r="C28" i="2"/>
  <c r="D28" i="2"/>
  <c r="A28" i="2"/>
  <c r="B28" i="2"/>
  <c r="I28" i="2"/>
  <c r="I238" i="2"/>
  <c r="G238" i="2"/>
  <c r="D238" i="2"/>
  <c r="F238" i="2"/>
  <c r="E238" i="2"/>
  <c r="C238" i="2"/>
  <c r="B238" i="2"/>
  <c r="A238" i="2"/>
  <c r="H238" i="2"/>
  <c r="I329" i="2"/>
  <c r="H329" i="2"/>
  <c r="G329" i="2"/>
  <c r="F329" i="2"/>
  <c r="E329" i="2"/>
  <c r="D329" i="2"/>
  <c r="C329" i="2"/>
  <c r="B329" i="2"/>
  <c r="A329" i="2"/>
  <c r="A569" i="2"/>
  <c r="I569" i="2"/>
  <c r="H569" i="2"/>
  <c r="G569" i="2"/>
  <c r="F569" i="2"/>
  <c r="E569" i="2"/>
  <c r="D569" i="2"/>
  <c r="C569" i="2"/>
  <c r="B569" i="2"/>
  <c r="I538" i="2"/>
  <c r="H538" i="2"/>
  <c r="G538" i="2"/>
  <c r="F538" i="2"/>
  <c r="E538" i="2"/>
  <c r="D538" i="2"/>
  <c r="C538" i="2"/>
  <c r="B538" i="2"/>
  <c r="A538" i="2"/>
  <c r="F117" i="2"/>
  <c r="E117" i="2"/>
  <c r="B117" i="2"/>
  <c r="A117" i="2"/>
  <c r="H117" i="2"/>
  <c r="D117" i="2"/>
  <c r="C117" i="2"/>
  <c r="I117" i="2"/>
  <c r="G117" i="2"/>
  <c r="I294" i="2"/>
  <c r="H294" i="2"/>
  <c r="G294" i="2"/>
  <c r="F294" i="2"/>
  <c r="E294" i="2"/>
  <c r="D294" i="2"/>
  <c r="C294" i="2"/>
  <c r="B294" i="2"/>
  <c r="A294" i="2"/>
  <c r="I305" i="2"/>
  <c r="H305" i="2"/>
  <c r="G305" i="2"/>
  <c r="F305" i="2"/>
  <c r="E305" i="2"/>
  <c r="D305" i="2"/>
  <c r="C305" i="2"/>
  <c r="B305" i="2"/>
  <c r="A305" i="2"/>
  <c r="A561" i="2"/>
  <c r="E561" i="2"/>
  <c r="B561" i="2"/>
  <c r="I561" i="2"/>
  <c r="H561" i="2"/>
  <c r="G561" i="2"/>
  <c r="F561" i="2"/>
  <c r="D561" i="2"/>
  <c r="C561" i="2"/>
  <c r="I74" i="2"/>
  <c r="H74" i="2"/>
  <c r="G74" i="2"/>
  <c r="F74" i="2"/>
  <c r="E74" i="2"/>
  <c r="D74" i="2"/>
  <c r="C74" i="2"/>
  <c r="B74" i="2"/>
  <c r="A74" i="2"/>
  <c r="H192" i="2"/>
  <c r="G192" i="2"/>
  <c r="F192" i="2"/>
  <c r="E192" i="2"/>
  <c r="D192" i="2"/>
  <c r="B192" i="2"/>
  <c r="I192" i="2"/>
  <c r="C192" i="2"/>
  <c r="A192" i="2"/>
  <c r="I475" i="2"/>
  <c r="C475" i="2"/>
  <c r="H475" i="2"/>
  <c r="G475" i="2"/>
  <c r="A475" i="2"/>
  <c r="F475" i="2"/>
  <c r="E475" i="2"/>
  <c r="D475" i="2"/>
  <c r="B475" i="2"/>
  <c r="I147" i="2"/>
  <c r="H147" i="2"/>
  <c r="G147" i="2"/>
  <c r="F147" i="2"/>
  <c r="E147" i="2"/>
  <c r="D147" i="2"/>
  <c r="C147" i="2"/>
  <c r="B147" i="2"/>
  <c r="A147" i="2"/>
  <c r="A465" i="2"/>
  <c r="I465" i="2"/>
  <c r="H465" i="2"/>
  <c r="G465" i="2"/>
  <c r="F465" i="2"/>
  <c r="E465" i="2"/>
  <c r="D465" i="2"/>
  <c r="C465" i="2"/>
  <c r="B465" i="2"/>
  <c r="B33" i="2"/>
  <c r="F33" i="2"/>
  <c r="I33" i="2"/>
  <c r="E33" i="2"/>
  <c r="A33" i="2"/>
  <c r="G33" i="2"/>
  <c r="H33" i="2"/>
  <c r="C33" i="2"/>
  <c r="D33" i="2"/>
  <c r="I230" i="2"/>
  <c r="G230" i="2"/>
  <c r="E230" i="2"/>
  <c r="H230" i="2"/>
  <c r="F230" i="2"/>
  <c r="D230" i="2"/>
  <c r="C230" i="2"/>
  <c r="B230" i="2"/>
  <c r="A230" i="2"/>
  <c r="A304" i="2"/>
  <c r="E304" i="2"/>
  <c r="D304" i="2"/>
  <c r="C304" i="2"/>
  <c r="B304" i="2"/>
  <c r="I304" i="2"/>
  <c r="H304" i="2"/>
  <c r="G304" i="2"/>
  <c r="F304" i="2"/>
  <c r="D216" i="2"/>
  <c r="C216" i="2"/>
  <c r="B216" i="2"/>
  <c r="A216" i="2"/>
  <c r="I216" i="2"/>
  <c r="H216" i="2"/>
  <c r="G216" i="2"/>
  <c r="F216" i="2"/>
  <c r="E216" i="2"/>
  <c r="I306" i="2"/>
  <c r="B306" i="2"/>
  <c r="F306" i="2"/>
  <c r="E306" i="2"/>
  <c r="D306" i="2"/>
  <c r="C306" i="2"/>
  <c r="A306" i="2"/>
  <c r="G306" i="2"/>
  <c r="H306" i="2"/>
  <c r="F286" i="2"/>
  <c r="E286" i="2"/>
  <c r="D286" i="2"/>
  <c r="C286" i="2"/>
  <c r="B286" i="2"/>
  <c r="A286" i="2"/>
  <c r="I286" i="2"/>
  <c r="H286" i="2"/>
  <c r="G286" i="2"/>
  <c r="I154" i="2"/>
  <c r="H154" i="2"/>
  <c r="C154" i="2"/>
  <c r="B154" i="2"/>
  <c r="A154" i="2"/>
  <c r="G154" i="2"/>
  <c r="F154" i="2"/>
  <c r="E154" i="2"/>
  <c r="D154" i="2"/>
  <c r="I260" i="2"/>
  <c r="H260" i="2"/>
  <c r="E260" i="2"/>
  <c r="G260" i="2"/>
  <c r="F260" i="2"/>
  <c r="D260" i="2"/>
  <c r="C260" i="2"/>
  <c r="B260" i="2"/>
  <c r="A260" i="2"/>
  <c r="I228" i="2"/>
  <c r="F228" i="2"/>
  <c r="H228" i="2"/>
  <c r="G228" i="2"/>
  <c r="E228" i="2"/>
  <c r="D228" i="2"/>
  <c r="B228" i="2"/>
  <c r="C228" i="2"/>
  <c r="A228" i="2"/>
  <c r="I223" i="2"/>
  <c r="H223" i="2"/>
  <c r="G223" i="2"/>
  <c r="F223" i="2"/>
  <c r="E223" i="2"/>
  <c r="B223" i="2"/>
  <c r="D223" i="2"/>
  <c r="C223" i="2"/>
  <c r="A223" i="2"/>
  <c r="G522" i="2"/>
  <c r="D522" i="2"/>
  <c r="H522" i="2"/>
  <c r="C522" i="2"/>
  <c r="I522" i="2"/>
  <c r="F522" i="2"/>
  <c r="E522" i="2"/>
  <c r="B522" i="2"/>
  <c r="A522" i="2"/>
  <c r="H365" i="2"/>
  <c r="G365" i="2"/>
  <c r="F365" i="2"/>
  <c r="E365" i="2"/>
  <c r="I365" i="2"/>
  <c r="D365" i="2"/>
  <c r="C365" i="2"/>
  <c r="B365" i="2"/>
  <c r="A365" i="2"/>
  <c r="G519" i="2"/>
  <c r="I519" i="2"/>
  <c r="H519" i="2"/>
  <c r="F519" i="2"/>
  <c r="E519" i="2"/>
  <c r="D519" i="2"/>
  <c r="C519" i="2"/>
  <c r="B519" i="2"/>
  <c r="A519" i="2"/>
  <c r="A489" i="2"/>
  <c r="I489" i="2"/>
  <c r="H489" i="2"/>
  <c r="G489" i="2"/>
  <c r="F489" i="2"/>
  <c r="E489" i="2"/>
  <c r="D489" i="2"/>
  <c r="C489" i="2"/>
  <c r="B489" i="2"/>
  <c r="I532" i="2"/>
  <c r="H532" i="2"/>
  <c r="G532" i="2"/>
  <c r="F532" i="2"/>
  <c r="E532" i="2"/>
  <c r="D532" i="2"/>
  <c r="C532" i="2"/>
  <c r="B532" i="2"/>
  <c r="A532" i="2"/>
  <c r="I541" i="2"/>
  <c r="H541" i="2"/>
  <c r="G541" i="2"/>
  <c r="F541" i="2"/>
  <c r="E541" i="2"/>
  <c r="D541" i="2"/>
  <c r="C541" i="2"/>
  <c r="B541" i="2"/>
  <c r="A541" i="2"/>
  <c r="F38" i="2"/>
  <c r="A38" i="2"/>
  <c r="B38" i="2"/>
  <c r="G38" i="2"/>
  <c r="E38" i="2"/>
  <c r="H38" i="2"/>
  <c r="C38" i="2"/>
  <c r="I38" i="2"/>
  <c r="D38" i="2"/>
  <c r="C59" i="2"/>
  <c r="B59" i="2"/>
  <c r="A59" i="2"/>
  <c r="E59" i="2"/>
  <c r="D59" i="2"/>
  <c r="H59" i="2"/>
  <c r="I59" i="2"/>
  <c r="G59" i="2"/>
  <c r="F59" i="2"/>
  <c r="E253" i="2"/>
  <c r="F253" i="2"/>
  <c r="C253" i="2"/>
  <c r="B253" i="2"/>
  <c r="A253" i="2"/>
  <c r="H253" i="2"/>
  <c r="I253" i="2"/>
  <c r="G253" i="2"/>
  <c r="D253" i="2"/>
  <c r="I444" i="2"/>
  <c r="H444" i="2"/>
  <c r="C444" i="2"/>
  <c r="A444" i="2"/>
  <c r="G444" i="2"/>
  <c r="E444" i="2"/>
  <c r="D444" i="2"/>
  <c r="B444" i="2"/>
  <c r="F444" i="2"/>
  <c r="G158" i="2"/>
  <c r="F158" i="2"/>
  <c r="E158" i="2"/>
  <c r="D158" i="2"/>
  <c r="C158" i="2"/>
  <c r="B158" i="2"/>
  <c r="A158" i="2"/>
  <c r="I158" i="2"/>
  <c r="H158" i="2"/>
  <c r="E390" i="2"/>
  <c r="I390" i="2"/>
  <c r="D390" i="2"/>
  <c r="C390" i="2"/>
  <c r="B390" i="2"/>
  <c r="A390" i="2"/>
  <c r="F390" i="2"/>
  <c r="H390" i="2"/>
  <c r="G390" i="2"/>
  <c r="C276" i="2"/>
  <c r="B276" i="2"/>
  <c r="A276" i="2"/>
  <c r="I276" i="2"/>
  <c r="G276" i="2"/>
  <c r="H276" i="2"/>
  <c r="F276" i="2"/>
  <c r="E276" i="2"/>
  <c r="D276" i="2"/>
  <c r="A401" i="2"/>
  <c r="I401" i="2"/>
  <c r="H401" i="2"/>
  <c r="E401" i="2"/>
  <c r="C401" i="2"/>
  <c r="D401" i="2"/>
  <c r="F401" i="2"/>
  <c r="B401" i="2"/>
  <c r="G401" i="2"/>
  <c r="E534" i="2"/>
  <c r="G534" i="2"/>
  <c r="C534" i="2"/>
  <c r="B534" i="2"/>
  <c r="A534" i="2"/>
  <c r="H534" i="2"/>
  <c r="F534" i="2"/>
  <c r="D534" i="2"/>
  <c r="I534" i="2"/>
  <c r="D26" i="2"/>
  <c r="I26" i="2"/>
  <c r="H26" i="2"/>
  <c r="G26" i="2"/>
  <c r="F26" i="2"/>
  <c r="E26" i="2"/>
  <c r="B26" i="2"/>
  <c r="C26" i="2"/>
  <c r="A26" i="2"/>
  <c r="E372" i="2"/>
  <c r="D372" i="2"/>
  <c r="A372" i="2"/>
  <c r="I372" i="2"/>
  <c r="H372" i="2"/>
  <c r="G372" i="2"/>
  <c r="B372" i="2"/>
  <c r="F372" i="2"/>
  <c r="C372" i="2"/>
  <c r="I356" i="2"/>
  <c r="H356" i="2"/>
  <c r="G356" i="2"/>
  <c r="F356" i="2"/>
  <c r="C356" i="2"/>
  <c r="E356" i="2"/>
  <c r="D356" i="2"/>
  <c r="B356" i="2"/>
  <c r="A356" i="2"/>
  <c r="I535" i="2"/>
  <c r="H535" i="2"/>
  <c r="G535" i="2"/>
  <c r="F535" i="2"/>
  <c r="E535" i="2"/>
  <c r="D535" i="2"/>
  <c r="C535" i="2"/>
  <c r="B535" i="2"/>
  <c r="A535" i="2"/>
  <c r="F101" i="2"/>
  <c r="E101" i="2"/>
  <c r="I101" i="2"/>
  <c r="G101" i="2"/>
  <c r="H101" i="2"/>
  <c r="C101" i="2"/>
  <c r="D101" i="2"/>
  <c r="B101" i="2"/>
  <c r="A101" i="2"/>
  <c r="I476" i="2"/>
  <c r="H476" i="2"/>
  <c r="G476" i="2"/>
  <c r="F476" i="2"/>
  <c r="E476" i="2"/>
  <c r="D476" i="2"/>
  <c r="C476" i="2"/>
  <c r="B476" i="2"/>
  <c r="A476" i="2"/>
  <c r="H84" i="2"/>
  <c r="F84" i="2"/>
  <c r="A84" i="2"/>
  <c r="I84" i="2"/>
  <c r="G84" i="2"/>
  <c r="E84" i="2"/>
  <c r="B84" i="2"/>
  <c r="D84" i="2"/>
  <c r="C84" i="2"/>
  <c r="C267" i="2"/>
  <c r="B267" i="2"/>
  <c r="A267" i="2"/>
  <c r="G267" i="2"/>
  <c r="F267" i="2"/>
  <c r="E267" i="2"/>
  <c r="D267" i="2"/>
  <c r="I267" i="2"/>
  <c r="H267" i="2"/>
  <c r="I517" i="2"/>
  <c r="H517" i="2"/>
  <c r="G517" i="2"/>
  <c r="F517" i="2"/>
  <c r="E517" i="2"/>
  <c r="D517" i="2"/>
  <c r="C517" i="2"/>
  <c r="B517" i="2"/>
  <c r="A517" i="2"/>
  <c r="F85" i="2"/>
  <c r="I85" i="2"/>
  <c r="H85" i="2"/>
  <c r="G85" i="2"/>
  <c r="E85" i="2"/>
  <c r="D85" i="2"/>
  <c r="C85" i="2"/>
  <c r="B85" i="2"/>
  <c r="A85" i="2"/>
  <c r="A328" i="2"/>
  <c r="G328" i="2"/>
  <c r="I328" i="2"/>
  <c r="H328" i="2"/>
  <c r="F328" i="2"/>
  <c r="E328" i="2"/>
  <c r="D328" i="2"/>
  <c r="C328" i="2"/>
  <c r="B328" i="2"/>
  <c r="I298" i="2"/>
  <c r="H298" i="2"/>
  <c r="G298" i="2"/>
  <c r="F298" i="2"/>
  <c r="E298" i="2"/>
  <c r="C298" i="2"/>
  <c r="D298" i="2"/>
  <c r="B298" i="2"/>
  <c r="A298" i="2"/>
  <c r="I162" i="2"/>
  <c r="H162" i="2"/>
  <c r="G162" i="2"/>
  <c r="C162" i="2"/>
  <c r="B162" i="2"/>
  <c r="A162" i="2"/>
  <c r="F162" i="2"/>
  <c r="E162" i="2"/>
  <c r="D162" i="2"/>
  <c r="I271" i="2"/>
  <c r="H271" i="2"/>
  <c r="A271" i="2"/>
  <c r="G271" i="2"/>
  <c r="E271" i="2"/>
  <c r="C271" i="2"/>
  <c r="B271" i="2"/>
  <c r="F271" i="2"/>
  <c r="D271" i="2"/>
  <c r="I236" i="2"/>
  <c r="H236" i="2"/>
  <c r="F236" i="2"/>
  <c r="G236" i="2"/>
  <c r="E236" i="2"/>
  <c r="D236" i="2"/>
  <c r="C236" i="2"/>
  <c r="B236" i="2"/>
  <c r="A236" i="2"/>
  <c r="I231" i="2"/>
  <c r="H231" i="2"/>
  <c r="G231" i="2"/>
  <c r="F231" i="2"/>
  <c r="E231" i="2"/>
  <c r="D231" i="2"/>
  <c r="B231" i="2"/>
  <c r="A231" i="2"/>
  <c r="C231" i="2"/>
  <c r="B527" i="2"/>
  <c r="A527" i="2"/>
  <c r="E527" i="2"/>
  <c r="G527" i="2"/>
  <c r="F527" i="2"/>
  <c r="D527" i="2"/>
  <c r="C527" i="2"/>
  <c r="I527" i="2"/>
  <c r="H527" i="2"/>
  <c r="H386" i="2"/>
  <c r="G386" i="2"/>
  <c r="F386" i="2"/>
  <c r="E386" i="2"/>
  <c r="C386" i="2"/>
  <c r="I386" i="2"/>
  <c r="D386" i="2"/>
  <c r="B386" i="2"/>
  <c r="A386" i="2"/>
  <c r="I551" i="2"/>
  <c r="H551" i="2"/>
  <c r="G551" i="2"/>
  <c r="F551" i="2"/>
  <c r="E551" i="2"/>
  <c r="D551" i="2"/>
  <c r="C551" i="2"/>
  <c r="B551" i="2"/>
  <c r="A551" i="2"/>
  <c r="I500" i="2"/>
  <c r="H500" i="2"/>
  <c r="G500" i="2"/>
  <c r="F500" i="2"/>
  <c r="A500" i="2"/>
  <c r="B500" i="2"/>
  <c r="E500" i="2"/>
  <c r="D500" i="2"/>
  <c r="C500" i="2"/>
  <c r="I547" i="2"/>
  <c r="D547" i="2"/>
  <c r="C547" i="2"/>
  <c r="B547" i="2"/>
  <c r="H547" i="2"/>
  <c r="G547" i="2"/>
  <c r="F547" i="2"/>
  <c r="E547" i="2"/>
  <c r="A547" i="2"/>
  <c r="E549" i="2"/>
  <c r="G549" i="2"/>
  <c r="I549" i="2"/>
  <c r="D549" i="2"/>
  <c r="H549" i="2"/>
  <c r="F549" i="2"/>
  <c r="C549" i="2"/>
  <c r="B549" i="2"/>
  <c r="A549" i="2"/>
  <c r="B203" i="2"/>
  <c r="A203" i="2"/>
  <c r="G203" i="2"/>
  <c r="D203" i="2"/>
  <c r="H203" i="2"/>
  <c r="C203" i="2"/>
  <c r="F203" i="2"/>
  <c r="I203" i="2"/>
  <c r="E203" i="2"/>
  <c r="F86" i="2"/>
  <c r="E86" i="2"/>
  <c r="D86" i="2"/>
  <c r="C86" i="2"/>
  <c r="B86" i="2"/>
  <c r="A86" i="2"/>
  <c r="G86" i="2"/>
  <c r="I86" i="2"/>
  <c r="H86" i="2"/>
  <c r="D229" i="2"/>
  <c r="B229" i="2"/>
  <c r="A229" i="2"/>
  <c r="I229" i="2"/>
  <c r="H229" i="2"/>
  <c r="G229" i="2"/>
  <c r="F229" i="2"/>
  <c r="E229" i="2"/>
  <c r="C229" i="2"/>
  <c r="I78" i="2"/>
  <c r="G78" i="2"/>
  <c r="C78" i="2"/>
  <c r="F78" i="2"/>
  <c r="D78" i="2"/>
  <c r="H78" i="2"/>
  <c r="E78" i="2"/>
  <c r="A78" i="2"/>
  <c r="B78" i="2"/>
  <c r="A378" i="2"/>
  <c r="I378" i="2"/>
  <c r="H378" i="2"/>
  <c r="G378" i="2"/>
  <c r="F378" i="2"/>
  <c r="E378" i="2"/>
  <c r="C378" i="2"/>
  <c r="D378" i="2"/>
  <c r="B378" i="2"/>
  <c r="I42" i="2"/>
  <c r="H42" i="2"/>
  <c r="G42" i="2"/>
  <c r="D42" i="2"/>
  <c r="F42" i="2"/>
  <c r="E42" i="2"/>
  <c r="B42" i="2"/>
  <c r="C42" i="2"/>
  <c r="A42" i="2"/>
  <c r="H44" i="2"/>
  <c r="F44" i="2"/>
  <c r="C44" i="2"/>
  <c r="I44" i="2"/>
  <c r="G44" i="2"/>
  <c r="E44" i="2"/>
  <c r="D44" i="2"/>
  <c r="B44" i="2"/>
  <c r="A44" i="2"/>
  <c r="I214" i="2"/>
  <c r="H214" i="2"/>
  <c r="F214" i="2"/>
  <c r="C214" i="2"/>
  <c r="G214" i="2"/>
  <c r="D214" i="2"/>
  <c r="E214" i="2"/>
  <c r="B214" i="2"/>
  <c r="A214" i="2"/>
  <c r="I346" i="2"/>
  <c r="H346" i="2"/>
  <c r="G346" i="2"/>
  <c r="F346" i="2"/>
  <c r="E346" i="2"/>
  <c r="D346" i="2"/>
  <c r="B346" i="2"/>
  <c r="A346" i="2"/>
  <c r="C346" i="2"/>
  <c r="E564" i="2"/>
  <c r="I564" i="2"/>
  <c r="H564" i="2"/>
  <c r="G564" i="2"/>
  <c r="F564" i="2"/>
  <c r="D564" i="2"/>
  <c r="C564" i="2"/>
  <c r="B564" i="2"/>
  <c r="A564" i="2"/>
  <c r="I273" i="2"/>
  <c r="H273" i="2"/>
  <c r="F273" i="2"/>
  <c r="C273" i="2"/>
  <c r="G273" i="2"/>
  <c r="E273" i="2"/>
  <c r="D273" i="2"/>
  <c r="B273" i="2"/>
  <c r="A273" i="2"/>
  <c r="I523" i="2"/>
  <c r="D523" i="2"/>
  <c r="C523" i="2"/>
  <c r="B523" i="2"/>
  <c r="H523" i="2"/>
  <c r="G523" i="2"/>
  <c r="F523" i="2"/>
  <c r="E523" i="2"/>
  <c r="A523" i="2"/>
  <c r="I82" i="2"/>
  <c r="H82" i="2"/>
  <c r="G82" i="2"/>
  <c r="F82" i="2"/>
  <c r="E82" i="2"/>
  <c r="D82" i="2"/>
  <c r="C82" i="2"/>
  <c r="B82" i="2"/>
  <c r="A82" i="2"/>
  <c r="A521" i="2"/>
  <c r="D521" i="2"/>
  <c r="C521" i="2"/>
  <c r="B521" i="2"/>
  <c r="I521" i="2"/>
  <c r="H521" i="2"/>
  <c r="G521" i="2"/>
  <c r="F521" i="2"/>
  <c r="E521" i="2"/>
  <c r="B347" i="2"/>
  <c r="A347" i="2"/>
  <c r="I347" i="2"/>
  <c r="H347" i="2"/>
  <c r="G347" i="2"/>
  <c r="F347" i="2"/>
  <c r="E347" i="2"/>
  <c r="D347" i="2"/>
  <c r="C347" i="2"/>
  <c r="G572" i="2"/>
  <c r="I572" i="2"/>
  <c r="H572" i="2"/>
  <c r="F572" i="2"/>
  <c r="E572" i="2"/>
  <c r="D572" i="2"/>
  <c r="C572" i="2"/>
  <c r="B572" i="2"/>
  <c r="A572" i="2"/>
  <c r="E380" i="2"/>
  <c r="D380" i="2"/>
  <c r="I380" i="2"/>
  <c r="H380" i="2"/>
  <c r="F380" i="2"/>
  <c r="C380" i="2"/>
  <c r="B380" i="2"/>
  <c r="A380" i="2"/>
  <c r="G380" i="2"/>
  <c r="I118" i="2"/>
  <c r="G118" i="2"/>
  <c r="B118" i="2"/>
  <c r="H118" i="2"/>
  <c r="F118" i="2"/>
  <c r="E118" i="2"/>
  <c r="D118" i="2"/>
  <c r="C118" i="2"/>
  <c r="A118" i="2"/>
  <c r="H560" i="2"/>
  <c r="G560" i="2"/>
  <c r="F560" i="2"/>
  <c r="I560" i="2"/>
  <c r="E560" i="2"/>
  <c r="D560" i="2"/>
  <c r="C560" i="2"/>
  <c r="B560" i="2"/>
  <c r="A560" i="2"/>
  <c r="H49" i="2"/>
  <c r="G49" i="2"/>
  <c r="F49" i="2"/>
  <c r="E49" i="2"/>
  <c r="D49" i="2"/>
  <c r="C49" i="2"/>
  <c r="B49" i="2"/>
  <c r="A49" i="2"/>
  <c r="I49" i="2"/>
  <c r="I153" i="2"/>
  <c r="H153" i="2"/>
  <c r="F153" i="2"/>
  <c r="D153" i="2"/>
  <c r="B153" i="2"/>
  <c r="C153" i="2"/>
  <c r="G153" i="2"/>
  <c r="E153" i="2"/>
  <c r="A153" i="2"/>
  <c r="D237" i="2"/>
  <c r="B237" i="2"/>
  <c r="A237" i="2"/>
  <c r="I237" i="2"/>
  <c r="H237" i="2"/>
  <c r="G237" i="2"/>
  <c r="F237" i="2"/>
  <c r="E237" i="2"/>
  <c r="C237" i="2"/>
  <c r="I102" i="2"/>
  <c r="H102" i="2"/>
  <c r="G102" i="2"/>
  <c r="F102" i="2"/>
  <c r="E102" i="2"/>
  <c r="D102" i="2"/>
  <c r="C102" i="2"/>
  <c r="B102" i="2"/>
  <c r="A102" i="2"/>
  <c r="I338" i="2"/>
  <c r="H338" i="2"/>
  <c r="G338" i="2"/>
  <c r="F338" i="2"/>
  <c r="D338" i="2"/>
  <c r="B338" i="2"/>
  <c r="A338" i="2"/>
  <c r="E338" i="2"/>
  <c r="C338" i="2"/>
  <c r="I334" i="2"/>
  <c r="H334" i="2"/>
  <c r="G334" i="2"/>
  <c r="F334" i="2"/>
  <c r="D334" i="2"/>
  <c r="A334" i="2"/>
  <c r="C334" i="2"/>
  <c r="E334" i="2"/>
  <c r="B334" i="2"/>
  <c r="I170" i="2"/>
  <c r="H170" i="2"/>
  <c r="G170" i="2"/>
  <c r="C170" i="2"/>
  <c r="B170" i="2"/>
  <c r="A170" i="2"/>
  <c r="E170" i="2"/>
  <c r="D170" i="2"/>
  <c r="F170" i="2"/>
  <c r="I310" i="2"/>
  <c r="H310" i="2"/>
  <c r="G310" i="2"/>
  <c r="D310" i="2"/>
  <c r="F310" i="2"/>
  <c r="E310" i="2"/>
  <c r="C310" i="2"/>
  <c r="B310" i="2"/>
  <c r="A310" i="2"/>
  <c r="I244" i="2"/>
  <c r="H244" i="2"/>
  <c r="F244" i="2"/>
  <c r="D244" i="2"/>
  <c r="G244" i="2"/>
  <c r="E244" i="2"/>
  <c r="C244" i="2"/>
  <c r="B244" i="2"/>
  <c r="A244" i="2"/>
  <c r="I239" i="2"/>
  <c r="H239" i="2"/>
  <c r="G239" i="2"/>
  <c r="F239" i="2"/>
  <c r="E239" i="2"/>
  <c r="D239" i="2"/>
  <c r="B239" i="2"/>
  <c r="A239" i="2"/>
  <c r="C239" i="2"/>
  <c r="I554" i="2"/>
  <c r="D554" i="2"/>
  <c r="C554" i="2"/>
  <c r="B554" i="2"/>
  <c r="A554" i="2"/>
  <c r="H554" i="2"/>
  <c r="G554" i="2"/>
  <c r="F554" i="2"/>
  <c r="E554" i="2"/>
  <c r="E413" i="2"/>
  <c r="D413" i="2"/>
  <c r="C413" i="2"/>
  <c r="B413" i="2"/>
  <c r="A413" i="2"/>
  <c r="I413" i="2"/>
  <c r="H413" i="2"/>
  <c r="G413" i="2"/>
  <c r="F413" i="2"/>
  <c r="B593" i="2"/>
  <c r="A593" i="2"/>
  <c r="I593" i="2"/>
  <c r="H593" i="2"/>
  <c r="G593" i="2"/>
  <c r="F593" i="2"/>
  <c r="E593" i="2"/>
  <c r="D593" i="2"/>
  <c r="C593" i="2"/>
  <c r="I511" i="2"/>
  <c r="H511" i="2"/>
  <c r="G511" i="2"/>
  <c r="F511" i="2"/>
  <c r="A511" i="2"/>
  <c r="B511" i="2"/>
  <c r="D511" i="2"/>
  <c r="E511" i="2"/>
  <c r="C511" i="2"/>
  <c r="I603" i="2"/>
  <c r="H603" i="2"/>
  <c r="G603" i="2"/>
  <c r="F603" i="2"/>
  <c r="E603" i="2"/>
  <c r="D603" i="2"/>
  <c r="C603" i="2"/>
  <c r="B603" i="2"/>
  <c r="A603" i="2"/>
  <c r="G557" i="2"/>
  <c r="I557" i="2"/>
  <c r="H557" i="2"/>
  <c r="F557" i="2"/>
  <c r="E557" i="2"/>
  <c r="D557" i="2"/>
  <c r="C557" i="2"/>
  <c r="B557" i="2"/>
  <c r="A557" i="2"/>
  <c r="H234" i="2"/>
  <c r="F234" i="2"/>
  <c r="E234" i="2"/>
  <c r="D234" i="2"/>
  <c r="C234" i="2"/>
  <c r="B234" i="2"/>
  <c r="A234" i="2"/>
  <c r="I234" i="2"/>
  <c r="G234" i="2"/>
  <c r="D97" i="2"/>
  <c r="C97" i="2"/>
  <c r="B97" i="2"/>
  <c r="A97" i="2"/>
  <c r="E97" i="2"/>
  <c r="G97" i="2"/>
  <c r="H97" i="2"/>
  <c r="I97" i="2"/>
  <c r="F97" i="2"/>
  <c r="D442" i="2"/>
  <c r="C442" i="2"/>
  <c r="B442" i="2"/>
  <c r="A442" i="2"/>
  <c r="F442" i="2"/>
  <c r="E442" i="2"/>
  <c r="H442" i="2"/>
  <c r="G442" i="2"/>
  <c r="I442" i="2"/>
  <c r="A288" i="2"/>
  <c r="I288" i="2"/>
  <c r="H288" i="2"/>
  <c r="G288" i="2"/>
  <c r="F288" i="2"/>
  <c r="E288" i="2"/>
  <c r="D288" i="2"/>
  <c r="C288" i="2"/>
  <c r="B288" i="2"/>
  <c r="F477" i="2"/>
  <c r="E477" i="2"/>
  <c r="D477" i="2"/>
  <c r="C477" i="2"/>
  <c r="B477" i="2"/>
  <c r="A477" i="2"/>
  <c r="I477" i="2"/>
  <c r="H477" i="2"/>
  <c r="G477" i="2"/>
  <c r="I262" i="2"/>
  <c r="H262" i="2"/>
  <c r="G262" i="2"/>
  <c r="F262" i="2"/>
  <c r="E262" i="2"/>
  <c r="D262" i="2"/>
  <c r="B262" i="2"/>
  <c r="A262" i="2"/>
  <c r="C262" i="2"/>
  <c r="I480" i="2"/>
  <c r="H480" i="2"/>
  <c r="G480" i="2"/>
  <c r="F480" i="2"/>
  <c r="E480" i="2"/>
  <c r="D480" i="2"/>
  <c r="C480" i="2"/>
  <c r="B480" i="2"/>
  <c r="A480" i="2"/>
  <c r="I587" i="2"/>
  <c r="D587" i="2"/>
  <c r="C587" i="2"/>
  <c r="B587" i="2"/>
  <c r="H587" i="2"/>
  <c r="G587" i="2"/>
  <c r="F587" i="2"/>
  <c r="E587" i="2"/>
  <c r="A587" i="2"/>
  <c r="E309" i="2"/>
  <c r="A309" i="2"/>
  <c r="H309" i="2"/>
  <c r="I309" i="2"/>
  <c r="G309" i="2"/>
  <c r="F309" i="2"/>
  <c r="D309" i="2"/>
  <c r="C309" i="2"/>
  <c r="B309" i="2"/>
  <c r="I506" i="2"/>
  <c r="H506" i="2"/>
  <c r="G506" i="2"/>
  <c r="F506" i="2"/>
  <c r="E506" i="2"/>
  <c r="D506" i="2"/>
  <c r="C506" i="2"/>
  <c r="B506" i="2"/>
  <c r="A506" i="2"/>
  <c r="I50" i="2"/>
  <c r="H50" i="2"/>
  <c r="G50" i="2"/>
  <c r="F50" i="2"/>
  <c r="E50" i="2"/>
  <c r="D50" i="2"/>
  <c r="C50" i="2"/>
  <c r="B50" i="2"/>
  <c r="A50" i="2"/>
  <c r="A553" i="2"/>
  <c r="I553" i="2"/>
  <c r="H553" i="2"/>
  <c r="G553" i="2"/>
  <c r="F553" i="2"/>
  <c r="E553" i="2"/>
  <c r="D553" i="2"/>
  <c r="C553" i="2"/>
  <c r="B553" i="2"/>
  <c r="H76" i="2"/>
  <c r="F76" i="2"/>
  <c r="I76" i="2"/>
  <c r="G76" i="2"/>
  <c r="E76" i="2"/>
  <c r="C76" i="2"/>
  <c r="D76" i="2"/>
  <c r="B76" i="2"/>
  <c r="A76" i="2"/>
  <c r="G41" i="2"/>
  <c r="H41" i="2"/>
  <c r="F41" i="2"/>
  <c r="I41" i="2"/>
  <c r="E41" i="2"/>
  <c r="C41" i="2"/>
  <c r="A41" i="2"/>
  <c r="D41" i="2"/>
  <c r="B41" i="2"/>
  <c r="I124" i="2"/>
  <c r="H124" i="2"/>
  <c r="F124" i="2"/>
  <c r="D124" i="2"/>
  <c r="G124" i="2"/>
  <c r="E124" i="2"/>
  <c r="C124" i="2"/>
  <c r="B124" i="2"/>
  <c r="A124" i="2"/>
  <c r="I137" i="2"/>
  <c r="H137" i="2"/>
  <c r="G137" i="2"/>
  <c r="F137" i="2"/>
  <c r="E137" i="2"/>
  <c r="D137" i="2"/>
  <c r="B137" i="2"/>
  <c r="C137" i="2"/>
  <c r="A137" i="2"/>
  <c r="E382" i="2"/>
  <c r="G382" i="2"/>
  <c r="F382" i="2"/>
  <c r="I382" i="2"/>
  <c r="H382" i="2"/>
  <c r="D382" i="2"/>
  <c r="C382" i="2"/>
  <c r="B382" i="2"/>
  <c r="A382" i="2"/>
  <c r="F240" i="2"/>
  <c r="E240" i="2"/>
  <c r="D240" i="2"/>
  <c r="C240" i="2"/>
  <c r="B240" i="2"/>
  <c r="A240" i="2"/>
  <c r="I240" i="2"/>
  <c r="H240" i="2"/>
  <c r="G240" i="2"/>
  <c r="G92" i="2"/>
  <c r="D92" i="2"/>
  <c r="E92" i="2"/>
  <c r="H92" i="2"/>
  <c r="B92" i="2"/>
  <c r="I92" i="2"/>
  <c r="C92" i="2"/>
  <c r="F92" i="2"/>
  <c r="A92" i="2"/>
  <c r="A57" i="2"/>
  <c r="I57" i="2"/>
  <c r="H57" i="2"/>
  <c r="G57" i="2"/>
  <c r="F57" i="2"/>
  <c r="E57" i="2"/>
  <c r="D57" i="2"/>
  <c r="C57" i="2"/>
  <c r="B57" i="2"/>
  <c r="I200" i="2"/>
  <c r="H200" i="2"/>
  <c r="F200" i="2"/>
  <c r="D200" i="2"/>
  <c r="G200" i="2"/>
  <c r="E200" i="2"/>
  <c r="C200" i="2"/>
  <c r="B200" i="2"/>
  <c r="A200" i="2"/>
  <c r="F331" i="2"/>
  <c r="E331" i="2"/>
  <c r="D331" i="2"/>
  <c r="C331" i="2"/>
  <c r="B331" i="2"/>
  <c r="A331" i="2"/>
  <c r="I331" i="2"/>
  <c r="H331" i="2"/>
  <c r="G331" i="2"/>
  <c r="I119" i="2"/>
  <c r="H119" i="2"/>
  <c r="G119" i="2"/>
  <c r="F119" i="2"/>
  <c r="E119" i="2"/>
  <c r="D119" i="2"/>
  <c r="C119" i="2"/>
  <c r="B119" i="2"/>
  <c r="A119" i="2"/>
  <c r="A417" i="2"/>
  <c r="G417" i="2"/>
  <c r="F417" i="2"/>
  <c r="E417" i="2"/>
  <c r="D417" i="2"/>
  <c r="C417" i="2"/>
  <c r="B417" i="2"/>
  <c r="I417" i="2"/>
  <c r="H417" i="2"/>
  <c r="A344" i="2"/>
  <c r="I344" i="2"/>
  <c r="H344" i="2"/>
  <c r="G344" i="2"/>
  <c r="F344" i="2"/>
  <c r="D344" i="2"/>
  <c r="E344" i="2"/>
  <c r="B344" i="2"/>
  <c r="C344" i="2"/>
  <c r="I178" i="2"/>
  <c r="H178" i="2"/>
  <c r="G178" i="2"/>
  <c r="C178" i="2"/>
  <c r="B178" i="2"/>
  <c r="A178" i="2"/>
  <c r="F178" i="2"/>
  <c r="D178" i="2"/>
  <c r="E178" i="2"/>
  <c r="I313" i="2"/>
  <c r="H313" i="2"/>
  <c r="A313" i="2"/>
  <c r="D313" i="2"/>
  <c r="C313" i="2"/>
  <c r="E313" i="2"/>
  <c r="G313" i="2"/>
  <c r="F313" i="2"/>
  <c r="B313" i="2"/>
  <c r="I342" i="2"/>
  <c r="H342" i="2"/>
  <c r="G342" i="2"/>
  <c r="F342" i="2"/>
  <c r="E342" i="2"/>
  <c r="D342" i="2"/>
  <c r="A342" i="2"/>
  <c r="C342" i="2"/>
  <c r="B342" i="2"/>
  <c r="I247" i="2"/>
  <c r="H247" i="2"/>
  <c r="G247" i="2"/>
  <c r="F247" i="2"/>
  <c r="E247" i="2"/>
  <c r="D247" i="2"/>
  <c r="B247" i="2"/>
  <c r="C247" i="2"/>
  <c r="A247" i="2"/>
  <c r="I597" i="2"/>
  <c r="D597" i="2"/>
  <c r="H597" i="2"/>
  <c r="G597" i="2"/>
  <c r="F597" i="2"/>
  <c r="E597" i="2"/>
  <c r="C597" i="2"/>
  <c r="B597" i="2"/>
  <c r="A597" i="2"/>
  <c r="F468" i="2"/>
  <c r="E468" i="2"/>
  <c r="D468" i="2"/>
  <c r="C468" i="2"/>
  <c r="B468" i="2"/>
  <c r="A468" i="2"/>
  <c r="I468" i="2"/>
  <c r="H468" i="2"/>
  <c r="G468" i="2"/>
  <c r="F600" i="2"/>
  <c r="E600" i="2"/>
  <c r="D600" i="2"/>
  <c r="C600" i="2"/>
  <c r="B600" i="2"/>
  <c r="A600" i="2"/>
  <c r="I600" i="2"/>
  <c r="H600" i="2"/>
  <c r="G600" i="2"/>
  <c r="I355" i="2"/>
  <c r="G355" i="2"/>
  <c r="F355" i="2"/>
  <c r="E355" i="2"/>
  <c r="D355" i="2"/>
  <c r="C355" i="2"/>
  <c r="A355" i="2"/>
  <c r="H355" i="2"/>
  <c r="B355" i="2"/>
  <c r="H544" i="2"/>
  <c r="G544" i="2"/>
  <c r="F544" i="2"/>
  <c r="I544" i="2"/>
  <c r="E544" i="2"/>
  <c r="D544" i="2"/>
  <c r="C544" i="2"/>
  <c r="B544" i="2"/>
  <c r="A544" i="2"/>
  <c r="I565" i="2"/>
  <c r="H565" i="2"/>
  <c r="G565" i="2"/>
  <c r="F565" i="2"/>
  <c r="E565" i="2"/>
  <c r="D565" i="2"/>
  <c r="C565" i="2"/>
  <c r="B565" i="2"/>
  <c r="A565" i="2"/>
  <c r="E251" i="2"/>
  <c r="D251" i="2"/>
  <c r="C251" i="2"/>
  <c r="B251" i="2"/>
  <c r="A251" i="2"/>
  <c r="I251" i="2"/>
  <c r="H251" i="2"/>
  <c r="G251" i="2"/>
  <c r="F251" i="2"/>
  <c r="G72" i="2"/>
  <c r="F72" i="2"/>
  <c r="E72" i="2"/>
  <c r="D72" i="2"/>
  <c r="C72" i="2"/>
  <c r="B72" i="2"/>
  <c r="A72" i="2"/>
  <c r="I72" i="2"/>
  <c r="H72" i="2"/>
  <c r="B596" i="2"/>
  <c r="A596" i="2"/>
  <c r="H596" i="2"/>
  <c r="G596" i="2"/>
  <c r="F596" i="2"/>
  <c r="E596" i="2"/>
  <c r="D596" i="2"/>
  <c r="C596" i="2"/>
  <c r="I596" i="2"/>
  <c r="I255" i="2"/>
  <c r="H255" i="2"/>
  <c r="G255" i="2"/>
  <c r="F255" i="2"/>
  <c r="E255" i="2"/>
  <c r="D255" i="2"/>
  <c r="B255" i="2"/>
  <c r="C255" i="2"/>
  <c r="A255" i="2"/>
  <c r="E543" i="2"/>
  <c r="C543" i="2"/>
  <c r="B543" i="2"/>
  <c r="A543" i="2"/>
  <c r="I543" i="2"/>
  <c r="H543" i="2"/>
  <c r="G543" i="2"/>
  <c r="F543" i="2"/>
  <c r="D543" i="2"/>
  <c r="I322" i="2"/>
  <c r="H322" i="2"/>
  <c r="G322" i="2"/>
  <c r="D322" i="2"/>
  <c r="B322" i="2"/>
  <c r="A322" i="2"/>
  <c r="E322" i="2"/>
  <c r="C322" i="2"/>
  <c r="F322" i="2"/>
  <c r="F303" i="2"/>
  <c r="A303" i="2"/>
  <c r="I303" i="2"/>
  <c r="G303" i="2"/>
  <c r="E303" i="2"/>
  <c r="D303" i="2"/>
  <c r="C303" i="2"/>
  <c r="B303" i="2"/>
  <c r="H303" i="2"/>
  <c r="I326" i="2"/>
  <c r="H326" i="2"/>
  <c r="G326" i="2"/>
  <c r="F326" i="2"/>
  <c r="E326" i="2"/>
  <c r="D326" i="2"/>
  <c r="C326" i="2"/>
  <c r="B326" i="2"/>
  <c r="A326" i="2"/>
  <c r="I555" i="2"/>
  <c r="D555" i="2"/>
  <c r="C555" i="2"/>
  <c r="B555" i="2"/>
  <c r="F555" i="2"/>
  <c r="H555" i="2"/>
  <c r="G555" i="2"/>
  <c r="E555" i="2"/>
  <c r="A555" i="2"/>
  <c r="I434" i="2"/>
  <c r="H434" i="2"/>
  <c r="G434" i="2"/>
  <c r="F434" i="2"/>
  <c r="E434" i="2"/>
  <c r="D434" i="2"/>
  <c r="C434" i="2"/>
  <c r="B434" i="2"/>
  <c r="A434" i="2"/>
  <c r="C19" i="2"/>
  <c r="B19" i="2"/>
  <c r="A19" i="2"/>
  <c r="H19" i="2"/>
  <c r="D19" i="2"/>
  <c r="I19" i="2"/>
  <c r="G19" i="2"/>
  <c r="F19" i="2"/>
  <c r="E19" i="2"/>
  <c r="H39" i="2"/>
  <c r="I39" i="2"/>
  <c r="G39" i="2"/>
  <c r="F39" i="2"/>
  <c r="D39" i="2"/>
  <c r="B39" i="2"/>
  <c r="C39" i="2"/>
  <c r="E39" i="2"/>
  <c r="A39" i="2"/>
  <c r="A545" i="2"/>
  <c r="B545" i="2"/>
  <c r="H545" i="2"/>
  <c r="I545" i="2"/>
  <c r="G545" i="2"/>
  <c r="F545" i="2"/>
  <c r="C545" i="2"/>
  <c r="E545" i="2"/>
  <c r="D545" i="2"/>
  <c r="I556" i="2"/>
  <c r="H556" i="2"/>
  <c r="G556" i="2"/>
  <c r="F556" i="2"/>
  <c r="E556" i="2"/>
  <c r="D556" i="2"/>
  <c r="C556" i="2"/>
  <c r="B556" i="2"/>
  <c r="A556" i="2"/>
  <c r="H149" i="2"/>
  <c r="G149" i="2"/>
  <c r="F149" i="2"/>
  <c r="E149" i="2"/>
  <c r="D149" i="2"/>
  <c r="I149" i="2"/>
  <c r="C149" i="2"/>
  <c r="B149" i="2"/>
  <c r="A149" i="2"/>
  <c r="I274" i="2"/>
  <c r="H274" i="2"/>
  <c r="G274" i="2"/>
  <c r="F274" i="2"/>
  <c r="E274" i="2"/>
  <c r="D274" i="2"/>
  <c r="C274" i="2"/>
  <c r="B274" i="2"/>
  <c r="A274" i="2"/>
  <c r="I351" i="2"/>
  <c r="H351" i="2"/>
  <c r="F351" i="2"/>
  <c r="E351" i="2"/>
  <c r="D351" i="2"/>
  <c r="C351" i="2"/>
  <c r="G351" i="2"/>
  <c r="B351" i="2"/>
  <c r="A351" i="2"/>
  <c r="I179" i="2"/>
  <c r="H179" i="2"/>
  <c r="G179" i="2"/>
  <c r="F179" i="2"/>
  <c r="E179" i="2"/>
  <c r="D179" i="2"/>
  <c r="C179" i="2"/>
  <c r="B179" i="2"/>
  <c r="A179" i="2"/>
  <c r="A375" i="2"/>
  <c r="I375" i="2"/>
  <c r="F375" i="2"/>
  <c r="D375" i="2"/>
  <c r="C375" i="2"/>
  <c r="G375" i="2"/>
  <c r="B375" i="2"/>
  <c r="E375" i="2"/>
  <c r="H375" i="2"/>
  <c r="H592" i="2"/>
  <c r="G592" i="2"/>
  <c r="F592" i="2"/>
  <c r="I592" i="2"/>
  <c r="E592" i="2"/>
  <c r="D592" i="2"/>
  <c r="C592" i="2"/>
  <c r="B592" i="2"/>
  <c r="A592" i="2"/>
  <c r="A296" i="2"/>
  <c r="I296" i="2"/>
  <c r="H296" i="2"/>
  <c r="G296" i="2"/>
  <c r="F296" i="2"/>
  <c r="D296" i="2"/>
  <c r="E296" i="2"/>
  <c r="C296" i="2"/>
  <c r="B296" i="2"/>
  <c r="I377" i="2"/>
  <c r="H377" i="2"/>
  <c r="B377" i="2"/>
  <c r="A377" i="2"/>
  <c r="G377" i="2"/>
  <c r="F377" i="2"/>
  <c r="D377" i="2"/>
  <c r="C377" i="2"/>
  <c r="E377" i="2"/>
  <c r="B132" i="2"/>
  <c r="A132" i="2"/>
  <c r="I132" i="2"/>
  <c r="F132" i="2"/>
  <c r="E132" i="2"/>
  <c r="G132" i="2"/>
  <c r="H132" i="2"/>
  <c r="C132" i="2"/>
  <c r="D132" i="2"/>
  <c r="E470" i="2"/>
  <c r="I470" i="2"/>
  <c r="H470" i="2"/>
  <c r="G470" i="2"/>
  <c r="F470" i="2"/>
  <c r="D470" i="2"/>
  <c r="C470" i="2"/>
  <c r="B470" i="2"/>
  <c r="A470" i="2"/>
  <c r="A166" i="2"/>
  <c r="C166" i="2"/>
  <c r="B166" i="2"/>
  <c r="D166" i="2"/>
  <c r="I166" i="2"/>
  <c r="H166" i="2"/>
  <c r="G166" i="2"/>
  <c r="F166" i="2"/>
  <c r="E166" i="2"/>
  <c r="I164" i="2"/>
  <c r="H164" i="2"/>
  <c r="G164" i="2"/>
  <c r="F164" i="2"/>
  <c r="E164" i="2"/>
  <c r="D164" i="2"/>
  <c r="C164" i="2"/>
  <c r="B164" i="2"/>
  <c r="A164" i="2"/>
  <c r="C83" i="2"/>
  <c r="B83" i="2"/>
  <c r="A83" i="2"/>
  <c r="H83" i="2"/>
  <c r="D83" i="2"/>
  <c r="G83" i="2"/>
  <c r="E83" i="2"/>
  <c r="F83" i="2"/>
  <c r="I83" i="2"/>
  <c r="G151" i="2"/>
  <c r="F151" i="2"/>
  <c r="E151" i="2"/>
  <c r="I151" i="2"/>
  <c r="H151" i="2"/>
  <c r="D151" i="2"/>
  <c r="C151" i="2"/>
  <c r="B151" i="2"/>
  <c r="A151" i="2"/>
  <c r="D65" i="2"/>
  <c r="H65" i="2"/>
  <c r="F65" i="2"/>
  <c r="A65" i="2"/>
  <c r="G65" i="2"/>
  <c r="I65" i="2"/>
  <c r="E65" i="2"/>
  <c r="C65" i="2"/>
  <c r="B65" i="2"/>
  <c r="H226" i="2"/>
  <c r="F226" i="2"/>
  <c r="E226" i="2"/>
  <c r="D226" i="2"/>
  <c r="C226" i="2"/>
  <c r="B226" i="2"/>
  <c r="A226" i="2"/>
  <c r="I226" i="2"/>
  <c r="G226" i="2"/>
  <c r="H536" i="2"/>
  <c r="G536" i="2"/>
  <c r="F536" i="2"/>
  <c r="I536" i="2"/>
  <c r="C536" i="2"/>
  <c r="B536" i="2"/>
  <c r="A536" i="2"/>
  <c r="E536" i="2"/>
  <c r="D536" i="2"/>
  <c r="H141" i="2"/>
  <c r="G141" i="2"/>
  <c r="F141" i="2"/>
  <c r="E141" i="2"/>
  <c r="D141" i="2"/>
  <c r="I141" i="2"/>
  <c r="C141" i="2"/>
  <c r="B141" i="2"/>
  <c r="A141" i="2"/>
  <c r="F479" i="2"/>
  <c r="E479" i="2"/>
  <c r="D479" i="2"/>
  <c r="C479" i="2"/>
  <c r="B479" i="2"/>
  <c r="A479" i="2"/>
  <c r="H479" i="2"/>
  <c r="I479" i="2"/>
  <c r="G479" i="2"/>
  <c r="F490" i="2"/>
  <c r="E490" i="2"/>
  <c r="D490" i="2"/>
  <c r="C490" i="2"/>
  <c r="B490" i="2"/>
  <c r="A490" i="2"/>
  <c r="I490" i="2"/>
  <c r="H490" i="2"/>
  <c r="G490" i="2"/>
  <c r="A312" i="2"/>
  <c r="I312" i="2"/>
  <c r="H312" i="2"/>
  <c r="G312" i="2"/>
  <c r="F312" i="2"/>
  <c r="E312" i="2"/>
  <c r="C312" i="2"/>
  <c r="B312" i="2"/>
  <c r="D312" i="2"/>
  <c r="H388" i="2"/>
  <c r="G388" i="2"/>
  <c r="F388" i="2"/>
  <c r="A388" i="2"/>
  <c r="I388" i="2"/>
  <c r="E388" i="2"/>
  <c r="B388" i="2"/>
  <c r="D388" i="2"/>
  <c r="C388" i="2"/>
  <c r="I469" i="2"/>
  <c r="C469" i="2"/>
  <c r="B469" i="2"/>
  <c r="A469" i="2"/>
  <c r="H469" i="2"/>
  <c r="G469" i="2"/>
  <c r="F469" i="2"/>
  <c r="E469" i="2"/>
  <c r="D469" i="2"/>
  <c r="I258" i="2"/>
  <c r="H258" i="2"/>
  <c r="G258" i="2"/>
  <c r="F258" i="2"/>
  <c r="E258" i="2"/>
  <c r="D258" i="2"/>
  <c r="C258" i="2"/>
  <c r="B258" i="2"/>
  <c r="A258" i="2"/>
  <c r="I395" i="2"/>
  <c r="H395" i="2"/>
  <c r="G395" i="2"/>
  <c r="B395" i="2"/>
  <c r="F395" i="2"/>
  <c r="D395" i="2"/>
  <c r="E395" i="2"/>
  <c r="C395" i="2"/>
  <c r="A395" i="2"/>
  <c r="E542" i="2"/>
  <c r="A542" i="2"/>
  <c r="I542" i="2"/>
  <c r="H542" i="2"/>
  <c r="G542" i="2"/>
  <c r="F542" i="2"/>
  <c r="D542" i="2"/>
  <c r="C542" i="2"/>
  <c r="B542" i="2"/>
  <c r="F606" i="2"/>
  <c r="I606" i="2"/>
  <c r="H606" i="2"/>
  <c r="G606" i="2"/>
  <c r="E606" i="2"/>
  <c r="D606" i="2"/>
  <c r="C606" i="2"/>
  <c r="B606" i="2"/>
  <c r="A606" i="2"/>
  <c r="D363" i="2"/>
  <c r="C363" i="2"/>
  <c r="B363" i="2"/>
  <c r="A363" i="2"/>
  <c r="I363" i="2"/>
  <c r="H363" i="2"/>
  <c r="G363" i="2"/>
  <c r="F363" i="2"/>
  <c r="E363" i="2"/>
  <c r="I607" i="2"/>
  <c r="H607" i="2"/>
  <c r="G607" i="2"/>
  <c r="F607" i="2"/>
  <c r="E607" i="2"/>
  <c r="D607" i="2"/>
  <c r="C607" i="2"/>
  <c r="B607" i="2"/>
  <c r="A607" i="2"/>
  <c r="I573" i="2"/>
  <c r="H573" i="2"/>
  <c r="C573" i="2"/>
  <c r="G573" i="2"/>
  <c r="F573" i="2"/>
  <c r="E573" i="2"/>
  <c r="D573" i="2"/>
  <c r="B573" i="2"/>
  <c r="A573" i="2"/>
  <c r="D152" i="2"/>
  <c r="C152" i="2"/>
  <c r="B152" i="2"/>
  <c r="A152" i="2"/>
  <c r="I152" i="2"/>
  <c r="H152" i="2"/>
  <c r="G152" i="2"/>
  <c r="F152" i="2"/>
  <c r="E152" i="2"/>
  <c r="I403" i="2"/>
  <c r="H403" i="2"/>
  <c r="G403" i="2"/>
  <c r="F403" i="2"/>
  <c r="E403" i="2"/>
  <c r="D403" i="2"/>
  <c r="C403" i="2"/>
  <c r="B403" i="2"/>
  <c r="A403" i="2"/>
  <c r="A457" i="2"/>
  <c r="F457" i="2"/>
  <c r="E457" i="2"/>
  <c r="D457" i="2"/>
  <c r="C457" i="2"/>
  <c r="B457" i="2"/>
  <c r="I457" i="2"/>
  <c r="H457" i="2"/>
  <c r="G457" i="2"/>
  <c r="I18" i="2"/>
  <c r="H18" i="2"/>
  <c r="G18" i="2"/>
  <c r="F18" i="2"/>
  <c r="E18" i="2"/>
  <c r="D18" i="2"/>
  <c r="B18" i="2"/>
  <c r="C18" i="2"/>
  <c r="A18" i="2"/>
  <c r="I69" i="2"/>
  <c r="H69" i="2"/>
  <c r="G69" i="2"/>
  <c r="F69" i="2"/>
  <c r="E69" i="2"/>
  <c r="D69" i="2"/>
  <c r="C69" i="2"/>
  <c r="B69" i="2"/>
  <c r="A69" i="2"/>
  <c r="H52" i="2"/>
  <c r="F52" i="2"/>
  <c r="B52" i="2"/>
  <c r="A52" i="2"/>
  <c r="I52" i="2"/>
  <c r="G52" i="2"/>
  <c r="E52" i="2"/>
  <c r="C52" i="2"/>
  <c r="D52" i="2"/>
  <c r="I579" i="2"/>
  <c r="D579" i="2"/>
  <c r="C579" i="2"/>
  <c r="B579" i="2"/>
  <c r="A579" i="2"/>
  <c r="F579" i="2"/>
  <c r="E579" i="2"/>
  <c r="H579" i="2"/>
  <c r="G579" i="2"/>
  <c r="A89" i="2"/>
  <c r="I89" i="2"/>
  <c r="H89" i="2"/>
  <c r="G89" i="2"/>
  <c r="C89" i="2"/>
  <c r="F89" i="2"/>
  <c r="B89" i="2"/>
  <c r="E89" i="2"/>
  <c r="D89" i="2"/>
  <c r="A397" i="2"/>
  <c r="G397" i="2"/>
  <c r="I397" i="2"/>
  <c r="H397" i="2"/>
  <c r="F397" i="2"/>
  <c r="E397" i="2"/>
  <c r="D397" i="2"/>
  <c r="B397" i="2"/>
  <c r="C397" i="2"/>
  <c r="I316" i="2"/>
  <c r="H316" i="2"/>
  <c r="G316" i="2"/>
  <c r="F316" i="2"/>
  <c r="E316" i="2"/>
  <c r="D316" i="2"/>
  <c r="C316" i="2"/>
  <c r="B316" i="2"/>
  <c r="A316" i="2"/>
  <c r="I443" i="2"/>
  <c r="H443" i="2"/>
  <c r="G443" i="2"/>
  <c r="F443" i="2"/>
  <c r="E443" i="2"/>
  <c r="D443" i="2"/>
  <c r="C443" i="2"/>
  <c r="A443" i="2"/>
  <c r="B443" i="2"/>
  <c r="I348" i="2"/>
  <c r="H348" i="2"/>
  <c r="G348" i="2"/>
  <c r="E348" i="2"/>
  <c r="B348" i="2"/>
  <c r="F348" i="2"/>
  <c r="D348" i="2"/>
  <c r="C348" i="2"/>
  <c r="A348" i="2"/>
  <c r="F184" i="2"/>
  <c r="E184" i="2"/>
  <c r="D184" i="2"/>
  <c r="C184" i="2"/>
  <c r="B184" i="2"/>
  <c r="A184" i="2"/>
  <c r="H184" i="2"/>
  <c r="G184" i="2"/>
  <c r="I184" i="2"/>
  <c r="B428" i="2"/>
  <c r="A428" i="2"/>
  <c r="I428" i="2"/>
  <c r="H428" i="2"/>
  <c r="G428" i="2"/>
  <c r="F428" i="2"/>
  <c r="E428" i="2"/>
  <c r="D428" i="2"/>
  <c r="C428" i="2"/>
  <c r="B142" i="2"/>
  <c r="D142" i="2"/>
  <c r="A142" i="2"/>
  <c r="H142" i="2"/>
  <c r="C142" i="2"/>
  <c r="G142" i="2"/>
  <c r="E142" i="2"/>
  <c r="F142" i="2"/>
  <c r="I142" i="2"/>
  <c r="I163" i="2"/>
  <c r="B163" i="2"/>
  <c r="A163" i="2"/>
  <c r="F163" i="2"/>
  <c r="H163" i="2"/>
  <c r="G163" i="2"/>
  <c r="E163" i="2"/>
  <c r="D163" i="2"/>
  <c r="C163" i="2"/>
  <c r="H219" i="2"/>
  <c r="G219" i="2"/>
  <c r="F219" i="2"/>
  <c r="E219" i="2"/>
  <c r="D219" i="2"/>
  <c r="C219" i="2"/>
  <c r="B219" i="2"/>
  <c r="A219" i="2"/>
  <c r="I219" i="2"/>
  <c r="F275" i="2"/>
  <c r="E275" i="2"/>
  <c r="D275" i="2"/>
  <c r="C275" i="2"/>
  <c r="B275" i="2"/>
  <c r="A275" i="2"/>
  <c r="I275" i="2"/>
  <c r="H275" i="2"/>
  <c r="G275" i="2"/>
  <c r="F431" i="2"/>
  <c r="E431" i="2"/>
  <c r="D431" i="2"/>
  <c r="C431" i="2"/>
  <c r="B431" i="2"/>
  <c r="A431" i="2"/>
  <c r="G431" i="2"/>
  <c r="I431" i="2"/>
  <c r="H431" i="2"/>
  <c r="F109" i="2"/>
  <c r="E109" i="2"/>
  <c r="G109" i="2"/>
  <c r="I109" i="2"/>
  <c r="H109" i="2"/>
  <c r="D109" i="2"/>
  <c r="C109" i="2"/>
  <c r="B109" i="2"/>
  <c r="A109" i="2"/>
  <c r="B129" i="2"/>
  <c r="A129" i="2"/>
  <c r="I129" i="2"/>
  <c r="H129" i="2"/>
  <c r="G129" i="2"/>
  <c r="F129" i="2"/>
  <c r="E129" i="2"/>
  <c r="D129" i="2"/>
  <c r="C129" i="2"/>
  <c r="I268" i="2"/>
  <c r="C268" i="2"/>
  <c r="B268" i="2"/>
  <c r="A268" i="2"/>
  <c r="G268" i="2"/>
  <c r="H268" i="2"/>
  <c r="F268" i="2"/>
  <c r="E268" i="2"/>
  <c r="D268" i="2"/>
  <c r="F73" i="2"/>
  <c r="E73" i="2"/>
  <c r="G73" i="2"/>
  <c r="H73" i="2"/>
  <c r="I73" i="2"/>
  <c r="D73" i="2"/>
  <c r="A73" i="2"/>
  <c r="C73" i="2"/>
  <c r="B73" i="2"/>
  <c r="I337" i="2"/>
  <c r="H337" i="2"/>
  <c r="F337" i="2"/>
  <c r="D337" i="2"/>
  <c r="G337" i="2"/>
  <c r="E337" i="2"/>
  <c r="C337" i="2"/>
  <c r="B337" i="2"/>
  <c r="A337" i="2"/>
  <c r="B96" i="2"/>
  <c r="A96" i="2"/>
  <c r="I96" i="2"/>
  <c r="H96" i="2"/>
  <c r="G96" i="2"/>
  <c r="F96" i="2"/>
  <c r="E96" i="2"/>
  <c r="D96" i="2"/>
  <c r="C96" i="2"/>
  <c r="B292" i="2"/>
  <c r="A292" i="2"/>
  <c r="I292" i="2"/>
  <c r="H292" i="2"/>
  <c r="G292" i="2"/>
  <c r="F292" i="2"/>
  <c r="E292" i="2"/>
  <c r="D292" i="2"/>
  <c r="C292" i="2"/>
  <c r="H242" i="2"/>
  <c r="F242" i="2"/>
  <c r="E242" i="2"/>
  <c r="D242" i="2"/>
  <c r="C242" i="2"/>
  <c r="B242" i="2"/>
  <c r="A242" i="2"/>
  <c r="G242" i="2"/>
  <c r="I242" i="2"/>
  <c r="I250" i="2"/>
  <c r="H250" i="2"/>
  <c r="F250" i="2"/>
  <c r="E250" i="2"/>
  <c r="D250" i="2"/>
  <c r="C250" i="2"/>
  <c r="B250" i="2"/>
  <c r="A250" i="2"/>
  <c r="G250" i="2"/>
  <c r="H421" i="2"/>
  <c r="G421" i="2"/>
  <c r="F421" i="2"/>
  <c r="E421" i="2"/>
  <c r="D421" i="2"/>
  <c r="C421" i="2"/>
  <c r="A421" i="2"/>
  <c r="I421" i="2"/>
  <c r="B421" i="2"/>
  <c r="A393" i="2"/>
  <c r="G393" i="2"/>
  <c r="F393" i="2"/>
  <c r="I393" i="2"/>
  <c r="H393" i="2"/>
  <c r="E393" i="2"/>
  <c r="D393" i="2"/>
  <c r="C393" i="2"/>
  <c r="B393" i="2"/>
  <c r="I586" i="2"/>
  <c r="H586" i="2"/>
  <c r="G586" i="2"/>
  <c r="F586" i="2"/>
  <c r="E586" i="2"/>
  <c r="D586" i="2"/>
  <c r="C586" i="2"/>
  <c r="B586" i="2"/>
  <c r="A586" i="2"/>
  <c r="E269" i="2"/>
  <c r="I269" i="2"/>
  <c r="H269" i="2"/>
  <c r="G269" i="2"/>
  <c r="F269" i="2"/>
  <c r="D269" i="2"/>
  <c r="C269" i="2"/>
  <c r="B269" i="2"/>
  <c r="A269" i="2"/>
  <c r="E402" i="2"/>
  <c r="D402" i="2"/>
  <c r="C402" i="2"/>
  <c r="B402" i="2"/>
  <c r="A402" i="2"/>
  <c r="I402" i="2"/>
  <c r="H402" i="2"/>
  <c r="F402" i="2"/>
  <c r="G402" i="2"/>
  <c r="H598" i="2"/>
  <c r="G598" i="2"/>
  <c r="F598" i="2"/>
  <c r="C598" i="2"/>
  <c r="I598" i="2"/>
  <c r="E598" i="2"/>
  <c r="D598" i="2"/>
  <c r="B598" i="2"/>
  <c r="A598" i="2"/>
  <c r="I354" i="2"/>
  <c r="H354" i="2"/>
  <c r="G354" i="2"/>
  <c r="F354" i="2"/>
  <c r="E354" i="2"/>
  <c r="C354" i="2"/>
  <c r="B354" i="2"/>
  <c r="A354" i="2"/>
  <c r="D354" i="2"/>
  <c r="I371" i="2"/>
  <c r="H371" i="2"/>
  <c r="G371" i="2"/>
  <c r="E371" i="2"/>
  <c r="D371" i="2"/>
  <c r="C371" i="2"/>
  <c r="B371" i="2"/>
  <c r="F371" i="2"/>
  <c r="A371" i="2"/>
  <c r="I451" i="2"/>
  <c r="H451" i="2"/>
  <c r="G451" i="2"/>
  <c r="F451" i="2"/>
  <c r="E451" i="2"/>
  <c r="D451" i="2"/>
  <c r="C451" i="2"/>
  <c r="B451" i="2"/>
  <c r="A451" i="2"/>
  <c r="I581" i="2"/>
  <c r="C581" i="2"/>
  <c r="B581" i="2"/>
  <c r="A581" i="2"/>
  <c r="E581" i="2"/>
  <c r="D581" i="2"/>
  <c r="H581" i="2"/>
  <c r="G581" i="2"/>
  <c r="F581" i="2"/>
  <c r="D245" i="2"/>
  <c r="B245" i="2"/>
  <c r="A245" i="2"/>
  <c r="I245" i="2"/>
  <c r="E245" i="2"/>
  <c r="G245" i="2"/>
  <c r="C245" i="2"/>
  <c r="H245" i="2"/>
  <c r="F245" i="2"/>
</calcChain>
</file>

<file path=xl/sharedStrings.xml><?xml version="1.0" encoding="utf-8"?>
<sst xmlns="http://schemas.openxmlformats.org/spreadsheetml/2006/main" count="8557" uniqueCount="2490">
  <si>
    <t>Req ID</t>
  </si>
  <si>
    <t>Source document</t>
  </si>
  <si>
    <t>Section</t>
  </si>
  <si>
    <t>Requirement (verbatim)</t>
  </si>
  <si>
    <t>Obligation level</t>
  </si>
  <si>
    <t>Topic</t>
  </si>
  <si>
    <t>Impact rating</t>
  </si>
  <si>
    <t>Rationale (specific to this process)</t>
  </si>
  <si>
    <t>Affected activities / deliverables</t>
  </si>
  <si>
    <t>Required changes / actions</t>
  </si>
  <si>
    <t>Evidence to produce</t>
  </si>
  <si>
    <t>Owner role</t>
  </si>
  <si>
    <t>Dependencies on other processes</t>
  </si>
  <si>
    <t>Effort (S/M/L)</t>
  </si>
  <si>
    <t>Notes / assumptions</t>
  </si>
  <si>
    <t>TR1-001</t>
  </si>
  <si>
    <t>BSI TR-03183-1 v1.0.0</t>
  </si>
  <si>
    <t>3 Overview Cyber Resilience Act</t>
  </si>
  <si>
    <t>Manufacturers need to take responsibility for cybersecurity during the entire support period of the PwDE.</t>
  </si>
  <si>
    <t>MUST (equiv. 'need to')</t>
  </si>
  <si>
    <t>Lifecycle responsibility</t>
  </si>
  <si>
    <t>Medium</t>
  </si>
  <si>
    <t>Maintenance must carry cybersecurity responsibility for every delivered release until its support period ends - not just until acceptance or warranty end.</t>
  </si>
  <si>
    <t>Long-term maintenance of all supported release lines</t>
  </si>
  <si>
    <t>Plan PSIRT and engineering capacity per supported release line until its support end date.</t>
  </si>
  <si>
    <t>Support-period register per release; capacity plan</t>
  </si>
  <si>
    <t>Service Delivery Manager / PSIRT Lead</t>
  </si>
  <si>
    <t>Support periods from 1. Presale</t>
  </si>
  <si>
    <t>M</t>
  </si>
  <si>
    <t>TR1-002</t>
  </si>
  <si>
    <t>3.1 New Legislative Framework</t>
  </si>
  <si>
    <t>The framework obliges manufacturers to ensure that the PwDE fulfils the applicable legal requirements.</t>
  </si>
  <si>
    <t>MUST (equiv. 'obliges')</t>
  </si>
  <si>
    <t>CRA conformity - general</t>
  </si>
  <si>
    <t>Low</t>
  </si>
  <si>
    <t>The obligation continues after delivery for the whole support period (the NLF obliges manufacturers to ensure the product fulfils the applicable legal requirements).</t>
  </si>
  <si>
    <t>Post-market obligations</t>
  </si>
  <si>
    <t>Cover the obligation in the post-market process (monitoring, updates, reviews).</t>
  </si>
  <si>
    <t>Post-market records</t>
  </si>
  <si>
    <t>Product Security Officer / PSIRT Lead</t>
  </si>
  <si>
    <t>Inputs from 2. and 3.</t>
  </si>
  <si>
    <t>S</t>
  </si>
  <si>
    <t>TR1-003</t>
  </si>
  <si>
    <t>Manufacturers are free to choose any technical solution to meet these requirements.</t>
  </si>
  <si>
    <t>MAY (equiv. 'are free to')</t>
  </si>
  <si>
    <t>Nil</t>
  </si>
  <si>
    <t>Nil - no change needed in 5. Solution Maintenance (RUN). Handled in 2. Solution Development (Head of Engineering / Security Architect).</t>
  </si>
  <si>
    <t>None for this process</t>
  </si>
  <si>
    <t>No action in this process.</t>
  </si>
  <si>
    <t>n/a</t>
  </si>
  <si>
    <t>Handled in 2. Solution Development</t>
  </si>
  <si>
    <t>TR1-004</t>
  </si>
  <si>
    <t>3.2 Scope of the CRA</t>
  </si>
  <si>
    <t>Besides physical PwDEs, which are generally required to affix the CE mark, software commercially distributed on the European Market will now be subject to the CE mark, indicating that the requirements set out in the CRA are fulfilled.</t>
  </si>
  <si>
    <t>MUST (equiv. 'required')</t>
  </si>
  <si>
    <t>EU declaration of conformity / CE marking</t>
  </si>
  <si>
    <t>Conformity must be maintained across updates; a substantial modification requires a new assessment (commercially distributed software is now subject to CE marking).</t>
  </si>
  <si>
    <t>Change impact assessment of updates</t>
  </si>
  <si>
    <t>Assess each update for substantial modification and update the DoC where needed.</t>
  </si>
  <si>
    <t>Change impact assessment record</t>
  </si>
  <si>
    <t>CRA Compliance Manager</t>
  </si>
  <si>
    <t>Changes from 2./3.</t>
  </si>
  <si>
    <t>TR1-005</t>
  </si>
  <si>
    <t>3.4 Timeline</t>
  </si>
  <si>
    <t>The reporting obligations (Article 14 CRA) for manufacturers to report actively exploited vulnerabilities and severe incidents will start on 11 September 2026.</t>
  </si>
  <si>
    <t>Applicability rule (no modal verb)</t>
  </si>
  <si>
    <t>CRA timeline - reporting obligations</t>
  </si>
  <si>
    <t>Critical</t>
  </si>
  <si>
    <t>Art. 14 reporting has applied since 11 Sep 2026 (today is 18 Oct 2026): the 24h / 72h / final-report procedure via the single reporting platform must already be operational - the most urgent CRA obligation for the business.</t>
  </si>
  <si>
    <t>Vulnerability handling / PSIRT procedures, service management</t>
  </si>
  <si>
    <t>Set up an interim reporting capability immediately: name reporters and deputies, register on the single reporting platform, prepare templates, define awareness criteria and a 24/7 escalation path; rehearse once.</t>
  </si>
  <si>
    <t>Reporting procedure (approved); platform registration; on-call roster; exercise record</t>
  </si>
  <si>
    <t>PSIRT Lead / Service Delivery Manager</t>
  </si>
  <si>
    <t>Needs SBOM and release data from 3. Integration/Build; feeds 4. Deployment (patch roll-out)</t>
  </si>
  <si>
    <t>L</t>
  </si>
  <si>
    <t>Applicability rule without a modal verb; registered because it decides when CRA obligations apply to our solutions. Today is 18 Oct 2026, so this obligation is already in force.</t>
  </si>
  <si>
    <t>TR1-006</t>
  </si>
  <si>
    <t>This applies also to PwDEs already placed on the European market.</t>
  </si>
  <si>
    <t>Reporting covers the whole installed base, including solutions delivered years ago to airports and government customers - their versions, sites and contacts must be known to the PSIRT now.</t>
  </si>
  <si>
    <t>Build or complete the installed-base register for all delivered solutions still in operation and link it to the PSIRT reporting procedure.</t>
  </si>
  <si>
    <t>Installed-base register covering legacy deliveries</t>
  </si>
  <si>
    <t>Applicability rule without a modal verb; registered because it decides when CRA obligations apply to our solutions.</t>
  </si>
  <si>
    <t>TR1-007</t>
  </si>
  <si>
    <t>From 11 December 2027 onwards, all products with digital elements in scope of the CRA that are made available on the European Market after this date must adhere to all CRA requirements.</t>
  </si>
  <si>
    <t>MUST (equiv. 'must')</t>
  </si>
  <si>
    <t>CRA timeline</t>
  </si>
  <si>
    <t>Updates delivered after 11 Dec 2027 must keep conformity; a substantial modification of an installed legacy solution brings it fully into CRA scope.</t>
  </si>
  <si>
    <t>Embed 'from 11 Dec 2027 all in-scope products made available must meet all CRA requirements' in the PSIRT / vulnerability-handling procedure and service-management tooling.</t>
  </si>
  <si>
    <t>Procedure document; tickets/records proving execution; periodic review record</t>
  </si>
  <si>
    <t>Assumption: today is 18 Oct 2026; reporting obligations already apply since 11 Sep 2026, all other obligations from 11 Dec 2027.</t>
  </si>
  <si>
    <t>TR1-008</t>
  </si>
  <si>
    <t>Obligations laid down in Article 14 apply to all products with digital elements that fall within the scope of this Regulation that have been placed on the market before 11 December 2027 (Article 69(3) CRA).</t>
  </si>
  <si>
    <t>CRA timeline - legacy products</t>
  </si>
  <si>
    <t>High</t>
  </si>
  <si>
    <t>Legacy installations remain subject to Art. 14 reporting even if they never become CRA-conformant products.</t>
  </si>
  <si>
    <t>Embed 'Art. 14 obligations apply to all in-scope products placed on the market before 11 Dec 2027' in the PSIRT / vulnerability-handling procedure and service-management tooling.</t>
  </si>
  <si>
    <t>TR1-009</t>
  </si>
  <si>
    <t>Products with digital elements that have been placed on the market before 11 December 2027 are only subject to the CRA, if those PwDEs have been subject to a substantial modification after 11 December 2027 (Article 69(2) CRA).</t>
  </si>
  <si>
    <t>CRA timeline - substantial modification</t>
  </si>
  <si>
    <t>Every change to a legacy installation must be screened for substantial modification; security updates and bug fixes usually are not, changes of type or purpose can be.</t>
  </si>
  <si>
    <t>Embed 'products placed on the market before 11 Dec 2027 fall under the CRA only after a substantial modification after that date' in the PSIRT / vulnerability-handling procedure and service-management tooling.</t>
  </si>
  <si>
    <t>TR1-010</t>
  </si>
  <si>
    <t>The above mentioned Obligations laid down in Article 14 form an exception and apply to all products with digital elements that fall within the scope of this Regulation that have been placed on the market before 11 December 2027 (Article 69(3) CRA).</t>
  </si>
  <si>
    <t>Restates that reporting duties apply to the legacy installed base regardless of substantial modification.</t>
  </si>
  <si>
    <t>Embed 'Art. 14 obligations are the exception that applies to all products placed before 11 Dec 2027' in the PSIRT / vulnerability-handling procedure and service-management tooling.</t>
  </si>
  <si>
    <t>TR1-011</t>
  </si>
  <si>
    <t>Based on the NLF [3] a substantial modification is given if the type and purpose of a PwDE is changed in a way which was not foreseen in the initial risk assessment.</t>
  </si>
  <si>
    <t>Applicability rule (definition)</t>
  </si>
  <si>
    <t>Each change to an installed solution needs a documented check against the initial risk assessment to decide whether it is a substantial modification.</t>
  </si>
  <si>
    <t>Add a substantial-modification check (type/purpose change vs. initial risk assessment) to change management for all installed solutions.</t>
  </si>
  <si>
    <t>Change impact / substantial-modification decision record</t>
  </si>
  <si>
    <t>Applicability rule without a modal verb; registered because it decides when CRA obligations apply to our solutions. The European Commission is preparing definitive guidance on substantial modification.</t>
  </si>
  <si>
    <t>TR1-012</t>
  </si>
  <si>
    <t>As such typical maintenance of a PwDE with security updates and bug fixes is usually not considered a substantial modification.</t>
  </si>
  <si>
    <t>Routine security updates and bug fixes can be shipped to legacy installations without triggering full CRA applicability - keep them separate from feature changes.</t>
  </si>
  <si>
    <t>Embed 'security updates and bug fixes are usually not a substantial modification' in the PSIRT / vulnerability-handling procedure and service-management tooling.</t>
  </si>
  <si>
    <t>TR1-013</t>
  </si>
  <si>
    <t>3.5 Concepts - Security by Design and by Default</t>
  </si>
  <si>
    <t>The CRA mandates that manufacturers integrate cybersecurity into the planning, design, development, and maintenance of products with digital elements from the outset.</t>
  </si>
  <si>
    <t>MUST (equiv. 'mandates')</t>
  </si>
  <si>
    <t>Secure development lifecycle</t>
  </si>
  <si>
    <t>The obligation continues after delivery for the whole support period (integrate cybersecurity into planning, design, development and maintenance from the outset).</t>
  </si>
  <si>
    <t>TR1-014</t>
  </si>
  <si>
    <t>It also requires PwDEs to be secure by default, meaning users should not need to take extra steps to ensure secure use out-of-the-box.</t>
  </si>
  <si>
    <t>MUST (equiv. 'requires')</t>
  </si>
  <si>
    <t>Secure by default</t>
  </si>
  <si>
    <t>The property must be maintained through updates and re-assessed when new threats appear (products must be secure by default without extra user steps).</t>
  </si>
  <si>
    <t>Updates; post-market review</t>
  </si>
  <si>
    <t>Check in regression and post-market reviews that updates do not weaken the property.</t>
  </si>
  <si>
    <t>Regression/security test results for updates</t>
  </si>
  <si>
    <t>PSIRT Lead / QA Lead</t>
  </si>
  <si>
    <t>Updates from 2. Development and 3. Integration/Build</t>
  </si>
  <si>
    <t>TR1-015</t>
  </si>
  <si>
    <t>3.5 Concepts - Risk-based approach</t>
  </si>
  <si>
    <t>The essential cybersecurity requirements have to be implemented based on a cybersecurity risk assessment taking into account the intended purpose and reasonably foreseeable use of a product with digital elements.</t>
  </si>
  <si>
    <t>MUST (equiv. 'have to')</t>
  </si>
  <si>
    <t>Risk assessment - general</t>
  </si>
  <si>
    <t>Post-market events (new vulnerabilities, threats, changes) must update the risk assessment (implement the essential requirements based on a risk assessment considering intended purpose and foreseeable use).</t>
  </si>
  <si>
    <t>Risk-assessment updates</t>
  </si>
  <si>
    <t>Trigger risk-assessment updates from PSIRT cases and threat intelligence.</t>
  </si>
  <si>
    <t>Updated risk-assessment versions</t>
  </si>
  <si>
    <t>Product Security Officer</t>
  </si>
  <si>
    <t>Analysis by 2. Development</t>
  </si>
  <si>
    <t>TR1-016</t>
  </si>
  <si>
    <t>This approach ensures that all cybersecurity risks relevant to the PwDE have to be addressed ensuring an appropriate level of cybersecurity.</t>
  </si>
  <si>
    <t>Post-market events (new vulnerabilities, threats, changes) must update the risk assessment (all relevant cybersecurity risks have to be addressed).</t>
  </si>
  <si>
    <t>TR1-017</t>
  </si>
  <si>
    <t>3.5 Concepts - Lifecycle Responsibility</t>
  </si>
  <si>
    <t>Manufacturers are responsible for cybersecurity throughout the entire lifecycle of their PwDEs, not just until the point of sale.</t>
  </si>
  <si>
    <t>Responsibility (equiv. 'are responsible')</t>
  </si>
  <si>
    <t>Responsibility continues after acceptance: maintenance must handle cybersecurity for every installed release until its support period ends.</t>
  </si>
  <si>
    <t>TR1-018</t>
  </si>
  <si>
    <t>This entails handling of vulnerabilities, including providing timely security updates or other mitigating measures when necessary, during use for a determined support period so that it reflects the length of time during which the PwDE is expected to be in use, with a minimum of five years unless the PwDE is usually used less than five years.</t>
  </si>
  <si>
    <t>MUST (part of the responsibility; 'entails')</t>
  </si>
  <si>
    <t>Support period</t>
  </si>
  <si>
    <t>Vulnerability handling and timely security updates must be delivered for every release for the whole (possibly 10+ year) support period; capacity and funding must match.</t>
  </si>
  <si>
    <t>TR1-019</t>
  </si>
  <si>
    <t>3.5 Concepts - Transparency and Information for Users</t>
  </si>
  <si>
    <t>The CRA emphasizes transparency, requiring manufacturers to provide clear and comprehensible information about the security features, contact information for vulnerability reporting and update policies of their PwDEs.</t>
  </si>
  <si>
    <t>MUST (equiv. 'requiring')</t>
  </si>
  <si>
    <t>Transparency &amp; user information</t>
  </si>
  <si>
    <t>The information must be kept current, e.g. contact point, support end date, update instructions (provide clear information on security features, vulnerability contact and update policies).</t>
  </si>
  <si>
    <t>Updates of user information</t>
  </si>
  <si>
    <t>Re-issue the user information when contacts, support dates or instructions change.</t>
  </si>
  <si>
    <t>Document revision history</t>
  </si>
  <si>
    <t>Service Delivery Manager</t>
  </si>
  <si>
    <t>TR1-020</t>
  </si>
  <si>
    <t>3.6 Obligations of the manufacturer - Pre-Market Obligations</t>
  </si>
  <si>
    <t>[The manufacturer has several obligations before placing a product with digital elements (PwDE) on the market:] Ensure that PwDEs meet the essential cybersecurity requirements outlined in Annex I, which includes designing, developing, and producing PwDEs to achieve an appropriate level of cybersecurity. The level of cybersecurity is based on a cybersecurity risk assessment for each PwDE as well as an appropriate treatment of potential risks to an acceptable level, considering the intended purpose, reasonably foreseeable use, operational environment, and expected period of use.</t>
  </si>
  <si>
    <t>MUST (obligation; imperative)</t>
  </si>
  <si>
    <t>Essential requirements - general</t>
  </si>
  <si>
    <t>The property must be maintained through updates and re-assessed when new threats appear (ensure products meet Annex I based on a per-product risk assessment and treatment).</t>
  </si>
  <si>
    <t>TR1-021</t>
  </si>
  <si>
    <t>[The manufacturer has several obligations before placing a product with digital elements (PwDE) on the market:] Apply due diligence when integrating third-party components, including open source software, to make sure the component is suitable to be integrated in the PwDE and that arising vulnerabilities can be adequately addressed.</t>
  </si>
  <si>
    <t>Third-party component due diligence</t>
  </si>
  <si>
    <t>Third-party components must be monitored for vulnerabilities and support status, and upstream maintainers informed (apply due diligence when integrating third-party components including open source).</t>
  </si>
  <si>
    <t>Supplier vulnerability information; upstream reporting</t>
  </si>
  <si>
    <t>Monitor supplier advisories and end-of-life dates; report found vulnerabilities upstream and track responses.</t>
  </si>
  <si>
    <t>Supplier advisory log; upstream reports</t>
  </si>
  <si>
    <t>PSIRT Lead</t>
  </si>
  <si>
    <t>SBOM from 3. Integration/Build</t>
  </si>
  <si>
    <t>TR1-022-a</t>
  </si>
  <si>
    <t>[The manufacturer has several obligations before placing a product with digital elements (PwDE) on the market:] Draw up the technical documentation (Article 31 CRA) containing at least the information set out in Annex VII that demonstrates compliance with the essential cybersecurity requirements. This documentation includes information about the PwDE, its intended purpose, its design and development.</t>
  </si>
  <si>
    <t>Technical documentation</t>
  </si>
  <si>
    <t>The technical documentation must be kept up to date with updates and post-market findings (draw up the technical documentation (Art. 31, Annex VII) demonstrating compliance).</t>
  </si>
  <si>
    <t>Technical documentation maintenance</t>
  </si>
  <si>
    <t>Update the technical file with each security update and risk-assessment update.</t>
  </si>
  <si>
    <t>Technical file revision history</t>
  </si>
  <si>
    <t>Changes from 2., 3. and 5.</t>
  </si>
  <si>
    <t>TR1-022-b</t>
  </si>
  <si>
    <t>[The manufacturer has several obligations before placing a product with digital elements (PwDE) on the market:] It must also include a cybersecurity risk assessment that identifies potential threats and vulnerabilities, assesses their impact, and outlines the measures taken to mitigate these risks […]</t>
  </si>
  <si>
    <t>The technical documentation must be kept up to date with updates and post-market findings (the technical documentation must include the cybersecurity risk assessment).</t>
  </si>
  <si>
    <t>TR1-022-c</t>
  </si>
  <si>
    <t>[The manufacturer has several obligations before placing a product with digital elements (PwDE) on the market:] It must also include […] as well as a Software Bill of Material (SBOM).</t>
  </si>
  <si>
    <t>Technical documentation - SBOM</t>
  </si>
  <si>
    <t>The technical documentation must be kept up to date with updates and post-market findings (the technical documentation must include an SBOM).</t>
  </si>
  <si>
    <t>TR1-023-a</t>
  </si>
  <si>
    <t>[The manufacturer has several obligations before placing a product with digital elements (PwDE) on the market:] Provide clear information and instructions to users set out in Annex II, such as manufacturer identification, contact details, and a single point of contact for vulnerability reporting.</t>
  </si>
  <si>
    <t>User information (Annex II)</t>
  </si>
  <si>
    <t>The information must be kept current, e.g. contact point, support end date, update instructions (provide Annex II information and instructions incl. single point of contact for vulnerability reporting).</t>
  </si>
  <si>
    <t>TR1-023-b</t>
  </si>
  <si>
    <t>[The manufacturer has several obligations before placing a product with digital elements (PwDE) on the market:] The PwDE has to be accompanied by the user information set out in Annex II, in paper or electronic form.</t>
  </si>
  <si>
    <t>MUST (equiv. 'has to')</t>
  </si>
  <si>
    <t>The information must be kept current, e.g. contact point, support end date, update instructions (the product must be accompanied by the Annex II information (paper or electronic)).</t>
  </si>
  <si>
    <t>TR1-024</t>
  </si>
  <si>
    <t>[The manufacturer has several obligations before placing a product with digital elements (PwDE) on the market:] Carry out conformity assessment procedures to demonstrate compliance with the essential cybersecurity requirements. The conformity assessment can be done through self-assessment or by a third-party notified body (Article 32 CRA), depending on the type of PwDE.</t>
  </si>
  <si>
    <t>Conformity assessment</t>
  </si>
  <si>
    <t>Conformity must be maintained across updates; a substantial modification requires a new assessment (carry out conformity assessment procedures (self-assessment or notified body)).</t>
  </si>
  <si>
    <t>TR1-025-a</t>
  </si>
  <si>
    <t>[The manufacturer has several obligations before placing a product with digital elements (PwDE) on the market:] Where compliance with the essential cybersecurity requirements was demonstrated, draw up an EU declaration of conformity […]</t>
  </si>
  <si>
    <t>Conformity must be maintained across updates; a substantial modification requires a new assessment (draw up an EU declaration of conformity once compliance is demonstrated).</t>
  </si>
  <si>
    <t>TR1-025-b</t>
  </si>
  <si>
    <t>[The manufacturer has several obligations before placing a product with digital elements (PwDE) on the market:] […] and affix the CE marking to the PwDE.</t>
  </si>
  <si>
    <t>Conformity must be maintained across updates; a substantial modification requires a new assessment (affix the CE marking).</t>
  </si>
  <si>
    <t>TR1-026</t>
  </si>
  <si>
    <t>3.6 Obligations of the manufacturer - PwDE Monitoring and Post-Market Obligations</t>
  </si>
  <si>
    <t>After the PwDE was placed on the market the manufacturer has to systematically document and regularly review cybersecurity aspects of the PwDE during the support period.</t>
  </si>
  <si>
    <t>Post-market review</t>
  </si>
  <si>
    <t>A documented, periodic post-market cybersecurity review per supported solution (findings, risk updates) is a new recurring process.</t>
  </si>
  <si>
    <t>Post-market monitoring and vulnerability handling</t>
  </si>
  <si>
    <t>Operate SBOM-based continuous vulnerability monitoring, periodic security reviews and remediation for all supported releases.</t>
  </si>
  <si>
    <t>Monitoring records; review minutes; remediation tickets</t>
  </si>
  <si>
    <t>PSIRT Lead / Product Security Officer</t>
  </si>
  <si>
    <t>SBOMs from 3.; fixes from 2.; roll-out by 4.</t>
  </si>
  <si>
    <t>TR1-027</t>
  </si>
  <si>
    <t>This review includes updating the risk assessment as needed and addressing new risks appropriately.</t>
  </si>
  <si>
    <t>MUST (part of the review duty; 'includes')</t>
  </si>
  <si>
    <t>Post-market reviews must update the risk assessment and treat new risks; triggers and owners are needed.</t>
  </si>
  <si>
    <t>TR1-028-a</t>
  </si>
  <si>
    <t>Additionally, the manufacturer ought to monitor the PwDE for vulnerabilities throughout its defined support period […]</t>
  </si>
  <si>
    <t>MUST (equiv. 'ought to')</t>
  </si>
  <si>
    <t>Vulnerability monitoring</t>
  </si>
  <si>
    <t>Continuous vulnerability monitoring of every supported release (SBOM-based, incl. third-party components) for the full support period is a new capability and a CRA core duty.</t>
  </si>
  <si>
    <t>The wording 'ought to' is advisory, but it restates the mandatory CRA duty to handle vulnerabilities during the support period.</t>
  </si>
  <si>
    <t>TR1-028-b</t>
  </si>
  <si>
    <t>[…] and address found vulnerabilities appropriately, including by providing security updates […]</t>
  </si>
  <si>
    <t>Vulnerability remediation</t>
  </si>
  <si>
    <t>Found vulnerabilities must be remediated with security updates for all supported releases - a remediation chain across engineering, build and field service.</t>
  </si>
  <si>
    <t>TR1-028-c</t>
  </si>
  <si>
    <t>[…] generally free of charge unless otherwise agreed between a manufacturer and a business user in relation to a tailor-made product with digital elements.</t>
  </si>
  <si>
    <t>Security updates - free of charge</t>
  </si>
  <si>
    <t>Security fixes must be delivered separately from paid feature upgrades so they can be provided free of charge.</t>
  </si>
  <si>
    <t>The wording 'ought to' is advisory, but it restates the mandatory CRA duty to handle vulnerabilities during the support period. Assumption: many airport/government solutions are tailor-made for business users, so an explicit contractual agreement is possible but must be made deliberately.</t>
  </si>
  <si>
    <t>TR1-029</t>
  </si>
  <si>
    <t>These post-market obligations have to be upheld during the support period of the PwDE determined by the manufacturer in accordance with the expected duration of use of the PwDE.</t>
  </si>
  <si>
    <t>All post-market duties (monitoring, updates, reviews) must be upheld for the support period determined per solution.</t>
  </si>
  <si>
    <t>TR1-030</t>
  </si>
  <si>
    <t>Generally, the support period is at least five years unless not appropriate for the type of PwDE and its foreseeable duration of use.</t>
  </si>
  <si>
    <t>Rule (equiv. 'is at least')</t>
  </si>
  <si>
    <t>the support period is generally at least five years - vulnerability handling and security updates must be resourced for the full support period of every delivered release.</t>
  </si>
  <si>
    <t>TR1-031-a</t>
  </si>
  <si>
    <t>In addition to that the manufacturer has to ensure that security updates […] are available for at least 10 years after the PwDE has been placed on the market or for the full support period, whichever is longer.</t>
  </si>
  <si>
    <t>Availability of security updates</t>
  </si>
  <si>
    <t>Security updates must stay available for at least 10 years after placing on the market (or the support period if longer) - a long-term update repository is needed.</t>
  </si>
  <si>
    <t>TR1-031-b</t>
  </si>
  <si>
    <t>In addition to that the manufacturer has to ensure that […] the technical documentation are available for at least 10 years after the PwDE has been placed on the market or for the full support period, whichever is longer.</t>
  </si>
  <si>
    <t>Records retention</t>
  </si>
  <si>
    <t>The technical documentation must be kept up to date with updates and post-market findings (keep technical documentation available for at least 10 years (or the support period if longer)).</t>
  </si>
  <si>
    <t>TR1-032-a</t>
  </si>
  <si>
    <t>3.6 Obligations of the manufacturer - Reporting obligations</t>
  </si>
  <si>
    <t>Manufacturers have to report actively exploited vulnerabilities of the PwDE […] upon becoming aware of them.</t>
  </si>
  <si>
    <t>CRA Art. 14 reporting - vulnerabilities</t>
  </si>
  <si>
    <t>Reporting actively exploited vulnerabilities to CSIRT/ENISA is mandatory since 11 Sep 2026, also for solutions already installed at airports and government sites; it needs a 24/7-capable detection-to-notification procedure.</t>
  </si>
  <si>
    <t>CRA Art. 14 reporting procedure (ENISA single reporting platform, CSIRT)</t>
  </si>
  <si>
    <t>Implement the reporting procedure: awareness criteria, 24h / 72h / 14-day (vulnerability) and 24h / 72h / one-month (incident) timelines, platform accounts, templates, approvals and 24/7 escalation; rehearse it.</t>
  </si>
  <si>
    <t>Reporting procedure; platform registration; submitted reports; exercise records</t>
  </si>
  <si>
    <t>PSIRT Lead / Compliance Officer</t>
  </si>
  <si>
    <t>Facts from 2. Development; installed base from 4. Deployment</t>
  </si>
  <si>
    <t>Reporting obligations apply since 11 Sep 2026 (today: 18 Oct 2026) and cover products placed on the market before 11 Dec 2027.</t>
  </si>
  <si>
    <t>TR1-032-b</t>
  </si>
  <si>
    <t>Manufacturers have to report […] severe cybersecurity incidents negatively affecting the security of products with digital elements upon becoming aware of them.</t>
  </si>
  <si>
    <t>CRA Art. 14 reporting - incidents</t>
  </si>
  <si>
    <t>Severe incidents affecting the security of our solutions (incl. remote data processing we operate) must be reported since 11 Sep 2026; needs incident classification criteria and the reporting procedure.</t>
  </si>
  <si>
    <t>TR1-033</t>
  </si>
  <si>
    <t>Notifications must be made simultaneously to the CSIRT (Computer Security Incident Response Team) designated as coordinator and ENISA (European Union Agency for Cybersecurity) via the single reporting platform to be established under CRA Article 16.</t>
  </si>
  <si>
    <t>MUST</t>
  </si>
  <si>
    <t>CRA Art. 14 reporting - channel</t>
  </si>
  <si>
    <t>Notifications go simultaneously to the coordinating CSIRT and ENISA via the single reporting platform - registration, accounts, roles and templates must be ready.</t>
  </si>
  <si>
    <t>TR1-034-a</t>
  </si>
  <si>
    <t>[The following notification timelines and content are given for actively exploited vulnerabilities:] Early Warning Notification: Must be submitted without undue delay and in any case within 24 hours of becoming aware of an actively exploited vulnerability […]</t>
  </si>
  <si>
    <t>An early warning within 24 hours of awareness needs on-call staff, pre-approved templates and a decision path that works on weekends.</t>
  </si>
  <si>
    <t>TR1-034-b</t>
  </si>
  <si>
    <t>[The following notification timelines and content are given for actively exploited vulnerabilities:] […] and should indicate, where applicable, the Member States where the PwDE has been made available of which the manufacturer is aware.</t>
  </si>
  <si>
    <t>SHOULD (equiv. 'should')</t>
  </si>
  <si>
    <t>Early warnings should name the Member States where the solution is available - installed-base data must be retrievable on demand.</t>
  </si>
  <si>
    <t>TR1-035</t>
  </si>
  <si>
    <t>[The following notification timelines and content are given for actively exploited vulnerabilities:] Vulnerability Notification: If not already provided, a more detailed notification must be submitted within 72 hours after becoming aware of an actively exploited vulnerability.</t>
  </si>
  <si>
    <t>A detailed vulnerability notification within 72 hours requires fast technical analysis and approval.</t>
  </si>
  <si>
    <t>TR1-036</t>
  </si>
  <si>
    <t>[The following notification timelines and content are given for actively exploited vulnerabilities:] This should include general information about the PwDE, as available, the general nature of the exploit and vulnerability, corrective or mitigating actions taken, and guidance for users.</t>
  </si>
  <si>
    <t>The 72-hour notification content (product information, nature of the exploit, mitigations, user guidance) needs templates and engineering input.</t>
  </si>
  <si>
    <t>TR1-037</t>
  </si>
  <si>
    <t>[The following notification timelines and content are given for actively exploited vulnerabilities:] It should also indicate the sensitivity of the information, if relevant.</t>
  </si>
  <si>
    <t>Classify the sensitivity of notified information (e.g. critical-infrastructure context of airports and government).</t>
  </si>
  <si>
    <t>TR1-038</t>
  </si>
  <si>
    <t>[The following notification timelines and content are given for actively exploited vulnerabilities:] Final Report: If not already provided, a final report must be submitted within 14 days after a corrective or mitigating measure for the vulnerability is available, including a description of the vulnerability, including its severity and impact, and the details about the corrective measure made available to remedy the vulnerability.</t>
  </si>
  <si>
    <t>A final report within 14 days after a fix or mitigation is available requires tracking fix availability per case.</t>
  </si>
  <si>
    <t>TR1-039</t>
  </si>
  <si>
    <t>[The following notification timelines and content are given for actively exploited vulnerabilities:] If available, this report also includes information concerning any malicious actor that has exploited or that is exploiting the vulnerability.</t>
  </si>
  <si>
    <t>Content rule (part of the final report 'must')</t>
  </si>
  <si>
    <t>Threat-actor information, where available, must be included in the final report.</t>
  </si>
  <si>
    <t>TR1-040</t>
  </si>
  <si>
    <t>[For severe incidents:] Early Warning Notification: Must be submitted without undue delay and in any case within 24 hours after becoming aware of the severe incident.</t>
  </si>
  <si>
    <t>Severe incidents need an early warning within 24 hours of awareness - same 24/7 capability as for exploited vulnerabilities.</t>
  </si>
  <si>
    <t>TR1-041-a</t>
  </si>
  <si>
    <t>[For severe incidents:] Includes at least whether the incident is suspected of being caused by unlawful or malicious acts […]</t>
  </si>
  <si>
    <t>MUST (equiv. 'includes at least')</t>
  </si>
  <si>
    <t>The early warning must state whether unlawful or malicious acts are suspected - incident triage criteria are needed.</t>
  </si>
  <si>
    <t>TR1-041-b</t>
  </si>
  <si>
    <t>[For severe incidents:] […] and should indicate, where applicable, the Member States on the territory of which the manufacturer is aware that their product with digital elements has been made available;</t>
  </si>
  <si>
    <t>Early warnings should name affected Member States; installed-base data is needed.</t>
  </si>
  <si>
    <t>TR1-042</t>
  </si>
  <si>
    <t>[For severe incidents:] Incident Notification: If not already provided, a more detailed notification must be submitted within 72 hours after becoming aware of the severe incident.</t>
  </si>
  <si>
    <t>A detailed incident notification within 72 hours needs incident-analysis capacity.</t>
  </si>
  <si>
    <t>TR1-043</t>
  </si>
  <si>
    <t>[For severe incidents:] This should include general information about the PwDE, the nature of the exploit and vulnerability, corrective or mitigating actions taken, and guidance for users.</t>
  </si>
  <si>
    <t>Incident notification content needs templates and engineering input.</t>
  </si>
  <si>
    <t>TR1-044</t>
  </si>
  <si>
    <t>[For severe incidents:] It should also indicate the sensitivity of the information, if relevant.</t>
  </si>
  <si>
    <t>Indicate the sensitivity of incident information.</t>
  </si>
  <si>
    <t>TR1-045</t>
  </si>
  <si>
    <t>[For severe incidents:] Final Report: If not already provided, a final report must be submitted within one month after incident report, including a detailed description of the incident, including its severity, impact and potential root cause, as well as the details about the mitigation measures taken.</t>
  </si>
  <si>
    <t>A final incident report within one month (severity, impact, root cause, mitigations) requires post-incident analysis.</t>
  </si>
  <si>
    <t>TR1-046</t>
  </si>
  <si>
    <t>[The CRA does not specify how a manufacturer becomes aware of a vulnerability or an incident. Following NIS 2 implementing act as potential guidance:] If the manufacturer has a reasonable degree of certainty, then the manufacturer is therefore to be regarded as having become "aware".</t>
  </si>
  <si>
    <t>Rule (equiv. 'is to be regarded')</t>
  </si>
  <si>
    <t>CRA Art. 14 reporting - awareness</t>
  </si>
  <si>
    <t>The reporting clock starts at a reasonable degree of certainty; the procedure must define awareness criteria and record the time of awareness per case.</t>
  </si>
  <si>
    <t>TR1-047</t>
  </si>
  <si>
    <t>Besides the mandatory reports manufacturers and other parties may voluntarily report any vulnerability or cyber threat that could affect the risk profile of the PwDE as well as any incident or near-miss impacting the PwDE's security, according to CRA Article 15.</t>
  </si>
  <si>
    <t>MAY (equiv. 'may')</t>
  </si>
  <si>
    <t>CRA Art. 15 voluntary reporting</t>
  </si>
  <si>
    <t>Voluntary reporting of threats or near misses is optional; decide a policy.</t>
  </si>
  <si>
    <t>TR1-048</t>
  </si>
  <si>
    <t>CSIRTs and ENISA must ensure confidentiality and appropriate protection of the information provided.</t>
  </si>
  <si>
    <t>MUST (addressed to CSIRTs/ENISA)</t>
  </si>
  <si>
    <t>Authority obligations</t>
  </si>
  <si>
    <t>Awareness: authorities must protect reported information, which supports sharing sensitive details about airport/government installations.</t>
  </si>
  <si>
    <t>Reporting procedure (background)</t>
  </si>
  <si>
    <t>Note the authority behaviour in the reporting procedure.</t>
  </si>
  <si>
    <t>Procedure note</t>
  </si>
  <si>
    <t>-</t>
  </si>
  <si>
    <t>TR1-049</t>
  </si>
  <si>
    <t>If a party other than the manufacturer notifies a vulnerability or severe incident, the CSIRT must inform the manufacturer without undue delay.</t>
  </si>
  <si>
    <t>MUST (addressed to CSIRTs)</t>
  </si>
  <si>
    <t>The CSIRT will forward third-party notifications about our solutions; intake must accept and act on them (they may start our own reporting clock).</t>
  </si>
  <si>
    <t>TR1-050</t>
  </si>
  <si>
    <t>The CSIRT may prioritize mandatory notifications over voluntary ones and will process all notifications according to the procedures in Article 16 of the CRA.</t>
  </si>
  <si>
    <t>MAY (addressed to CSIRTs)</t>
  </si>
  <si>
    <t>Nil - addressed to the CSIRT (prioritisation of notifications); no manufacturer action in any process.</t>
  </si>
  <si>
    <t>Handled in 5. Solution Maintenance (RUN)</t>
  </si>
  <si>
    <t>TR1-051</t>
  </si>
  <si>
    <t>3.6 Obligations of the manufacturer - Additional obligations for third-party components</t>
  </si>
  <si>
    <t>The manufacturer has to report vulnerabilities found in third-party components to the person or entity manufacturing or maintaining the component.</t>
  </si>
  <si>
    <t>Upstream vulnerability reporting</t>
  </si>
  <si>
    <t>Vulnerabilities found in third-party components must be reported to their maintainers - an upstream reporting procedure with supplier security contacts is needed.</t>
  </si>
  <si>
    <t>TR1-052</t>
  </si>
  <si>
    <t>If the manufacturer develops a software or hardware modification of the third-party component that addresses the found vulnerability in that component, it has to share that relevant code or documentation with the person or entity manufacturing or maintaining the component where appropriate in a machine-readable format.</t>
  </si>
  <si>
    <t>Third-party components must be monitored for vulnerabilities and support status, and upstream maintainers informed (share own fixes for third-party components with their maintainer, machine-readable where appropriate).</t>
  </si>
  <si>
    <t>TR1-053</t>
  </si>
  <si>
    <t>3.7 Conformity assessment and Presumption of Conformity</t>
  </si>
  <si>
    <t>If a requested hEN can not be delivered or not be delivered in time, the European Commission may adopt implementing acts establishing common specifications covering technical requirements that provide a means to comply with the essential cybersecurity requirements set out in Annex I.</t>
  </si>
  <si>
    <t>MAY (addressed to the European Commission)</t>
  </si>
  <si>
    <t>Presumption of conformity</t>
  </si>
  <si>
    <t>Nil - no change needed in 5. Solution Maintenance (RUN). Addressed to authorities (CSIRT/ENISA/European Commission/standardisation), not to the manufacturer. Handled in 3. Solution Integration / Build (CRA Compliance Manager).</t>
  </si>
  <si>
    <t>Handled in 3. Solution Integration / Build</t>
  </si>
  <si>
    <t>TR1-054</t>
  </si>
  <si>
    <t>The European Commission may also adopt specific European cybersecurity certification schemes under the Cyber Security Act (CSA) that can be used to demonstrate conformity of products with digital elements with the essential cybersecurity requirements or parts thereof as set out in Annex I.</t>
  </si>
  <si>
    <t>TR1-055</t>
  </si>
  <si>
    <t>Harmonised European standards, common specifications as well as European cybersecurity certification schemes have to satisfy the essential cybersecurity requirements or part thereof for their given context.</t>
  </si>
  <si>
    <t>MUST (addressed to standards/schemes)</t>
  </si>
  <si>
    <t>TR1-056</t>
  </si>
  <si>
    <t>To use the certificate for producing compliant PwDEs, the manufacturer must then ensure that the production of the PwDE ensures conformity with the approved type described in the certificate.</t>
  </si>
  <si>
    <t>MUST (equiv. 'must'; Module B+C only)</t>
  </si>
  <si>
    <t>Nil - applies only to conformity via Module B+C; default-category solutions use internal control (Module A). It would sit in 3. Integration/Build if Module B+C were chosen voluntarily.</t>
  </si>
  <si>
    <t>Assumption: Module A self-assessment for all solutions (default category).</t>
  </si>
  <si>
    <t>TR1-057</t>
  </si>
  <si>
    <t>3.8.1 Default Category</t>
  </si>
  <si>
    <t>Self-assessment by the manufacturer based on the essential cybersecurity requirements of Annex I CRA is sufficient for this category (Article 32 (1) CRA).</t>
  </si>
  <si>
    <t>MAY (equiv. 'is sufficient')</t>
  </si>
  <si>
    <t>Nil - no change needed in 5. Solution Maintenance (RUN). Handled in 3. Solution Integration / Build (CRA Compliance Manager (management signatory)).</t>
  </si>
  <si>
    <t>Assumption: all solutions are default category, as stated by the user.</t>
  </si>
  <si>
    <t>TR1-058</t>
  </si>
  <si>
    <t>This kind of conformity assessment based on internal control is under the sole responsibility of the manufacturer and does not require a third party.</t>
  </si>
  <si>
    <t>Responsibility (equiv. 'under the sole responsibility')</t>
  </si>
  <si>
    <t>TR1-059</t>
  </si>
  <si>
    <t>Alternatively a third-party assessment by a notified body based on module B+C or H (see next section) can be used on a voluntary basis as well as presumption of conformity via a European cybersecurity certification scheme.</t>
  </si>
  <si>
    <t>MAY (equiv. 'can be used on a voluntary basis')</t>
  </si>
  <si>
    <t>TR1-060</t>
  </si>
  <si>
    <t>3.8.3 Important PwDEs Class II</t>
  </si>
  <si>
    <t>Class II does not allow self-assessment of the manufacturer (Article 32(3) CRA).</t>
  </si>
  <si>
    <t>MUST NOT (equiv. 'does not allow')</t>
  </si>
  <si>
    <t>Product classification</t>
  </si>
  <si>
    <t>Nil - no change needed in 5. Solution Maintenance (RUN). Not applicable to default-category products, which use Module A self-assessment. Handled in 1. Presale (Bid Manager / CRA Compliance Manager).</t>
  </si>
  <si>
    <t>Handled in 1. Presale</t>
  </si>
  <si>
    <t>TR1-061</t>
  </si>
  <si>
    <t>3.8.4 Critical PwDEs</t>
  </si>
  <si>
    <t>Critical PwDEs require a certification following an European cybersecurity certification scheme (Article 32(4) CRA), if available.</t>
  </si>
  <si>
    <t>MUST (equiv. 'require')</t>
  </si>
  <si>
    <t>TR1-062</t>
  </si>
  <si>
    <t>If no such scheme exists the conformity has to be demonstrated following the procedures for important class II.</t>
  </si>
  <si>
    <t>TR1-063-a</t>
  </si>
  <si>
    <t>3.9 The Essential Requirements</t>
  </si>
  <si>
    <t>PwDEs and manufacturers have to comply […] to the essential cybersecurity requirements of the CRA.</t>
  </si>
  <si>
    <t>The obligation continues after delivery for the whole support period (products and manufacturers have to comply with the essential requirements).</t>
  </si>
  <si>
    <t>TR1-063-b</t>
  </si>
  <si>
    <t>PwDEs and manufacturers have to […] demonstrate conformity to the essential cybersecurity requirements of the CRA.</t>
  </si>
  <si>
    <t>TR1-064</t>
  </si>
  <si>
    <t>Only PwDEs meeting the requirements of Part I may be placed on the European market.</t>
  </si>
  <si>
    <t>MUST NOT (equiv. 'only ... may be placed')</t>
  </si>
  <si>
    <t>Conformity must be maintained across updates; a substantial modification requires a new assessment (only products meeting Part I may be placed on the market).</t>
  </si>
  <si>
    <t>TR1-065</t>
  </si>
  <si>
    <t>This has to be demonstrated by the manufacturer beforehand.</t>
  </si>
  <si>
    <t>TR1-066</t>
  </si>
  <si>
    <t>Part II requirements are to be fulfilled by the manufacturer from the moment the PwDE is placed on the market and for the entire support period of the PwDE.</t>
  </si>
  <si>
    <t>MUST (equiv. 'are to be fulfilled')</t>
  </si>
  <si>
    <t>Vulnerability-handling requirements (Part II) apply from placing on the market for the whole support period of each solution.</t>
  </si>
  <si>
    <t>TR1-067</t>
  </si>
  <si>
    <t>Nevertheless both parts are not independent of each other as Part I (2) Point (a) requires the PwDE to be free of known exploitable vulnerabilities and thus requires the manufacturer to have a vulnerability handling process in place to mitigate known exploitable vulnerabilities even before placing a PwDE on the market.</t>
  </si>
  <si>
    <t>Vulnerability handling (Annex I Part II)</t>
  </si>
  <si>
    <t>Vulnerability handling must already work before release: known exploitable vulnerabilities must be found and fixed before a version is placed on the market.</t>
  </si>
  <si>
    <t>Implement, document and operate: a vulnerability handling process must be in place before placing on the market to avoid known exploitable vulnerabilities.</t>
  </si>
  <si>
    <t>Vulnerability-handling procedure; case records</t>
  </si>
  <si>
    <t>2. Development (fixes), 3. Integration/Build (packages), 4. Deployment (roll-out)</t>
  </si>
  <si>
    <t>TR1-068</t>
  </si>
  <si>
    <t>Part II requires the manufacturer to identify, address and remediate vulnerabilities.</t>
  </si>
  <si>
    <t>Restates Part II: identify, address and remediate vulnerabilities during the support period (detailed in VH.1-VH.8a).</t>
  </si>
  <si>
    <t>Implement, document and operate: Part II requires identifying, addressing and remediating vulnerabilities.</t>
  </si>
  <si>
    <t>TR1-069</t>
  </si>
  <si>
    <t>Part I (1) is the overarching requirement of the CRA and requires the manufacturer to ensure an appropriate level of cybersecurity of the PwDE based on a cybersecurity risk assessment.</t>
  </si>
  <si>
    <t>Post-market events (new vulnerabilities, threats, changes) must update the risk assessment (Part I (1) requires an appropriate level of cybersecurity based on a risk assessment).</t>
  </si>
  <si>
    <t>TR1-070</t>
  </si>
  <si>
    <t>Part I (2) supports the first requirement with high-level PwDE requirements which have to be implemented into the PwDE based on the risk assessment and where applicable.</t>
  </si>
  <si>
    <t>Nil - no change needed in 5. Solution Maintenance (RUN). Handled in 2. Solution Development (Security Architect / Development Lead).</t>
  </si>
  <si>
    <t>TR1-071</t>
  </si>
  <si>
    <t>3.10 Consequences of Non-Compliance</t>
  </si>
  <si>
    <t>Manufacturers shall, upon a reasoned request from a market surveillance authority, provide them with all the information and documentation, in paper or electronic form, necessary to demonstrate the conformity of the product with digital elements and of the processes put in place by the manufacturer with the essential cybersecurity requirements.</t>
  </si>
  <si>
    <t>SHALL (CRA text restated)</t>
  </si>
  <si>
    <t>Market surveillance cooperation</t>
  </si>
  <si>
    <t>Requests can concern solutions in operation; the compliance contact must coordinate answers.</t>
  </si>
  <si>
    <t>Authority cooperation; corrective actions; recalls</t>
  </si>
  <si>
    <t>Define an authority-request and corrective-action procedure (single point of contact, escalation, recall decision).</t>
  </si>
  <si>
    <t>Procedure; correspondence log</t>
  </si>
  <si>
    <t>Compliance Officer / PSIRT Lead</t>
  </si>
  <si>
    <t>Inputs from 2., 3. and 4.</t>
  </si>
  <si>
    <t>TR1-072</t>
  </si>
  <si>
    <t>Manufacturers are required to cooperate with the market surveillance authorities on any measures taken to eliminate the cybersecurity risks posed by the product with digital elements which they have placed on the market.</t>
  </si>
  <si>
    <t>MUST (equiv. 'are required to')</t>
  </si>
  <si>
    <t>Cooperation on corrective measures (patches, mitigations, withdrawal) ordered or agreed with authorities needs a defined procedure.</t>
  </si>
  <si>
    <t>TR1-073</t>
  </si>
  <si>
    <t>3.11 How to prepare for the CRA</t>
  </si>
  <si>
    <t>[Simplified, the following aspects should be considered to prepare for the CRA even without specific regulatory guidance:] Perform an honest cybersecurity risk assessment for the PwDE including the assets which have to be protected by the PwDE and potential threats to these assets.</t>
  </si>
  <si>
    <t>SHOULD (equiv. 'should be considered')</t>
  </si>
  <si>
    <t>CRA preparation (recommendations)</t>
  </si>
  <si>
    <t>Nil - no change needed in 5. Solution Maintenance (RUN). Handled in 2. Solution Development (Development Lead / Security Architect).</t>
  </si>
  <si>
    <t>TR1-074</t>
  </si>
  <si>
    <t>[Simplified, the following aspects should be considered to prepare for the CRA even without specific regulatory guidance:] Mitigate identified risks to an acceptable level using appropriate security controls based on the essential requirements of the CRA.</t>
  </si>
  <si>
    <t>TR1-075</t>
  </si>
  <si>
    <t>[Simplified, the following aspects should be considered to prepare for the CRA even without specific regulatory guidance:] Keep your users in mind and communicate openly and transparently in the users' best interest.</t>
  </si>
  <si>
    <t>Communicate openly and transparently with users (advisories, update information) in their interest.</t>
  </si>
  <si>
    <t>Embed 'keep users in mind and communicate openly in their interest' in the PSIRT / vulnerability-handling procedure and service-management tooling.</t>
  </si>
  <si>
    <t>TR1-076-a</t>
  </si>
  <si>
    <t>[Simplified, the following aspects should be considered to prepare for the CRA even without specific regulatory guidance:] Maintain the security of the PwDE throughout its lifecycle […]</t>
  </si>
  <si>
    <t>Recommendation to maintain the security of each solution throughout its lifecycle.</t>
  </si>
  <si>
    <t>Embed 'maintain product security throughout the lifecycle' in the PSIRT / vulnerability-handling procedure and service-management tooling.</t>
  </si>
  <si>
    <t>TR1-076-b</t>
  </si>
  <si>
    <t>[Simplified, the following aspects should be considered to prepare for the CRA even without specific regulatory guidance:] […] and cooperate with the authorities on vulnerabilities.</t>
  </si>
  <si>
    <t>Recommendation to cooperate with authorities (CSIRT, ENISA, market surveillance) on vulnerabilities.</t>
  </si>
  <si>
    <t>Embed 'cooperate with the authorities on vulnerabilities' in the PSIRT / vulnerability-handling procedure and service-management tooling.</t>
  </si>
  <si>
    <t>TR1-077</t>
  </si>
  <si>
    <t>[Simplified, the following aspects should be considered to prepare for the CRA even without specific regulatory guidance:] Use existing best practices and do not reinvent the wheel.</t>
  </si>
  <si>
    <t>TR1-078</t>
  </si>
  <si>
    <t>4 Usage</t>
  </si>
  <si>
    <t>The following clarifications and assessment procedures have to be taken into account when performing the assessment.</t>
  </si>
  <si>
    <t>Self-assessment procedure</t>
  </si>
  <si>
    <t>Nil - no change needed in 5. Solution Maintenance (RUN). Handled in 3. Solution Integration / Build (CRA Compliance Manager / Evaluator).</t>
  </si>
  <si>
    <t>TR1-079</t>
  </si>
  <si>
    <t>4.1 Evaluator</t>
  </si>
  <si>
    <t>[The following aspects have to be taken into account when selecting an evaluator:] The evaluator needs sufficient technical knowledge as well as knowledge in assessment methods to perform the assessment in a qualified manner.</t>
  </si>
  <si>
    <t>MUST (equiv. 'needs')</t>
  </si>
  <si>
    <t>TR1-080</t>
  </si>
  <si>
    <t>[The following aspects have to be taken into account when selecting an evaluator:] The evaluator requires access to, or has to be provided with, all information required to perform the assessment</t>
  </si>
  <si>
    <t>MUST (equiv. 'requires' / 'has to be provided')</t>
  </si>
  <si>
    <t>TR1-081-a</t>
  </si>
  <si>
    <t>[The following aspects have to be taken into account when selecting an evaluator:] The evaluator has to be impartial […]</t>
  </si>
  <si>
    <t>TR1-081-b</t>
  </si>
  <si>
    <t>[The following aspects have to be taken into account when selecting an evaluator:] […] and should, if possible not be involved in the development of the PwDE, to facilitate an independent assessment.</t>
  </si>
  <si>
    <t>TR1-082</t>
  </si>
  <si>
    <t>It is always important to perform the assessment with an appropriately impartial and independent mindset and to stay objective, even if the evaluation is performed by the development team</t>
  </si>
  <si>
    <t>SHOULD (equiv. 'it is always important to')</t>
  </si>
  <si>
    <t>TR1-083</t>
  </si>
  <si>
    <t>4.2 Assessment Scope</t>
  </si>
  <si>
    <t>Where the PwDE provides the possibility to be altered by hardware or software components, placed on the market by, or under control of the manufacturer or other parties, these components do not have to be considered in the assessment.</t>
  </si>
  <si>
    <t>MAY (equiv. 'do not have to')</t>
  </si>
  <si>
    <t>TR1-084</t>
  </si>
  <si>
    <t>Furthermore, the effects of possible additional components have to be considered in the risk assessment.</t>
  </si>
  <si>
    <t>Risk assessment - scope</t>
  </si>
  <si>
    <t>Nil - no change needed in 5. Solution Maintenance (RUN). Handled in 2. Solution Development (Security Architect).</t>
  </si>
  <si>
    <t>TR1-085</t>
  </si>
  <si>
    <t>Although these components not integrated by the manufacturer are not part of the PwDE, the associated risks still have to be taken into account when performing the risk assessment if the integration of third-party components by the user is within the intended purpose or foreseeable use of the PwDE.</t>
  </si>
  <si>
    <t>TR1-086</t>
  </si>
  <si>
    <t>4.5 Control</t>
  </si>
  <si>
    <t>Control: has to be met by the PwDE or part thereof where applicable.</t>
  </si>
  <si>
    <t>TR1-087</t>
  </si>
  <si>
    <t>4.6 Assessment Procedure</t>
  </si>
  <si>
    <t>For reproducibility and consistency every assessment step should be documented by the evaluator and included in the assessment report as defined in section 4.8.</t>
  </si>
  <si>
    <t>Assessment report</t>
  </si>
  <si>
    <t>TR1-088</t>
  </si>
  <si>
    <t>Generally controls are specific enough for evaluation, if not the control will be supplemented by additional guidance which has to be used for assessing the control.</t>
  </si>
  <si>
    <t>TR1-089</t>
  </si>
  <si>
    <t>Controls have to be at least assessed on a conceptional level based on the documentation of the PwDE.</t>
  </si>
  <si>
    <t>TR1-090</t>
  </si>
  <si>
    <t>A functional assessment based on the behaviour of the PwDE or the manufacturer is recommended for additional assurance if possible, but not required.</t>
  </si>
  <si>
    <t>RECOMMENDED (equiv. 'is recommended')</t>
  </si>
  <si>
    <t>Security testing</t>
  </si>
  <si>
    <t>Nil - no change needed in 5. Solution Maintenance (RUN). Handled in 2. Solution Development (Development Lead).</t>
  </si>
  <si>
    <t>TR1-091</t>
  </si>
  <si>
    <t>The assessment is preferably integrated into the development processes and continuous quality assurance processes, if possible in an automated manner.</t>
  </si>
  <si>
    <t>SHOULD (equiv. 'preferably')</t>
  </si>
  <si>
    <t>TR1-092</t>
  </si>
  <si>
    <t>The assessment step might include one of the following terms, which have to be interpreted by the evaluator:</t>
  </si>
  <si>
    <t>TR1-093</t>
  </si>
  <si>
    <t>By default the manufacturer is not required to make documentation or other records available for thirdparties if not otherwise specified with provide or publish.</t>
  </si>
  <si>
    <t>MAY (equiv. 'is not required')</t>
  </si>
  <si>
    <t>Technical documentation - disclosure</t>
  </si>
  <si>
    <t>TR1-094</t>
  </si>
  <si>
    <t>4.8 Assessment Report</t>
  </si>
  <si>
    <t>Pursuant to Article 31 CRA the manufacturer must draw up technical documentation before placing a PwDE on the market.</t>
  </si>
  <si>
    <t>The technical documentation must be kept up to date with updates and post-market findings (draw up technical documentation before placing on the market (Art. 31)).</t>
  </si>
  <si>
    <t>TR1-095</t>
  </si>
  <si>
    <t>4.8 Assessment Report - technical documentation content</t>
  </si>
  <si>
    <t>[This includes, among other things:] A general description of the product with digital elements, including its intended purpose, versions of software affecting compliance with essential cybersecurity requirements, user information and instructions as set out in Annex II as well as photographs or illustrations showing external features, marking, and internal layout in case of hardware.</t>
  </si>
  <si>
    <t>MUST (content of the technical documentation)</t>
  </si>
  <si>
    <t>Nil - no change needed in 5. Solution Maintenance (RUN). Handled in 3. Solution Integration / Build (CRA Compliance Manager / Technical Documentation Lead).</t>
  </si>
  <si>
    <t>TR1-096</t>
  </si>
  <si>
    <t>[This includes, among other things:] A description of the design, development and production of the product with digital elements and vulnerability handling processes</t>
  </si>
  <si>
    <t>The vulnerability-handling process description comes from the PSIRT.</t>
  </si>
  <si>
    <t>TR1-097</t>
  </si>
  <si>
    <t>[This includes, among other things:] Necessary information and specifications of the production and monitoring processes of the product with digital elements and the validation of those processes;</t>
  </si>
  <si>
    <t>The technical documentation must be kept up to date with updates and post-market findings (information on production and monitoring processes and their validation).</t>
  </si>
  <si>
    <t>TR1-098</t>
  </si>
  <si>
    <t>[This includes, among other things:] An assessment of the cybersecurity risks against which the product with digital elements is designed, developed, produced including how the essential cybersecurity requirements of Annex I Part I are applicable;</t>
  </si>
  <si>
    <t>The technical documentation must be kept up to date with updates and post-market findings (cybersecurity risk assessment incl. applicability of Annex I Part I).</t>
  </si>
  <si>
    <t>TR1-099</t>
  </si>
  <si>
    <t>[This includes, among other things:] Reports of the tests carried out to verify the conformity of the product with digital elements and of the vulnerability handling processes with the applicable essential cybersecurity requirements as set out in Parts I and II of Annex I;</t>
  </si>
  <si>
    <t>Evidence that the vulnerability-handling processes were tested (e.g. exercises) is needed.</t>
  </si>
  <si>
    <t>TR1-100</t>
  </si>
  <si>
    <t>4.8 Assessment Report - report content</t>
  </si>
  <si>
    <t>[Based on the requirements for technical documentation the assessment report has to include at least the following information:] Date of the assessment</t>
  </si>
  <si>
    <t>MUST (equiv. 'has to include')</t>
  </si>
  <si>
    <t>TR1-101</t>
  </si>
  <si>
    <t>[Based on the requirements for technical documentation the assessment report has to include at least the following information:] Identification of the PwDE, including at least: Name and model of the PwDE Description of the PwDE and intended purpose and reasonable foreseeable use Version of hardware and software Software bill of materials (SBOM) where applicable For hardware PwDE: Photographs or illustrations showing external features, marking and internal layout as well as hardware components with digital elements</t>
  </si>
  <si>
    <t>TR1-102</t>
  </si>
  <si>
    <t>[Based on the requirements for technical documentation the assessment report has to include at least the following information:] Risk assessment Identified assets and threats Evaluated risks Accepted risks</t>
  </si>
  <si>
    <t>TR1-103</t>
  </si>
  <si>
    <t>[Based on the requirements for technical documentation the assessment report has to include at least the following information:] Design Documentation Architecture of the PwDE, including hardware and software components with digital elements as well as network and physical interfaces Selected controls including mitigated risk and corresponding applicable essential cybersecurity requirements Non-applicable essential cybersecurity requirements and justification Description of implementation of selected controls Verification processes for the selected controls</t>
  </si>
  <si>
    <t>TR1-104</t>
  </si>
  <si>
    <t>[Based on the requirements for technical documentation the assessment report has to include at least the following information:] Description of vulnerability handling activities</t>
  </si>
  <si>
    <t>Maintenance has to operate this throughout the support period: assessment report: description of vulnerability handling activities.</t>
  </si>
  <si>
    <t>Embed 'assessment report: description of vulnerability handling activities' in the PSIRT / vulnerability-handling procedure and service-management tooling.</t>
  </si>
  <si>
    <t>TR1-105</t>
  </si>
  <si>
    <t>[Based on the requirements for technical documentation the assessment report has to include at least the following information:] Verification of vulnerability handling activities</t>
  </si>
  <si>
    <t>Maintenance has to operate this throughout the support period: assessment report: verification of vulnerability handling activities.</t>
  </si>
  <si>
    <t>Embed 'assessment report: verification of vulnerability handling activities' in the PSIRT / vulnerability-handling procedure and service-management tooling.</t>
  </si>
  <si>
    <t>TR1-106</t>
  </si>
  <si>
    <t>[Based on the requirements for technical documentation the assessment report has to include at least the following information:] Provided user documentation</t>
  </si>
  <si>
    <t>TR1-107</t>
  </si>
  <si>
    <t>5.1 Relevance of (Cybersecurity) Risks</t>
  </si>
  <si>
    <t>According to Article 13 and Annex I Part 1 manufacturers shall ensure that their PwDEs are designed, developed and produced according to the essential cybersecurity requirements set out in Part I of Annex I in such a way that they ensure an appropriate level of cybersecurity based on the risks.</t>
  </si>
  <si>
    <t>The property must be maintained through updates and re-assessed when new threats appear (design, develop and produce products per Annex I Part I for an appropriate cybersecurity level based on the risks).</t>
  </si>
  <si>
    <t>TR1-108-a</t>
  </si>
  <si>
    <t>For this manufacturers shall undertake an assessment of the (cybersecurity) risks associated with a PwDE […]</t>
  </si>
  <si>
    <t>Post-market events (new vulnerabilities, threats, changes) must update the risk assessment (undertake a cybersecurity risk assessment of each product).</t>
  </si>
  <si>
    <t>TR1-108-b</t>
  </si>
  <si>
    <t>[…] and take the outcome of that assessment into account during the planning, design, development, production, delivery and maintenance phases of the product with digital elements with a view to minimising cybersecurity risks by preventing incidents and minimising their impact.</t>
  </si>
  <si>
    <t>Maintenance decisions must take the risk assessment into account.</t>
  </si>
  <si>
    <t>TR1-109</t>
  </si>
  <si>
    <t>5.3 Tailoring of the risk-based approach</t>
  </si>
  <si>
    <t>To simplify the risk handling for a specific use case and to ease the implementation into existing processes the activities as well as the input and output can generally be customized, as long as it meets the general aspects and requirements set out in this document.</t>
  </si>
  <si>
    <t>MAY (equiv. 'can be customized')</t>
  </si>
  <si>
    <t>Risk assessment - method</t>
  </si>
  <si>
    <t>TR1-110</t>
  </si>
  <si>
    <t>It is generally advisable to use well known standards and frameworks for the tailoring of the risk based approach to incorporate existing sectorial knowledge about existing PwDE specific risks and their appropriate treatment.</t>
  </si>
  <si>
    <t>SHOULD (equiv. 'is generally advisable')</t>
  </si>
  <si>
    <t>TR1-111</t>
  </si>
  <si>
    <t>5.5 Risk handling as a process</t>
  </si>
  <si>
    <t>Risk handling is iterative: It is not possible to handle all relevant risks in one go, as even with the most rigorous risk assessment there will very likely be risks not evaluated before as reality is complex and external factors can change often and risk mitigation measures will introduce new or affect existing interactions inside the PwDE, that have to be reassessed.</t>
  </si>
  <si>
    <t>Post-market events (new vulnerabilities, threats, changes) must update the risk assessment (risk handling is iterative; interactions affected by mitigations have to be reassessed).</t>
  </si>
  <si>
    <t>TR1-112</t>
  </si>
  <si>
    <t>Thus it is important to stay flexible by implementing usable and structured processes able to react to change and uncertainty.</t>
  </si>
  <si>
    <t>SHOULD (equiv. 'it is important to')</t>
  </si>
  <si>
    <t>Post-market events (new vulnerabilities, threats, changes) must update the risk assessment (implement usable, structured risk-handling processes able to react to change and uncertainty).</t>
  </si>
  <si>
    <t>TR1-113</t>
  </si>
  <si>
    <t>Thus it is important to be transparent on risks and communicate them with the relevant stakeholders.</t>
  </si>
  <si>
    <t>Risk communication</t>
  </si>
  <si>
    <t>Post-market events (new vulnerabilities, threats, changes) must update the risk assessment (be transparent on risks and communicate them with relevant stakeholders).</t>
  </si>
  <si>
    <t>TR1-114</t>
  </si>
  <si>
    <t>5.6 Perspectives for risk handling</t>
  </si>
  <si>
    <t>Risk handling has to find an appropriate balance between the different perspectives.</t>
  </si>
  <si>
    <t>TR1-115</t>
  </si>
  <si>
    <t>A developer has primarily the function in mind and thus risks have to be assessed and treated in harmony with the intended purpose of the PwDE.</t>
  </si>
  <si>
    <t>TR1-116</t>
  </si>
  <si>
    <t>5.7.1 Intended purpose and reasonable foreseeable use</t>
  </si>
  <si>
    <t>To assess the scope of the risk assessment it is necessary to define the context of the PwDE in regards to cybersecurity.</t>
  </si>
  <si>
    <t>MUST (equiv. 'it is necessary to')</t>
  </si>
  <si>
    <t>Risk assessment - context</t>
  </si>
  <si>
    <t>Post-market events (new vulnerabilities, threats, changes) must update the risk assessment (define the cybersecurity risk context of the product).</t>
  </si>
  <si>
    <t>TR1-117-a</t>
  </si>
  <si>
    <t>Based on Article 13(1) products with digital elements shall be made available on the market only where they meet the essential cybersecurity requirements set out in Annex I Part I, provided that they are properly installed, maintained, used for their intended purpose or under conditions which can reasonably be foreseen, and, where applicable, the necessary security updates have been installed; […]</t>
  </si>
  <si>
    <t>SHALL (CRA Art. 13(1) restated)</t>
  </si>
  <si>
    <t>Customers must be enabled to install the necessary security updates.</t>
  </si>
  <si>
    <t>TR1-117-b</t>
  </si>
  <si>
    <t>[…] and the processes put in place by the manufacturer comply with the essential cybersecurity requirements set out in Annex I Part I.</t>
  </si>
  <si>
    <t>The manufacturer's processes (vulnerability handling) must comply with the essential requirements.</t>
  </si>
  <si>
    <t>Implement, document and operate: the manufacturer's processes must comply with the essential requirements.</t>
  </si>
  <si>
    <t>TR-1 says 'Annex I Part I' for the processes; the CRA refers to the Part II (vulnerability handling) requirements here. Assessed as Part II processes - probable editorial error in TR-1.</t>
  </si>
  <si>
    <t>TR1-118</t>
  </si>
  <si>
    <t>The CRA also addresses reasonably foreseeable misuse, which is in general not part of the risk assessment but has to be documented according Annex II CRA when posing a significant security risk.</t>
  </si>
  <si>
    <t>Nil - no change needed in 5. Solution Maintenance (RUN). Handled in 4. Solution Deployment (Deployment Manager).</t>
  </si>
  <si>
    <t>Handled in 4. Solution Deployment</t>
  </si>
  <si>
    <t>TR1-119</t>
  </si>
  <si>
    <t>5.7.2 PwDE architecture</t>
  </si>
  <si>
    <t>Besides the intended purpose and foreseeable use a PwDE architecture is also necessary to perform an effective risk assessment.</t>
  </si>
  <si>
    <t>MUST (equiv. 'is also necessary')</t>
  </si>
  <si>
    <t>TR1-120</t>
  </si>
  <si>
    <t>[The architecture is a high level technical description of the PwDE and should include:] The connective capabilities of the PwDE (WAN, Bluetooth, WLAN or other )</t>
  </si>
  <si>
    <t>SHOULD (equiv. 'should include')</t>
  </si>
  <si>
    <t>TR1-121</t>
  </si>
  <si>
    <t>[The architecture is a high level technical description of the PwDE and should include:] The (potential) relation and communication of the PwDE's components with its remote data processing solutions</t>
  </si>
  <si>
    <t>TR1-122</t>
  </si>
  <si>
    <t>[The architecture is a high level technical description of the PwDE and should include:] The (potential) relation and communication to other PwDE or PwDE components</t>
  </si>
  <si>
    <t>TR1-123</t>
  </si>
  <si>
    <t>[The architecture is a high level technical description of the PwDE and should include:] The boundaries of the PwDE</t>
  </si>
  <si>
    <t>TR1-124</t>
  </si>
  <si>
    <t>This is generally no problem for components in scope of the CRA as they are required to be designed, developed and produced in such a way that they ensure an appropriate level of cybersecurity based on the risks for the intended purpose.</t>
  </si>
  <si>
    <t>MUST (equiv. 'are required to'; other manufacturers)</t>
  </si>
  <si>
    <t>Nil - no change needed in 5. Solution Maintenance (RUN). Handled in 2. Solution Development (Software Architect / Open Source Program Office).</t>
  </si>
  <si>
    <t>TR1-125-a</t>
  </si>
  <si>
    <t>The manufacturer is generally responsible for third-party components integrated by the manufacturer itself […]</t>
  </si>
  <si>
    <t>Responsibility (equiv. 'is responsible')</t>
  </si>
  <si>
    <t>Third-party components must be monitored for vulnerabilities and support status, and upstream maintainers informed (the manufacturer is responsible for third-party components it integrates).</t>
  </si>
  <si>
    <t>TR1-125-b</t>
  </si>
  <si>
    <t>[…] and has to exercise due diligence according to CRA Article 13 (5).</t>
  </si>
  <si>
    <t>Third-party components must be monitored for vulnerabilities and support status, and upstream maintainers informed (exercise due diligence for integrated third-party components (Art. 13(5))).</t>
  </si>
  <si>
    <t>TR1-126</t>
  </si>
  <si>
    <t>5.7.3 Decision Criteria</t>
  </si>
  <si>
    <t>To establish a comprehensible and consistent assessment the factors and criteria used for decision making have to be established as part of the risk context.</t>
  </si>
  <si>
    <t>Risk decision criteria</t>
  </si>
  <si>
    <t>Nil - no change needed in 5. Solution Maintenance (RUN). Handled in 2. Solution Development (Security Architect / Product Security Officer).</t>
  </si>
  <si>
    <t>TR1-127</t>
  </si>
  <si>
    <t>It is generally advisable to use existing specific standards based on existing sectorial knowledge and best practices.</t>
  </si>
  <si>
    <t>TR1-128</t>
  </si>
  <si>
    <t>A strategy on using these decision criteria as well as an initial set of criteria will be provided at the end of this chapter and can be tailored by the manufacturer for his specific use case based on its specific processes.</t>
  </si>
  <si>
    <t>MAY (equiv. 'can be tailored')</t>
  </si>
  <si>
    <t>TR1-129</t>
  </si>
  <si>
    <t>5.8.1.1.1 Asset Identification - General</t>
  </si>
  <si>
    <t>To identify potential risks to a PwDE it is necessary to identify the assets of the PwDE potentially affected by the realization of a risk.</t>
  </si>
  <si>
    <t>Risk assessment - assets</t>
  </si>
  <si>
    <t>TR1-130</t>
  </si>
  <si>
    <t>The list of assets should not include objects outside of the PwDE, as those can not be directly protected by the PwDE and will be unnecessarily redundant, as everything outside of the PwDE which can be affected by the PwDE has a corresponding asset in the PwDE.</t>
  </si>
  <si>
    <t>SHOULD NOT (equiv. 'should not')</t>
  </si>
  <si>
    <t>TR1-131</t>
  </si>
  <si>
    <t>To keep the list of identified assets manageable it is advisable to group assets into categories based on the use case and general type of asset based on an asset catalogue.</t>
  </si>
  <si>
    <t>SHOULD (equiv. 'is advisable')</t>
  </si>
  <si>
    <t>TR1-132</t>
  </si>
  <si>
    <t>The list of assets in the impact criteria may be used as a base for the asset management.</t>
  </si>
  <si>
    <t>RH_RA.1.1.1</t>
  </si>
  <si>
    <t>5.8.1.1.3 Control - RH_RA.1.1.1 Asset Identification (Activity)</t>
  </si>
  <si>
    <t>[Input: Functionality of the PwDE with digital elements based on the intended purpose and reasonably foreseeable use Recommended: Catalogue of common assets and asset categories] The manufacturer MUST identify all assets of the PwDE. [Output: (Categorized) List of Assets of the PwDE]</t>
  </si>
  <si>
    <t>Post-market events (new vulnerabilities, threats, changes) must update the risk assessment (identify all assets of the product).</t>
  </si>
  <si>
    <t>TR1-133</t>
  </si>
  <si>
    <t>5.8.1.2.1 Threat Modelling - General</t>
  </si>
  <si>
    <t>It is generally advisable to use a structured approach for threat identification based on an existing threat catalogue.</t>
  </si>
  <si>
    <t>Risk assessment - threats</t>
  </si>
  <si>
    <t>TR1-134</t>
  </si>
  <si>
    <t>If components or RDPS of the PwDE are reused for other PwDEs, e.g. a companion app used for multiple IoT devices or a RDPS of the manufacturer used for multiple PwDEs, it is generally advisable to split threat modelling and the consequent risk assessment into components for easier reuse.</t>
  </si>
  <si>
    <t>RH_RA.1.1.2</t>
  </si>
  <si>
    <t>5.8.1.2.3 Control - RH_RA.1.1.2 Threat Modelling (Activity)</t>
  </si>
  <si>
    <t>[Input: Intended purpose and reasonably foreseeable use PwDE architecture List of assets (Optional: Threat catalogue)] The manufacturer MUST identify the threats to the assets and the potentially affected components of the PwDE. [Output: List of identified risks resulting from threats and potentially affected assets and components of the PwDE]</t>
  </si>
  <si>
    <t>Post-market events (new vulnerabilities, threats, changes) must update the risk assessment (identify the threats to the assets and the affected components).</t>
  </si>
  <si>
    <t>TR1-135</t>
  </si>
  <si>
    <t>5.9.1 Risk Analysis - General</t>
  </si>
  <si>
    <t>To keep the estimation of likelihood comprehensible appropriate likelihood criteria have to be established.</t>
  </si>
  <si>
    <t>TR1-136</t>
  </si>
  <si>
    <t>If the impact or likelihood of an identified risk can not be assessed, because it depends on additional parameters, e.g. attacker potential, duration of the incident, number of affected PwDEs, the identified risk should be split into multiple risks depending on the parameters.</t>
  </si>
  <si>
    <t>Risk assessment - analysis</t>
  </si>
  <si>
    <t>TR1-137</t>
  </si>
  <si>
    <t>5.9.1 Risk Analysis - General (NOTE)</t>
  </si>
  <si>
    <t>It is generally advisable to use sectorial appropriate methods for the risk analysis, fitting for the specific use case.</t>
  </si>
  <si>
    <t>Text taken from the official BSI PDF of TR-03183-1 v1.0.0: the Markdown conversion garbled or dropped this passage.</t>
  </si>
  <si>
    <t>TR1-138</t>
  </si>
  <si>
    <t>As it's generally not possible to completely, precisely and objectively assess the likelihood and impact of risks, the effort used for the risk analysis should be put into perspective to the effort of treating a potential risk.</t>
  </si>
  <si>
    <t>RH_RA.1.2</t>
  </si>
  <si>
    <t>5.9.3 Control - RH_RA.1.2 Risk Analysis (Activity)</t>
  </si>
  <si>
    <t>The manufacturer MUST analyse the risks of the PwDE in regard to their likelihood and potential impact. [Output: List of (analysed) risks including impact and likelihood]</t>
  </si>
  <si>
    <t>Post-market events (new vulnerabilities, threats, changes) must update the risk assessment (analyse the risks for likelihood and potential impact).</t>
  </si>
  <si>
    <t>TR1-139</t>
  </si>
  <si>
    <t>5.10.1 Risk Evaluation - General</t>
  </si>
  <si>
    <t>After the risks have been analysed, the manufacturer needs to evaluate if the analysed risks have to be treated or can be accepted.</t>
  </si>
  <si>
    <t>MUST (equiv. 'needs to')</t>
  </si>
  <si>
    <t>Risk assessment - evaluation</t>
  </si>
  <si>
    <t>Post-market events (new vulnerabilities, threats, changes) must update the risk assessment (evaluate whether analysed risks must be treated or can be accepted).</t>
  </si>
  <si>
    <t>RH_RA.1.3</t>
  </si>
  <si>
    <t>5.10.3 Control - RH_RA.1.3 Risk Evaluation (Activity)</t>
  </si>
  <si>
    <t>The manufacturer MUST evaluate whether the analysed risks of the PwDE can be accepted or not. [Output: List of (evaluated risks), which have to be treated or have been accepted]</t>
  </si>
  <si>
    <t>Post-market events (new vulnerabilities, threats, changes) must update the risk assessment (evaluate whether the analysed risks can be accepted).</t>
  </si>
  <si>
    <t>TR1-140</t>
  </si>
  <si>
    <t>5.11 RH_RT.1 Risk Treatment</t>
  </si>
  <si>
    <t>Risks which a not accepted have to be treated.</t>
  </si>
  <si>
    <t>Risk treatment</t>
  </si>
  <si>
    <t>New risks found after release must be treated in the same way (risks that are not accepted have to be treated).</t>
  </si>
  <si>
    <t>Post-market risk treatment</t>
  </si>
  <si>
    <t>Treat post-market risks via fixes, mitigations or documented acceptance.</t>
  </si>
  <si>
    <t>Treatment records</t>
  </si>
  <si>
    <t>2. Development</t>
  </si>
  <si>
    <t>TR1-141</t>
  </si>
  <si>
    <t>This entails that an appropriate risk treatment based on the risk is a required part of the PwDE design.</t>
  </si>
  <si>
    <t>MUST (equiv. 'is a required part')</t>
  </si>
  <si>
    <t>TR1-142</t>
  </si>
  <si>
    <t>5.11.1.1 Select appropriate controls - General</t>
  </si>
  <si>
    <t>The manufacturer has to meet the requirement Annex I Part I (1) by designing, developing and producing PwDEs in such a way that they ensure an appropriate level of cybersecurity based on the risks.</t>
  </si>
  <si>
    <t>TR1-143</t>
  </si>
  <si>
    <t>This requires an initial selection of appropriate controls based on the risks to be treated.</t>
  </si>
  <si>
    <t>TR1-144</t>
  </si>
  <si>
    <t>If a risk can not be effectively treated by the manufacturer on his own, risk sharing can be used.</t>
  </si>
  <si>
    <t>MAY (equiv. 'can be used')</t>
  </si>
  <si>
    <t>Risk sharing</t>
  </si>
  <si>
    <t>RH_RT.1.1.1-a</t>
  </si>
  <si>
    <t>5.11.1.3 Control - RH_RT.1.1.1 Select appropriate controls (Activity)</t>
  </si>
  <si>
    <t>The manufacturer MUST select appropriate controls to treat the evaluated risks and to reduce them to an acceptable level […]</t>
  </si>
  <si>
    <t>New risks found after release must be treated in the same way (select controls that reduce evaluated risks to an acceptable level).</t>
  </si>
  <si>
    <t>RH_RT.1.1.1-b</t>
  </si>
  <si>
    <t>[…] and include the selected controls in the design of the PwDE. [Output: List of selected controls and associated risks to be included in the design of the PwDE]</t>
  </si>
  <si>
    <t>TR1-145-a</t>
  </si>
  <si>
    <t>5.11.2.1 Select Applicable Essential Cybersecurity Requirements - General</t>
  </si>
  <si>
    <t>The manufacturer also has to meet […] the applicable requirements of Annex I Part I (2) on the basis of the cybersecurity risk assessment.</t>
  </si>
  <si>
    <t>Essential requirements - applicability</t>
  </si>
  <si>
    <t>TR1-145-b</t>
  </si>
  <si>
    <t>The manufacturer also has to […] document the applicable requirements of Annex I Part I (2) on the basis of the cybersecurity risk assessment.</t>
  </si>
  <si>
    <t>TR1-146</t>
  </si>
  <si>
    <t>If it is not addressed by any selected control, the manufacturer has to document and justify why the essential cybersecurity requirement is not applicable based on the associated risks.</t>
  </si>
  <si>
    <t>RH_RT.1.1.2-a</t>
  </si>
  <si>
    <t>5.11.2.3 Control - RH_RT.1.1.2 Select Applicable Essential Cybersecurity Requirements (Activity)</t>
  </si>
  <si>
    <t>The manufacturer MUST select and document applicable essential cybersecurity requirements from Annex I Part I (2) based on the selected controls.</t>
  </si>
  <si>
    <t>New risks found after release must be treated in the same way (select and document applicable Annex I Part I (2) requirements based on the selected controls).</t>
  </si>
  <si>
    <t>RH_RT.1.1.2-b</t>
  </si>
  <si>
    <t>The manufacturer MUST document and justify any non-applicable essential cybersecurity requirements from Annex I Part I (2) based on the associated risks. [Output: List of applicable and non-applicable essential cybersecurity requirements from Annex I Part I (2)]</t>
  </si>
  <si>
    <t>New risks found after release must be treated in the same way (document and justify non-applicable Annex I Part I (2) requirements).</t>
  </si>
  <si>
    <t>TR1-147-a</t>
  </si>
  <si>
    <t>5.11.3.1.1 Risk Sharing with Suppliers - General</t>
  </si>
  <si>
    <t>The term risk transfer can be used synonymously, but will be avoided as it is generally not possible to transfer a risk completely to a third-party as the manufacturer is still responsible for addressing the risks of the PwDE […]</t>
  </si>
  <si>
    <t>Responsibility (equiv. 'is still responsible')</t>
  </si>
  <si>
    <t>TR1-147-b</t>
  </si>
  <si>
    <t>[…] and has to exercise due diligence according to CRA Article 13 (5) when integrating components.</t>
  </si>
  <si>
    <t>TR1-148</t>
  </si>
  <si>
    <t>Financial risk sharing in the context of an insurance for cyber security related incident can also be additionally applied, but is generally not a valid approach to meet cyber security requirements.</t>
  </si>
  <si>
    <t>MUST NOT (equiv. 'is generally not a valid approach')</t>
  </si>
  <si>
    <t>Nil - no change needed in 5. Solution Maintenance (RUN). Handled in 1. Presale (Contract Manager / Presales Solution Architect).</t>
  </si>
  <si>
    <t>TR1-149</t>
  </si>
  <si>
    <t>If the manufacturer is not able to treat the risk in relation to a FOSS component appropriately, he may rely on a third party acting as an open-source software steward providing support for the component.</t>
  </si>
  <si>
    <t>Third-party components must be monitored for vulnerabilities and support status, and upstream maintainers informed (for FOSS risks the manufacturer may rely on an open-source software steward).</t>
  </si>
  <si>
    <t>RH_RT.1.2.1</t>
  </si>
  <si>
    <t>5.11.3.1.3 Control - RH_RT.1.2.1 Risk Sharing with Suppliers (Activity)</t>
  </si>
  <si>
    <t>If sharing risks with a third-party supplier, the manufacturer MUST exercise due diligence by ensuring that the manufacturer of the integrated component is legally obliged, contractually required or otherwise able and willing to treat the risk accordingly. [Output: List of shared risks including the actions taken by the manufacturer to exercise due diligence]</t>
  </si>
  <si>
    <t>Supplier commitments must be monitored over the support period.</t>
  </si>
  <si>
    <t>TR1-150</t>
  </si>
  <si>
    <t>5.11.3.2.1 Risk Sharing with Users - General</t>
  </si>
  <si>
    <t>In this case the manufacturer has to take into account the capabilities of the user and the infrastructure of the user.</t>
  </si>
  <si>
    <t>TR1-151</t>
  </si>
  <si>
    <t>This way the integrating manufacturer has to exercise due diligence when integrating the third-party software, but the usage of the third-party RDPS is purely between the user and the provider of the third-party application.</t>
  </si>
  <si>
    <t>RH_RT.1.2.2-a</t>
  </si>
  <si>
    <t>5.11.3.2.3 Control - RH_RT.1.2.2 Risk Sharing with Users (Activity)</t>
  </si>
  <si>
    <t>If sharing the risk with the user, the manufacturer MUST ensure that the shared risks are within the foreseeable expectations of the user […]</t>
  </si>
  <si>
    <t>RH_RT.1.2.2-b</t>
  </si>
  <si>
    <t>[…] and that sufficient guidance documenting the risks and the expected mitigation by the user according to [USER_DOCUMENTATION] is provided. [Output: List of shared risks including the actions taken by the manufacturer to document shared risks]</t>
  </si>
  <si>
    <t>The information must be kept current, e.g. contact point, support end date, update instructions (provide sufficient guidance documenting shared risks and expected user mitigations).</t>
  </si>
  <si>
    <t>TR1-152</t>
  </si>
  <si>
    <t>5.11.4.1 Implementation and Verification - General</t>
  </si>
  <si>
    <t>The selected controls which were incorporated into the PwDE design have to be implemented accordingly to be effective.</t>
  </si>
  <si>
    <t>TR1-153</t>
  </si>
  <si>
    <t>The verification of effectiveness should at least be done on a conceptual level supported by a development process showing that the manufacturer develops and produces the PwDE correctly following the design.</t>
  </si>
  <si>
    <t>RH_RT.1.3-a</t>
  </si>
  <si>
    <t>5.11.4.3 Control - RH_RT.1.3 Implementation and Verification (Activity)</t>
  </si>
  <si>
    <t>The manufacturer MUST implement the selected controls […]</t>
  </si>
  <si>
    <t>RH_RT.1.3-b</t>
  </si>
  <si>
    <t>[…] and verify their effectiveness and correctness, in accordance with the associated risk. [Output: List of implemented controls and performed verification]</t>
  </si>
  <si>
    <t>New risks found after release must be treated in the same way (verify effectiveness and correctness of controls in accordance with the risk).</t>
  </si>
  <si>
    <t>TR1-154-a</t>
  </si>
  <si>
    <t>5.12.1 Documentation of the risk assessment - General</t>
  </si>
  <si>
    <t>Following Article 13 (3) and (4) the cybersecurity risk assessment shall be documented […]</t>
  </si>
  <si>
    <t>Risk assessment - documentation</t>
  </si>
  <si>
    <t>TR1-154-b</t>
  </si>
  <si>
    <t>[…] and included in the technical documentation required pursuant to Article 31 and Annex VII.</t>
  </si>
  <si>
    <t>TR1-155</t>
  </si>
  <si>
    <t>The usage of tools or templates for the documentation of the risk assessment is advisable.</t>
  </si>
  <si>
    <t>RH_DOC.1-a</t>
  </si>
  <si>
    <t>5.12.3 Control - RH_DOC.1 Documentation of the risk assessment (Activity)</t>
  </si>
  <si>
    <t>The manufacturer MUST document the results of the risk assessment in a comprehensive manner.</t>
  </si>
  <si>
    <t>Post-market events (new vulnerabilities, threats, changes) must update the risk assessment (document the risk-assessment results comprehensively).</t>
  </si>
  <si>
    <t>RH_DOC.1-b</t>
  </si>
  <si>
    <t>This includes the risk context, the evaluated risks including the corresponding implemented controls and shared risks as well as the applicable essential cybersecurity requirements. [Output: Documentation of the risk assessment]</t>
  </si>
  <si>
    <t>MUST (part of the 'MUST document')</t>
  </si>
  <si>
    <t>TR1-156</t>
  </si>
  <si>
    <t>5.13.1 Update Risk Assessment - General</t>
  </si>
  <si>
    <t>The cybersecurity risk assessment has to be updated as appropriate during a defined support period according to Article 13 (3).</t>
  </si>
  <si>
    <t>Risk assessment - update</t>
  </si>
  <si>
    <t>The risk assessment must be updated as appropriate throughout the support period.</t>
  </si>
  <si>
    <t>TR1-157</t>
  </si>
  <si>
    <t>5.13.1 Update Risk Assessment - General (trigger)</t>
  </si>
  <si>
    <t>[An update is appropriate every time the existing risk assessment gets deprecated by an external or internal change in the threat context. This is at least the case in the following events:] Update to the PwDE with security implications</t>
  </si>
  <si>
    <t>MUST (trigger of 'has to be updated')</t>
  </si>
  <si>
    <t>Every update with security implications must trigger a risk-assessment update.</t>
  </si>
  <si>
    <t>TR1-158</t>
  </si>
  <si>
    <t>[An update is appropriate every time the existing risk assessment gets deprecated by an external or internal change in the threat context. This is at least the case in the following events:] New vulnerability becomes known</t>
  </si>
  <si>
    <t>Every newly known vulnerability must trigger a risk-assessment update.</t>
  </si>
  <si>
    <t>TR1-159</t>
  </si>
  <si>
    <t>[An update is appropriate every time the existing risk assessment gets deprecated by an external or internal change in the threat context. This is at least the case in the following events:] New threats become known, e.g. new attack methods with potential impact on the PwDE.</t>
  </si>
  <si>
    <t>New threats (e.g. attack methods) must trigger a risk-assessment update; threat-intelligence input is needed.</t>
  </si>
  <si>
    <t>TR1-160</t>
  </si>
  <si>
    <t>Additionally, as not all relevant events can be monitored in all cases it is generally advisable to update the risk assessment in regular intervals.</t>
  </si>
  <si>
    <t>Scheduled risk-assessment reviews are advisable in addition to event triggers.</t>
  </si>
  <si>
    <t>RH_UPD.1-a</t>
  </si>
  <si>
    <t>5.13.3 Control - RH_UPD.1 Update Risk Assessment (Activity)</t>
  </si>
  <si>
    <t>[Input: Risk Assessment- Optional: Event influencing the risk context] The manufacturer MUST update the risk assessment when the risk context of the PwDE changes […]</t>
  </si>
  <si>
    <t>The risk assessment must be updated whenever the risk context changes after release - a post-market trigger process.</t>
  </si>
  <si>
    <t>RH_UPD.1-b</t>
  </si>
  <si>
    <t>[…] and treat new unaccepted risks accordingly. [Output: Updated risk assessment]</t>
  </si>
  <si>
    <t>New unaccepted risks found after release must be treated (fix, mitigation, operator instruction).</t>
  </si>
  <si>
    <t>TR1-161</t>
  </si>
  <si>
    <t>5.14 Decision Criteria</t>
  </si>
  <si>
    <t>Decision criteria are a tool to simplify the analysis and evaluation of risks and should be defined on a on a sectorial, organisational or PwDE level.</t>
  </si>
  <si>
    <t>TR1-162</t>
  </si>
  <si>
    <t>5.14.1 Impact Criteria</t>
  </si>
  <si>
    <t>The criteria can be tailored if needed.</t>
  </si>
  <si>
    <t>TR1-163</t>
  </si>
  <si>
    <t>5.14.3 Acceptance Criteria</t>
  </si>
  <si>
    <t>[This guideline will use the following criteria for acceptance of risks:] The risk for a moderate or higher impact of a local attack is not acceptable, if the access restrictions do not prevent the local access to potentially malicious actors with the capability to perform low complexity attacks.</t>
  </si>
  <si>
    <t>MUST NOT (equiv. 'is not acceptable')</t>
  </si>
  <si>
    <t>Risk acceptance criteria</t>
  </si>
  <si>
    <t>TR1-164</t>
  </si>
  <si>
    <t>[This guideline will use the following criteria for acceptance of risks:] The risk for a high or higher impact of a local attack is not acceptable, if the access restrictions do not prevent local access to a known but potentially malicious group of actors with the capability to perform high complexity attacks.</t>
  </si>
  <si>
    <t>TR1-165</t>
  </si>
  <si>
    <t>[This guideline will use the following criteria for acceptance of risks:] The risk for a moderate or higher impact of a network attack is not acceptable, if the network restrictions do not prevent the access to a unknown group of potentially malicious actors with the capability to perform low complexity attacks.</t>
  </si>
  <si>
    <t>TR1-166</t>
  </si>
  <si>
    <t>[This guideline will use the following criteria for acceptance of risks:] The risk for a high or higher impact of a network attack is not acceptable, if the network restrictions do not prevent network access to a known limited group potentially malicious actors with the capability to perform high complexity attacks.</t>
  </si>
  <si>
    <t>TR1-167</t>
  </si>
  <si>
    <t>[This guideline will use the following criteria for acceptance of risks:] The risk for a moderate or higher impact based on an initial misconfiguration of the PwDE is not acceptable, if the user is a layman.</t>
  </si>
  <si>
    <t>Assumption: customer operators are skilled IT/OT professionals.</t>
  </si>
  <si>
    <t>TR1-168</t>
  </si>
  <si>
    <t>[This guideline will use the following criteria for acceptance of risks:] The risk for a high or very high impact based on an initial misconfiguration of the PwDE is not acceptable, if the user is an instructed tradesmen but not a skilled expert.</t>
  </si>
  <si>
    <t>TR1-169</t>
  </si>
  <si>
    <t>These acceptance criteria are understood as an initial baseline and have to tailored based on the product specific use case and sectorial best practices.</t>
  </si>
  <si>
    <t>TR1-170</t>
  </si>
  <si>
    <t>6.2 Matching a Risk Scenario (step 1)</t>
  </si>
  <si>
    <t>[Whether a risk applies to the PwDE can be evaluated following these steps:] Perform the risk assessment as described in risk handling.</t>
  </si>
  <si>
    <t>MAY (procedure; 'can be evaluated following these steps')</t>
  </si>
  <si>
    <t>ARC control-selection method</t>
  </si>
  <si>
    <t>TR1-171</t>
  </si>
  <si>
    <t>6.2 Matching a Risk Scenario (step 2)</t>
  </si>
  <si>
    <t>[Whether a risk applies to the PwDE can be evaluated following these steps:] Categorize the assets identified according to the impact criteria and the environment the component of the PwDE handling the asset is in. This will result in a mapping from asset to base impact in confidentiality, integrity and availability and corresponding environment.</t>
  </si>
  <si>
    <t>TR1-172</t>
  </si>
  <si>
    <t>6.2 Matching a Risk Scenario (step 3)</t>
  </si>
  <si>
    <t>[Whether a risk applies to the PwDE can be evaluated following these steps:] Separate the PwDE into different environments. Following the likelihood criteria the environment is a tuple of access restriction, user capability and interface restriction. Note the tuple describing the environment. This can be started on a component basis and refined on an interface and functions basis later on.</t>
  </si>
  <si>
    <t>TR1-173</t>
  </si>
  <si>
    <t>[Whether a risk applies to the PwDE can be evaluated following these steps:] For RDPS under its responsibility the manufacturer is able to choose the environment it is willing to provide for the operation of the RDPS.</t>
  </si>
  <si>
    <t>MAY (equiv. 'is able to choose')</t>
  </si>
  <si>
    <t>Environment choices for remote data processing operated by us affect which controls apply (for its RDPS the manufacturer may choose the operating environment it provides).</t>
  </si>
  <si>
    <t>Operation of remote data processing (RDPS)</t>
  </si>
  <si>
    <t>Document the operating environment provided for our RDPS.</t>
  </si>
  <si>
    <t>RDPS environment description</t>
  </si>
  <si>
    <t>TR1-174</t>
  </si>
  <si>
    <t>6.2 Matching a Risk Scenario (step 4)</t>
  </si>
  <si>
    <t>[Whether a risk applies to the PwDE can be evaluated following these steps:] Select the controls based on the assets, impact and environment parameters given in the risk scenario of the control.</t>
  </si>
  <si>
    <t>TR1-175</t>
  </si>
  <si>
    <t>[Whether a risk applies to the PwDE can be evaluated following these steps:] If more than one value is given for an environment parameter, at least one must match.</t>
  </si>
  <si>
    <t>TR1-176</t>
  </si>
  <si>
    <t>6.3 Recommended Workflow</t>
  </si>
  <si>
    <t>To keep the approach simple this guideline recommends a rough top-down-approach with refinement if needed, as it is neither feasible nor reliable to start with a detailed selection of controls.</t>
  </si>
  <si>
    <t>RECOMMENDED (equiv. 'recommends')</t>
  </si>
  <si>
    <t>TR1-177</t>
  </si>
  <si>
    <t>6.3 Recommended Workflow (step 1)</t>
  </si>
  <si>
    <t>[Follow this process] Identify high-level assets and environments of the PwDE or components of the PwDE and generate a combined risk profile consisting of Highest Impact in C/I/A of all identified assets Combination of all environments, e.g. interface restriction: local, remote network. This will match all controls with an interface restriction of local,remote network or *.</t>
  </si>
  <si>
    <t>SHOULD (recommended workflow; imperative)</t>
  </si>
  <si>
    <t>TR1-178</t>
  </si>
  <si>
    <t>6.3 Recommended Workflow (step 2)</t>
  </si>
  <si>
    <t>[Follow this process] Select all controls based on combined risk profile</t>
  </si>
  <si>
    <t>TR1-179</t>
  </si>
  <si>
    <t>6.3 Recommended Workflow (step 3)</t>
  </si>
  <si>
    <t>[Follow this process] Try to implement selected control</t>
  </si>
  <si>
    <t>TR1-180</t>
  </si>
  <si>
    <t>6.3 Recommended Workflow (step 4)</t>
  </si>
  <si>
    <t>[Follow this process] If a control can not be feasibly implemented everywhere, revaluate and refine the risk profile in scope of the part of the PwDE where the control can not be implemented. e.g. a control for remote network interface might not be able to implement on a local interface, consequently split up the risk profile in the environment for the local interface and an environment for the rest of the PwDE</t>
  </si>
  <si>
    <t>TR1-181</t>
  </si>
  <si>
    <t>6.3 Recommended Workflow (step 5)</t>
  </si>
  <si>
    <t>[Follow this process] Reevaluate the asset list for new assets after implementing all controls</t>
  </si>
  <si>
    <t>TR1-182</t>
  </si>
  <si>
    <t>6.4 Working with predefined risk profiles</t>
  </si>
  <si>
    <t>To simplify the risk assessment predefined risk profiles may be used.</t>
  </si>
  <si>
    <t>MAY</t>
  </si>
  <si>
    <t>TR1-183</t>
  </si>
  <si>
    <t>Generally it is not possible to completely skip the risk assessment as the risk profile also has to be evaluated based on the PwDE in scope and potentially extended with PwDE specific risks, but the risk profile sets an initial baseline which can be customized as needed.</t>
  </si>
  <si>
    <t>TR1-184</t>
  </si>
  <si>
    <t>6.4 Working with predefined risk profiles (step 1)</t>
  </si>
  <si>
    <t>[Predefined risk profiles come with a list of preselected controls and can be used as follows:] Choose appropriate profile closely resembling the intended purpose and foreseeable use of the PwDE</t>
  </si>
  <si>
    <t>MAY (procedure if predefined profiles are used)</t>
  </si>
  <si>
    <t>TR1-185</t>
  </si>
  <si>
    <t>6.4 Working with predefined risk profiles (step 2)</t>
  </si>
  <si>
    <t>[Predefined risk profiles come with a list of preselected controls and can be used as follows:] Apply profile and controls following the workflow described in 6.3</t>
  </si>
  <si>
    <t>TR1-186</t>
  </si>
  <si>
    <t>6.4 Working with predefined risk profiles (step 3)</t>
  </si>
  <si>
    <t>[Predefined risk profiles come with a list of preselected controls and can be used as follows:] Reevaluate assets and environments set out in the predefined risk profile and add missing risk, based on assets and environments</t>
  </si>
  <si>
    <t>TR1-187</t>
  </si>
  <si>
    <t>6.4 Working with predefined risk profiles (step 4)</t>
  </si>
  <si>
    <t>[Predefined risk profiles come with a list of preselected controls and can be used as follows:] Enhance predefined profile with appropriate controls for added risks</t>
  </si>
  <si>
    <t>TR1-188</t>
  </si>
  <si>
    <t>6.5 Example - control 'Automatic Update Mechanism (Mechanism)'</t>
  </si>
  <si>
    <t>[Automatic Update Mechanism (Mechanism) Risk Scenario: The PwDE handles assets with moderate or higher impact which can not be protected if PwDE integrity is lost. The user is a layman not installing updates in regular intervals leaving the PwDE vulnerable to attack via external networks. Environment: Access Restriction: * Interface Restriction: External network User Capabilities: Layman] The update mechanism of the PwDE MUST include an automatic update mechanism able to check for new updates automatically.</t>
  </si>
  <si>
    <t>MUST (example control)</t>
  </si>
  <si>
    <t>Update mechanism</t>
  </si>
  <si>
    <t>Nil - no change needed in 5. Solution Maintenance (RUN). Handled in 2. Solution Development (Software Architect).</t>
  </si>
  <si>
    <t>Example control from TR-1 section 6.5; the full OSCAL control catalogue is not part of the source documents.</t>
  </si>
  <si>
    <t>TR1-189-a</t>
  </si>
  <si>
    <t>6.6 Rationale on ARCs</t>
  </si>
  <si>
    <t>The manufacturer has to provide the expected environment in full […]</t>
  </si>
  <si>
    <t>Operating environment responsibility</t>
  </si>
  <si>
    <t>New risks found after release must be treated in the same way (provide the environment expected by integrated components in full).</t>
  </si>
  <si>
    <t>TR1-189-b</t>
  </si>
  <si>
    <t>[…] or can delegate the expectation to the next user in the supply chain.</t>
  </si>
  <si>
    <t>MAY (equiv. 'can delegate')</t>
  </si>
  <si>
    <t>TR1-190</t>
  </si>
  <si>
    <t>If this is done, the manufacturer has to enable the next user to meet the expectations.</t>
  </si>
  <si>
    <t>TR1-191</t>
  </si>
  <si>
    <t>This does at least include a transparent description of the delegated expectations as well as the means to meet the expectations, e.g. a configuration interface if some additional configuration is expected.</t>
  </si>
  <si>
    <t>MUST (equiv. 'does at least include')</t>
  </si>
  <si>
    <t>ER.0</t>
  </si>
  <si>
    <t>Annex B Table 8 (CRA Annex I Part I (1)); text also in 3.9</t>
  </si>
  <si>
    <t>Products with digital elements shall be designed, developed and produced in such a way that they ensure an appropriate level of cybersecurity based on the risks.</t>
  </si>
  <si>
    <t>SHALL (CRA Annex I text)</t>
  </si>
  <si>
    <t>Essential requirements - risk-based security</t>
  </si>
  <si>
    <t>Updates must maintain the security level throughout the support period.</t>
  </si>
  <si>
    <t>ER.1</t>
  </si>
  <si>
    <t>Annex B Table 9 (CRA Annex I Part I (2)(a)); text also in 3.9</t>
  </si>
  <si>
    <t>[On the basis of the cybersecurity risk assessment referred to in Article 13(2) and where applicable, products with digital elements shall:] be made available on the market without known exploitable vulnerabilities;</t>
  </si>
  <si>
    <t>Essential requirements - no known exploitable vulnerabilities</t>
  </si>
  <si>
    <t>Patch releases must themselves be free of known exploitable vulnerabilities.</t>
  </si>
  <si>
    <t>ER.2</t>
  </si>
  <si>
    <t>Annex B Table 9 (CRA Annex I Part I (2)(b)); text also in 3.9</t>
  </si>
  <si>
    <t>[On the basis of the cybersecurity risk assessment referred to in Article 13(2) and where applicable, products with digital elements shall:] be made available on the market with a secure by default configuration, unless otherwise agreed between manufacturer and business user in relation to a tailor-made product with digital elements,</t>
  </si>
  <si>
    <t>Essential requirements - secure by default</t>
  </si>
  <si>
    <t>Updates must not silently weaken secure defaults.</t>
  </si>
  <si>
    <t>ER.3a</t>
  </si>
  <si>
    <t>[On the basis of the cybersecurity risk assessment referred to in Article 13(2) and where applicable, products with digital elements shall: be made available on the market with a secure by default configuration, unless otherwise agreed between manufacturer and business user in relation to a tailor-made product with digital elements,] including the possibility to reset the PwDE to its original state;</t>
  </si>
  <si>
    <t>Essential requirements - reset to original state</t>
  </si>
  <si>
    <t>The property must be maintained through updates and re-assessed when new threats appear (including the possibility to reset the product to its original state).</t>
  </si>
  <si>
    <t>Annex B numbers this sub-item ER.3a (there is no ER.3 row); it belongs to point (b).</t>
  </si>
  <si>
    <t>ER.4</t>
  </si>
  <si>
    <t>Annex B Table 9 (CRA Annex I Part I (2)(c)); text also in 3.9</t>
  </si>
  <si>
    <t>[On the basis of the cybersecurity risk assessment referred to in Article 13(2) and where applicable, products with digital elements shall:] ensure that vulnerabilities can be addressed through security updates,</t>
  </si>
  <si>
    <t>Essential requirements - security updates</t>
  </si>
  <si>
    <t>Security updates must be delivered through this path during the support period.</t>
  </si>
  <si>
    <t>Update distribution</t>
  </si>
  <si>
    <t>Operate update distribution and track installation status per site.</t>
  </si>
  <si>
    <t>Distribution and installation logs</t>
  </si>
  <si>
    <t>Packages from 3. Integration/Build</t>
  </si>
  <si>
    <t>ER.4a</t>
  </si>
  <si>
    <t>[On the basis of the cybersecurity risk assessment referred to in Article 13(2) and where applicable, products with digital elements shall: ensure that vulnerabilities can be addressed through security updates,] including, where applicable, through automatic security updates that are installed within an appropriate timeframe enabled as a default setting,</t>
  </si>
  <si>
    <t>Updates are distributed and their installation tracked during the support period (automatic security updates within an appropriate timeframe enabled by default, where applicable).</t>
  </si>
  <si>
    <t>Assumption: many airport/government sites require operator-controlled change windows, so 'where applicable' is decisive.</t>
  </si>
  <si>
    <t>ER.4b</t>
  </si>
  <si>
    <t>[On the basis of the cybersecurity risk assessment referred to in Article 13(2) and where applicable, products with digital elements shall: ensure that vulnerabilities can be addressed through security updates,] with a clear and easy-to-use opt-out mechanism,</t>
  </si>
  <si>
    <t>ER.4c</t>
  </si>
  <si>
    <t>[On the basis of the cybersecurity risk assessment referred to in Article 13(2) and where applicable, products with digital elements shall: ensure that vulnerabilities can be addressed through security updates,] through the notification of available updates to users,</t>
  </si>
  <si>
    <t>Users must be notified of available updates - for B2B solutions via customer notifications/advisories and, where feasible, in-product notices.</t>
  </si>
  <si>
    <t>ER.4d</t>
  </si>
  <si>
    <t>[On the basis of the cybersecurity risk assessment referred to in Article 13(2) and where applicable, products with digital elements shall: ensure that vulnerabilities can be addressed through security updates,] and the option to temporarily postpone them;</t>
  </si>
  <si>
    <t>Updates are distributed and their installation tracked during the support period (and the option to temporarily postpone updates).</t>
  </si>
  <si>
    <t>ER.5</t>
  </si>
  <si>
    <t>Annex B Table 9 (CRA Annex I Part I (2)(d)); text also in 3.9</t>
  </si>
  <si>
    <t>[On the basis of the cybersecurity risk assessment referred to in Article 13(2) and where applicable, products with digital elements shall:] ensure protection from unauthorised access by appropriate control mechanisms,</t>
  </si>
  <si>
    <t>Essential requirements - access control</t>
  </si>
  <si>
    <t>The property must be maintained through updates and re-assessed when new threats appear (ensure protection from unauthorised access by appropriate control mechanisms).</t>
  </si>
  <si>
    <t>ER.5a</t>
  </si>
  <si>
    <t>[On the basis of the cybersecurity risk assessment referred to in Article 13(2) and where applicable, products with digital elements shall: ensure protection from unauthorised access by appropriate control mechanisms,] including but not limited to authentication, identity or access management systems,</t>
  </si>
  <si>
    <t>ER.5b</t>
  </si>
  <si>
    <t>[On the basis of the cybersecurity risk assessment referred to in Article 13(2) and where applicable, products with digital elements shall: ensure protection from unauthorised access by appropriate control mechanisms,] and report on possible unauthorised access;</t>
  </si>
  <si>
    <t>The property must be maintained through updates and re-assessed when new threats appear (and report on possible unauthorised access).</t>
  </si>
  <si>
    <t>ER.6</t>
  </si>
  <si>
    <t>Annex B Table 9 (CRA Annex I Part I (2)(e)); text also in 3.9</t>
  </si>
  <si>
    <t>[On the basis of the cybersecurity risk assessment referred to in Article 13(2) and where applicable, products with digital elements shall:] protect the confidentiality of stored, transmitted or otherwise processed data, personal or other, such as by encrypting relevant data at rest or in transit by state of the art mechanisms, and by using other technical means;</t>
  </si>
  <si>
    <t>Essential requirements - confidentiality</t>
  </si>
  <si>
    <t>Protection must be maintained (crypto updates, certificate renewal, integrity monitoring) (protect confidentiality of data at rest and in transit with state-of-the-art encryption).</t>
  </si>
  <si>
    <t>Cryptographic and integrity maintenance</t>
  </si>
  <si>
    <t>Track certificate expiry and cryptographic deprecations; patch accordingly.</t>
  </si>
  <si>
    <t>Certificate/crypto register</t>
  </si>
  <si>
    <t>Updates from 2./3.</t>
  </si>
  <si>
    <t>ER.7-a</t>
  </si>
  <si>
    <t>Annex B Table 9 (CRA Annex I Part I (2)(f)); text also in 3.9</t>
  </si>
  <si>
    <t>[On the basis of the cybersecurity risk assessment referred to in Article 13(2) and where applicable, products with digital elements shall:] protect the integrity of stored, transmitted or otherwise processed data, personal or other, commands, programs and configuration against any manipulation or modification not authorised by the user, […]</t>
  </si>
  <si>
    <t>Essential requirements - integrity</t>
  </si>
  <si>
    <t>Protection must be maintained (crypto updates, certificate renewal, integrity monitoring) (protect integrity of data, commands, programs and configuration against unauthorised modification).</t>
  </si>
  <si>
    <t>ER.7-b</t>
  </si>
  <si>
    <t>[On the basis of the cybersecurity risk assessment referred to in Article 13(2) and where applicable, products with digital elements shall:] […] and report on corruptions;</t>
  </si>
  <si>
    <t>Protection must be maintained (crypto updates, certificate renewal, integrity monitoring) (report on integrity corruptions).</t>
  </si>
  <si>
    <t>TR1-192</t>
  </si>
  <si>
    <t>3.9 The Essential Requirements (CRA Annex I Part I (2)(g)); not listed in Annex B</t>
  </si>
  <si>
    <t>[On the basis of the cybersecurity risk assessment referred to in Article 13(2) and where applicable, products with digital elements shall:] process only data, personal or other, that are adequate, relevant and limited to what is necessary in relation to the intended purpose of the product with digital elements (data minimisation);</t>
  </si>
  <si>
    <t>Essential requirements - data minimisation</t>
  </si>
  <si>
    <t>Protection must be maintained (crypto updates, certificate renewal, integrity monitoring) (process only data adequate, relevant and limited to the intended purpose (data minimisation)).</t>
  </si>
  <si>
    <t>Annex B skips the ID ER.8; CRA Annex I Part I (2)(g) appears only in TR-1 section 3.9, so a sequential ID is used.</t>
  </si>
  <si>
    <t>ER.9</t>
  </si>
  <si>
    <t>Annex B Table 9 (CRA Annex I Part I (2)(h)); text also in 3.9</t>
  </si>
  <si>
    <t>[On the basis of the cybersecurity risk assessment referred to in Article 13(2) and where applicable, products with digital elements shall:] protect the availability of essential and basic functions, also after an incident,</t>
  </si>
  <si>
    <t>Essential requirements - availability &amp; resilience</t>
  </si>
  <si>
    <t>Recovery after incidents must be supported (backups, restore procedures, incident support).</t>
  </si>
  <si>
    <t>ER.9a</t>
  </si>
  <si>
    <t>[On the basis of the cybersecurity risk assessment referred to in Article 13(2) and where applicable, products with digital elements shall: protect the availability of essential and basic functions, also after an incident,] including through resilience and mitigation measures against denial-of-service attacks;</t>
  </si>
  <si>
    <t>The property must be maintained through updates and re-assessed when new threats appear (including resilience and mitigation measures against denial-of-service attacks).</t>
  </si>
  <si>
    <t>ER.10</t>
  </si>
  <si>
    <t>Annex B Table 9 (CRA Annex I Part I (2)(i)); text also in 3.9</t>
  </si>
  <si>
    <t>[On the basis of the cybersecurity risk assessment referred to in Article 13(2) and where applicable, products with digital elements shall:] minimise the negative impact by the PwDEs themselves or connected devices on the availability of services provided by other devices or networks;</t>
  </si>
  <si>
    <t>Essential requirements - impact on other networks</t>
  </si>
  <si>
    <t>The property must be maintained through updates and re-assessed when new threats appear (minimise negative impact on availability of services of other devices or networks).</t>
  </si>
  <si>
    <t>ER.11</t>
  </si>
  <si>
    <t>Annex B Table 9 (CRA Annex I Part I (2)(j)); text also in 3.9</t>
  </si>
  <si>
    <t>[On the basis of the cybersecurity risk assessment referred to in Article 13(2) and where applicable, products with digital elements shall:] be designed, developed and produced to limit attack surfaces,</t>
  </si>
  <si>
    <t>Essential requirements - attack surface</t>
  </si>
  <si>
    <t>The property must be maintained through updates and re-assessed when new threats appear (be designed, developed and produced to limit attack surfaces).</t>
  </si>
  <si>
    <t>ER.11a</t>
  </si>
  <si>
    <t>[On the basis of the cybersecurity risk assessment referred to in Article 13(2) and where applicable, products with digital elements shall: be designed, developed and produced to limit attack surfaces,] including external interfaces;</t>
  </si>
  <si>
    <t>ER.12</t>
  </si>
  <si>
    <t>Annex B Table 9 (CRA Annex I Part I (2)(k)); text also in 3.9</t>
  </si>
  <si>
    <t>[On the basis of the cybersecurity risk assessment referred to in Article 13(2) and where applicable, products with digital elements shall:] be designed, developed and produced to reduce the impact of an incident using appropriate exploitation mitigation mechanisms and techniques;</t>
  </si>
  <si>
    <t>Essential requirements - exploit mitigation</t>
  </si>
  <si>
    <t>The property must be maintained through updates and re-assessed when new threats appear (reduce incident impact using exploitation mitigation mechanisms).</t>
  </si>
  <si>
    <t>ER.13</t>
  </si>
  <si>
    <t>Annex B Table 9 (CRA Annex I Part I (2)(l)); text also in 3.9</t>
  </si>
  <si>
    <t>[On the basis of the cybersecurity risk assessment referred to in Article 13(2) and where applicable, products with digital elements shall:] provide security related information by recording and monitoring relevant internal activity,</t>
  </si>
  <si>
    <t>Essential requirements - security logging</t>
  </si>
  <si>
    <t>Logs support incident analysis and reporting.</t>
  </si>
  <si>
    <t>ER.13a</t>
  </si>
  <si>
    <t>[On the basis of the cybersecurity risk assessment referred to in Article 13(2) and where applicable, products with digital elements shall: provide security related information by recording and monitoring relevant internal activity,] including the access to or modification of data, services or functions,</t>
  </si>
  <si>
    <t>ER.13b</t>
  </si>
  <si>
    <t>[On the basis of the cybersecurity risk assessment referred to in Article 13(2) and where applicable, products with digital elements shall: provide security related information by recording and monitoring relevant internal activity,] with an opt-out mechanism for the user;</t>
  </si>
  <si>
    <t>ER.14-a</t>
  </si>
  <si>
    <t>Annex B Table 9 (CRA Annex I Part I (2)(m)); text also in 3.9</t>
  </si>
  <si>
    <t>[On the basis of the cybersecurity risk assessment referred to in Article 13(2) and where applicable, products with digital elements shall:] provide the possibility for users to securely and easily remove on a permanent basis all data and settings […]</t>
  </si>
  <si>
    <t>Essential requirements - secure data removal</t>
  </si>
  <si>
    <t>Protection must be maintained (crypto updates, certificate renewal, integrity monitoring) (provide secure and easy permanent removal of all data and settings).</t>
  </si>
  <si>
    <t>ER.14-b</t>
  </si>
  <si>
    <t>Annex B Table 9 (CRA Annex I Part I (2)(m)); text quoted from 3.9</t>
  </si>
  <si>
    <t>[On the basis of the cybersecurity risk assessment referred to in Article 13(2) and where applicable, products with digital elements shall:] […] and, where such data can be transferred to other PwDEs or systems, ensure that this is done in a secure manner.</t>
  </si>
  <si>
    <t>Essential requirements - secure data transfer</t>
  </si>
  <si>
    <t>Nil - no change needed in 5. Solution Maintenance (RUN). Handled in 6. Solution Decommissioning (Service Delivery Manager / Data Protection Officer).</t>
  </si>
  <si>
    <t>Handled in 6. Solution Decommissioning</t>
  </si>
  <si>
    <t>Annex B row ER.14 ends after 'settings and,'; this second obligation is quoted from TR-1 section 3.9.</t>
  </si>
  <si>
    <t>VH.1</t>
  </si>
  <si>
    <t>Annex B Table 10 (CRA Annex I Part II (1)); text also in 3.9</t>
  </si>
  <si>
    <t>[Manufacturers of products with digital elements shall:] identify and document vulnerabilities and components contained in products with digital elements,</t>
  </si>
  <si>
    <t>Vulnerability handling - identification</t>
  </si>
  <si>
    <t>Identify and document vulnerabilities and components of every supported solution - a continuous inventory and vulnerability identification.</t>
  </si>
  <si>
    <t>Implement, document and operate: identify and document vulnerabilities and components contained in products.</t>
  </si>
  <si>
    <t>VH.1a</t>
  </si>
  <si>
    <t>[Manufacturers of products with digital elements shall: identify and document vulnerabilities and components contained in products with digital elements,] including by drawing up a software bill of materials in a commonly used and machine-readable format covering at the very least the top-level dependencies of the PwDEs;</t>
  </si>
  <si>
    <t>SBOM (CRA)</t>
  </si>
  <si>
    <t>SBOMs must be updated with every patch and used for monitoring.</t>
  </si>
  <si>
    <t>Implement, document and operate: draw up an SBOM in a commonly used machine-readable format covering at least top-level dependencies.</t>
  </si>
  <si>
    <t>VH.2a-a</t>
  </si>
  <si>
    <t>Annex B Table 10 (CRA Annex I Part II (2)); text also in 3.9</t>
  </si>
  <si>
    <t>[Manufacturers of products with digital elements shall:] in relation to the risks posed to products with digital elements, address and remediate vulnerabilities without delay, including by providing security updates; […]</t>
  </si>
  <si>
    <t>Vulnerability handling - remediation</t>
  </si>
  <si>
    <t>Vulnerabilities must be addressed and remediated without delay (in relation to risk), including security updates, for all supported releases.</t>
  </si>
  <si>
    <t>Implement, document and operate: address and remediate vulnerabilities without delay, incl. security updates.</t>
  </si>
  <si>
    <t>Annex B has no VH.2 row; VH.2a carries the full text of Part II (2).</t>
  </si>
  <si>
    <t>VH.2a-b</t>
  </si>
  <si>
    <t>[Manufacturers of products with digital elements shall:] […] where technically feasible, new security updates shall be provided separately from functionality updates;</t>
  </si>
  <si>
    <t>Vulnerability handling - separate security updates</t>
  </si>
  <si>
    <t>Security updates must be released separately from functionality updates where technically feasible - separate security patch releases per supported line.</t>
  </si>
  <si>
    <t>Implement, document and operate: provide security updates separately from functionality updates where technically feasible.</t>
  </si>
  <si>
    <t>VH.3</t>
  </si>
  <si>
    <t>Annex B Table 10 (CRA Annex I Part II (3)); text also in 3.9</t>
  </si>
  <si>
    <t>[Manufacturers of products with digital elements shall:] apply effective and regular tests and reviews of the security of the product with digital elements;</t>
  </si>
  <si>
    <t>Supported releases must be re-tested regularly during the support period.</t>
  </si>
  <si>
    <t>Implement, document and operate: apply effective and regular security tests and reviews.</t>
  </si>
  <si>
    <t>VH.4-a</t>
  </si>
  <si>
    <t>Annex B Table 10 (CRA Annex I Part II (4)); text also in 3.9</t>
  </si>
  <si>
    <t>[Manufacturers of products with digital elements shall:] once a security update has been made available, share and publicly disclose information about fixed vulnerabilities, including a description of the vulnerabilities, information allowing users to identify the product with digital elements affected, the impacts of the vulnerabilities, their severity and clear and accessible information helping users to remediate the vulnerabilities; […]</t>
  </si>
  <si>
    <t>Vulnerability disclosure</t>
  </si>
  <si>
    <t>Once a fix is available, fixed vulnerabilities must be publicly disclosed (description, affected products, impact, severity, remediation) - a public advisory process is new for most B2B solution providers.</t>
  </si>
  <si>
    <t>Implement, document and operate: once a security update is available, publicly disclose information about fixed vulnerabilities.</t>
  </si>
  <si>
    <t>VH.4-b</t>
  </si>
  <si>
    <t>[Manufacturers of products with digital elements shall:] […] in duly justified cases, where manufacturers consider the security risks of publication to outweigh the security benefits, they may delay making public information regarding a fixed vulnerability until after users have been given the possibility to apply the relevant patch;</t>
  </si>
  <si>
    <t>MAY (CRA Annex I text)</t>
  </si>
  <si>
    <t>Disclosure may be delayed in justified cases until users could patch - define criteria and approval (relevant for critical-infrastructure customers).</t>
  </si>
  <si>
    <t>Implement, document and operate: in justified cases disclosure may be delayed until users could apply the patch.</t>
  </si>
  <si>
    <t>VH.5</t>
  </si>
  <si>
    <t>Annex B Table 10 (CRA Annex I Part II (5)); text also in 3.9</t>
  </si>
  <si>
    <t>[Manufacturers of products with digital elements shall:] put in place and enforce a policy on coordinated vulnerability disclosure;</t>
  </si>
  <si>
    <t>CVD policy</t>
  </si>
  <si>
    <t>A coordinated vulnerability disclosure policy must be put in place and enforced (detailed in TR-3 section 4.4).</t>
  </si>
  <si>
    <t>Implement, document and operate: put in place and enforce a coordinated vulnerability disclosure policy.</t>
  </si>
  <si>
    <t>VH.6</t>
  </si>
  <si>
    <t>Annex B Table 10 (CRA Annex I Part II (6)); text also in 3.9</t>
  </si>
  <si>
    <t>[Manufacturers of products with digital elements shall:] take measures to facilitate the sharing of information about potential vulnerabilities in their product with digital elements as well as in third-party components contained in that PwDE,</t>
  </si>
  <si>
    <t>Vulnerability information sharing</t>
  </si>
  <si>
    <t>Facilitate sharing of information on potential vulnerabilities in our products and their third-party components (intake channels, partner coordination).</t>
  </si>
  <si>
    <t>Implement, document and operate: facilitate sharing information about potential vulnerabilities in the product and its third-party components.</t>
  </si>
  <si>
    <t>VH.6a</t>
  </si>
  <si>
    <t>[Manufacturers of products with digital elements shall: take measures to facilitate the sharing of information about potential vulnerabilities in their product with digital elements as well as in third-party components contained in that PwDE,] including by providing a contact address for the reporting of the vulnerabilities discovered in the product with digital elements;</t>
  </si>
  <si>
    <t>Vulnerability contact</t>
  </si>
  <si>
    <t>A contact address for vulnerability reports must be provided (CRA single point of contact) - implemented via the TR-3 reporting page and security.txt.</t>
  </si>
  <si>
    <t>Implement, document and operate: provide a contact address for reporting vulnerabilities.</t>
  </si>
  <si>
    <t>Annex B prints the CRA reference of VH.6a as 'Part II 4' - apparent typo; the text belongs to Part II (6).</t>
  </si>
  <si>
    <t>VH.7</t>
  </si>
  <si>
    <t>Annex B Table 10 (CRA Annex I Part II (7)); text also in 3.9</t>
  </si>
  <si>
    <t>[Manufacturers of products with digital elements shall:] provide for mechanisms to securely distribute updates for products with digital elements to ensure that vulnerabilities are fixed or mitigated in a timely manner and,</t>
  </si>
  <si>
    <t>Secure update distribution</t>
  </si>
  <si>
    <t>Secure update distribution (authenticated, integrity-protected channels) for timely fixes - an operated distribution service for all customers, incl. offline delivery for segregated networks.</t>
  </si>
  <si>
    <t>VH.7a</t>
  </si>
  <si>
    <t>[Manufacturers of products with digital elements shall: provide for mechanisms to securely distribute updates for products with digital elements to ensure that vulnerabilities are fixed or mitigated in a timely manner and,] where applicable for security updates, in an automatic manner;</t>
  </si>
  <si>
    <t>Updates are distributed and their installation tracked during the support period (automatic distribution for security updates where applicable).</t>
  </si>
  <si>
    <t>VH.8</t>
  </si>
  <si>
    <t>Annex B Table 10 (CRA Annex I Part II (8)); text also in 3.9</t>
  </si>
  <si>
    <t>[Manufacturers of products with digital elements shall:] ensure that, where security updates are available to address identified security issues, they are disseminated without delay and,</t>
  </si>
  <si>
    <t>Security updates - dissemination</t>
  </si>
  <si>
    <t>Security updates must be disseminated without delay once available - a release-to-customer process with notifications.</t>
  </si>
  <si>
    <t>Implement, document and operate: disseminate available security updates without delay.</t>
  </si>
  <si>
    <t>VH.8a-a</t>
  </si>
  <si>
    <t>[Manufacturers of products with digital elements shall: ensure that, where security updates are available to address identified security issues, they are disseminated without delay and,] unless otherwise agreed between a manufacturer and a business user in relation to a tailor-made product with digital elements, free of charge, […]</t>
  </si>
  <si>
    <t>Security updates must be separable from chargeable services.</t>
  </si>
  <si>
    <t>Implement, document and operate: security updates free of charge unless otherwise agreed for tailor-made business products.</t>
  </si>
  <si>
    <t>VH.8a-b</t>
  </si>
  <si>
    <t>[Manufacturers of products with digital elements shall: ensure that, where security updates are available to address identified security issues, they are disseminated without delay and,] […] accompanied by advisory messages providing users with the relevant information, including on potential action to be taken.</t>
  </si>
  <si>
    <t>Security advisories</t>
  </si>
  <si>
    <t>Each security update must come with an advisory message (relevant information and actions to take).</t>
  </si>
  <si>
    <t>Implement, document and operate: accompany security updates with advisory messages incl. actions to take.</t>
  </si>
  <si>
    <t>TR1-193</t>
  </si>
  <si>
    <t>C.7 Mitigation of Risks (example)</t>
  </si>
  <si>
    <t>Unaccepted risks have to be mitigated by appropriate controls.</t>
  </si>
  <si>
    <t>MUST (equiv. 'have to'; example)</t>
  </si>
  <si>
    <t>Annex C is an illustrative example (network camera); the sentence states a general rule with normative wording and is registered for completeness.</t>
  </si>
  <si>
    <t>TR1-194</t>
  </si>
  <si>
    <t>Risks mitigated by these controls have to be re-evaluated in the updated risk assessment.</t>
  </si>
  <si>
    <t>Post-market events (new vulnerabilities, threats, changes) must update the risk assessment (mitigated risks have to be re-evaluated in the updated risk assessment).</t>
  </si>
  <si>
    <t>TR1-195</t>
  </si>
  <si>
    <t>C.8 Updating the Risk Assessment (example)</t>
  </si>
  <si>
    <t>Following the implementation of the controls the risk assessment has to be updated to reflect the changed situation.</t>
  </si>
  <si>
    <t>MUST (equiv. 'has to'; example)</t>
  </si>
  <si>
    <t>Post-market events (new vulnerabilities, threats, changes) must update the risk assessment (after implementing controls the risk assessment has to be updated).</t>
  </si>
  <si>
    <t>TR1-196</t>
  </si>
  <si>
    <t>To calculate the impact of the authentication data the functions accessible after authentication have to be evaluated.</t>
  </si>
  <si>
    <t>TR1-197</t>
  </si>
  <si>
    <t>These new assets result in additional threats, which have to be evaluated in the updated risk assessment and mitigated accordingly.</t>
  </si>
  <si>
    <t>TR1-198</t>
  </si>
  <si>
    <t>For example encryption of communications and consequently the confidentiality protection for secrets is always advisable from a security perspective even if not deemed necessary.</t>
  </si>
  <si>
    <t>SHOULD (equiv. 'is always advisable'; example)</t>
  </si>
  <si>
    <t>TR1-199-a</t>
  </si>
  <si>
    <t>D.2 Acceptance Criteria (Acceptance Rule)</t>
  </si>
  <si>
    <t>Every Low and Very Low Risk can be accepted, […]</t>
  </si>
  <si>
    <t>MAY (equiv. 'can be accepted')</t>
  </si>
  <si>
    <t>Annex D is declared 'highly experimental' by BSI.</t>
  </si>
  <si>
    <t>TR1-199-b</t>
  </si>
  <si>
    <t>[…] every other risk has to be treated.</t>
  </si>
  <si>
    <t>Post-market risk-acceptance decisions must follow the criteria and be justified (all other risks have to be treated).</t>
  </si>
  <si>
    <t>Post-market risk acceptance</t>
  </si>
  <si>
    <t>Document and approve every post-market risk acceptance with justification.</t>
  </si>
  <si>
    <t>Risk acceptance records</t>
  </si>
  <si>
    <t>Criteria from 2. Development</t>
  </si>
  <si>
    <t>TR1-200</t>
  </si>
  <si>
    <t>D.2 Acceptance Criteria (NOTE)</t>
  </si>
  <si>
    <t>Generally when accepting a risk the decision must be comprehensibly justified and documented.</t>
  </si>
  <si>
    <t>Post-market risk-acceptance decisions must follow the criteria and be justified (every risk acceptance decision must be comprehensibly justified and documented).</t>
  </si>
  <si>
    <t>Text taken from the official BSI PDF of TR-03183-1 v1.0.0: the Markdown conversion garbled or dropped this passage. Annex D is declared 'highly experimental' by BSI.</t>
  </si>
  <si>
    <t>TR1-201-a</t>
  </si>
  <si>
    <t>Generally risks classified as moderate have to be treated during the course of development, […]</t>
  </si>
  <si>
    <t>TR1-201-b</t>
  </si>
  <si>
    <t>[…] but can be accepted in post-market if the effort of treatment is not in relation with the potential risk and the remaining PwDE lifetime.</t>
  </si>
  <si>
    <t>Post-market, moderate risks may be accepted when treatment effort is out of proportion to the risk and the remaining lifetime - needs documented decisions.</t>
  </si>
  <si>
    <t>TR1-202</t>
  </si>
  <si>
    <t>High and very high risks are generally not acceptable and have to be treated.</t>
  </si>
  <si>
    <t>Post-market risk-acceptance decisions must follow the criteria and be justified (high and very high risks are not acceptable and have to be treated).</t>
  </si>
  <si>
    <t>TR2-001</t>
  </si>
  <si>
    <t>BSI TR-03183-2 v2.1.0</t>
  </si>
  <si>
    <t>1 Introduction</t>
  </si>
  <si>
    <t>An SBOM should be used by every software creator and provider in order to be able to transparently represent software complexity and to know which components (e.g. libraries) are used.</t>
  </si>
  <si>
    <t>SBOM - general</t>
  </si>
  <si>
    <t>Maintenance monitors all supported versions against their SBOMs and must issue updated SBOMs with every patch (every software creator and provider should use an SBOM).</t>
  </si>
  <si>
    <t>Vulnerability monitoring against SBOMs; SBOM updates for patches</t>
  </si>
  <si>
    <t>Load every released SBOM into the vulnerability monitoring tool; publish updated/corrected SBOMs with patch releases.</t>
  </si>
  <si>
    <t>Monitoring inventory matching released SBOMs; SBOM version history</t>
  </si>
  <si>
    <t>SBOMs from 3. Integration/Build</t>
  </si>
  <si>
    <t>TR2-002</t>
  </si>
  <si>
    <t>Whether and to which extent a vulnerability of an integrated component poses a risk to the product covered by the SBOM should not be detailed by the SBOM.</t>
  </si>
  <si>
    <t>SBOM - vulnerability information</t>
  </si>
  <si>
    <t>the SBOM should not state whether a component vulnerability is a risk for the product - vulnerability status must be analysed and communicated separately from the SBOM (CSAF advisories / VEX) and kept current.</t>
  </si>
  <si>
    <t>Vulnerability triage; CSAF/VEX publication</t>
  </si>
  <si>
    <t>Triage every SBOM-based match, record the exploitability decision, and publish product status as CSAF/VEX linked to SBOM component identifiers.</t>
  </si>
  <si>
    <t>Triage records; published CSAF/VEX documents</t>
  </si>
  <si>
    <t>SBOM identifiers from 3. Integration/Build; analysis from 2. Development</t>
  </si>
  <si>
    <t>TR2-003</t>
  </si>
  <si>
    <t>The exchange of vulnerability information and the potential impact should be facilitated, by means of Security Advisories e.g. CSAF (Common Security Advisory Framework) or VEX (Vulnerability Exploitability Exchange).</t>
  </si>
  <si>
    <t>Vulnerability status of each supported version has to be published separately as CSAF advisories / VEX documents - a new publication capability next to the SBOM.</t>
  </si>
  <si>
    <t>TR2-004</t>
  </si>
  <si>
    <t>[Furthermore, an analysis of the software itself is necessary to determine how its potentially affected subcomponents are used, and thus whether and how one's own software product is affected.] This must be carried out as part of the vulnerability handling for the product.</t>
  </si>
  <si>
    <t>Vulnerability handling - impact analysis</t>
  </si>
  <si>
    <t>SBOM-based matching produces many candidate hits; RUN must triage each one (affected / not affected / fixed) with engineering input - without this analysis neither VEX nor CRA-compliant remediation decisions are possible.</t>
  </si>
  <si>
    <t>TR2-005</t>
  </si>
  <si>
    <t>In the Cyber Resilience Act (CRA) the compilation of an SBOM is mandatory.</t>
  </si>
  <si>
    <t>MUST (equiv. 'is mandatory')</t>
  </si>
  <si>
    <t>Maintenance monitors all supported versions against their SBOMs and must issue updated SBOMs with every patch (compiling an SBOM is mandatory under the CRA).</t>
  </si>
  <si>
    <t>TR2-006-a</t>
  </si>
  <si>
    <t>The CRA is a market access regulation of the EU for products with digital elements, which obliges their providers to continuously operate a vulnerability handling process […]</t>
  </si>
  <si>
    <t>Vulnerability handling process</t>
  </si>
  <si>
    <t>Restates the CRA duty to run vulnerability handling continuously for the support period; operationalised by the TR-1 VH rows and TR-3.</t>
  </si>
  <si>
    <t>End-to-end vulnerability handling process</t>
  </si>
  <si>
    <t>Establish and document the vulnerability handling chain: intake, triage, fix, release, secure distribution, installation tracking.</t>
  </si>
  <si>
    <t>Documented vulnerability handling process; case records; update distribution logs</t>
  </si>
  <si>
    <t>Uses 2. Development (fixes), 3. Integration/Build (packages), 4. Deployment (installation)</t>
  </si>
  <si>
    <t>TR2-006-b</t>
  </si>
  <si>
    <t>[…] and to provide information on their products in a transparent and comprehensible form.</t>
  </si>
  <si>
    <t>Maintenance has to operate this throughout the support period: the CRA obliges manufacturers to provide product information transparently and comprehensibly.</t>
  </si>
  <si>
    <t>Embed 'the CRA obliges manufacturers to provide product information transparently and comprehensibly' in the PSIRT / vulnerability-handling procedure and service-management tooling.</t>
  </si>
  <si>
    <t>TR2-007</t>
  </si>
  <si>
    <t>In the US, an SBOM is already required for software acquired by the Federal government by the US Executive Order 14028 of May 2021 and the FDA (Food and Drug Administration) demands an SBOM to be submitted as part of the approval of new medical devices since March 2023.</t>
  </si>
  <si>
    <t>MUST (equiv. 'required' / 'demands')</t>
  </si>
  <si>
    <t>SBOM - other jurisdictions</t>
  </si>
  <si>
    <t>Nil - no change needed in 5. Solution Maintenance (RUN). Handled in 1. Presale (Bid Manager (with Contract Manager / Legal)).</t>
  </si>
  <si>
    <t>Assumption: no US federal or medical-device business; rate higher if such bids exist.</t>
  </si>
  <si>
    <t>TR2-008</t>
  </si>
  <si>
    <t>3.1 Definition of SBOM</t>
  </si>
  <si>
    <t>An SBOM MUST contain certain minimum information (see section 5).</t>
  </si>
  <si>
    <t>Maintenance monitors all supported versions against their SBOMs and must issue updated SBOMs with every patch (an SBOM must contain the minimum information of section 5).</t>
  </si>
  <si>
    <t>TR2-009</t>
  </si>
  <si>
    <t>An SBOM conformant to this Technical Guideline MAY be expanded and detailed as desired as long as this information does not introduce contradictions.</t>
  </si>
  <si>
    <t>Nil - no change needed in 5. Solution Maintenance (RUN). Handled in 3. Solution Integration / Build (Build &amp; Release Manager (DevSecOps)).</t>
  </si>
  <si>
    <t>TR2-010</t>
  </si>
  <si>
    <t>[It is often difficult to decide in an automated manner which information is expanded information e.g. if context is missing;] thus, such decisions oblige the SBOM creator.</t>
  </si>
  <si>
    <t>MUST (equiv. 'oblige')</t>
  </si>
  <si>
    <t>TR2-011</t>
  </si>
  <si>
    <t>A separate SBOM MUST be generated for each software version.</t>
  </si>
  <si>
    <t>SBOM - per version</t>
  </si>
  <si>
    <t>Every patch release creates a new software version and therefore a new SBOM that must be issued and loaded into monitoring.</t>
  </si>
  <si>
    <t>TR2-012</t>
  </si>
  <si>
    <t>An updated version of the SBOM for a given software version MUST be generated if and only if additional information on the included components is provided or errors in the SBOM data are corrected.</t>
  </si>
  <si>
    <t>Maintenance monitors all supported versions against their SBOMs and must issue updated SBOMs with every patch (update the SBOM of a version only for added component information or corrections).</t>
  </si>
  <si>
    <t>TR2-013-a</t>
  </si>
  <si>
    <t>Consequently, if any component is altered, a new software version MUST be assigned to this component; […]</t>
  </si>
  <si>
    <t>SBOM - versioning</t>
  </si>
  <si>
    <t>Maintenance monitors all supported versions against their SBOMs and must issue updated SBOMs with every patch (any altered component must get a new software version).</t>
  </si>
  <si>
    <t>TR2-013-b</t>
  </si>
  <si>
    <t>[…] and in the case of a delivery item SBOM also to all depending parent components.</t>
  </si>
  <si>
    <t>Maintenance monitors all supported versions against their SBOMs and must issue updated SBOMs with every patch (for delivery item SBOMs all depending parent components also get a new version).</t>
  </si>
  <si>
    <t>TR2-014</t>
  </si>
  <si>
    <t>An SBOM MUST NOT contain vulnerability information, because SBOM data is static with respect to software that is not changing.</t>
  </si>
  <si>
    <t>MUST NOT</t>
  </si>
  <si>
    <t>an SBOM must not contain vulnerability information - vulnerability status must be analysed and communicated separately from the SBOM (CSAF advisories / VEX) and kept current.</t>
  </si>
  <si>
    <t>TR2-015</t>
  </si>
  <si>
    <t>Still, a document containing both SBOM and vulnerability information does not conform to this Technical Guideline; see also Appendix, section 8.1.14.</t>
  </si>
  <si>
    <t>Rule (non-conformity statement)</t>
  </si>
  <si>
    <t>Nil - no change needed in 5. Solution Maintenance (RUN). Handled in 3. Solution Integration / Build (Build &amp; Release Manager).</t>
  </si>
  <si>
    <t>TR2-016</t>
  </si>
  <si>
    <t>3.2.1 Component</t>
  </si>
  <si>
    <t>A "component" as used in this Technical Guideline is a logical component (see section 3.2.2), a single executable file or an archive file, hence they MUST be represented as components in the SBOM.</t>
  </si>
  <si>
    <t>SBOM - component granularity</t>
  </si>
  <si>
    <t>Correct structure is needed to trace vulnerable components to affected solutions and customers (logical components, executable files and archive files must be represented as components).</t>
  </si>
  <si>
    <t>Impact analysis during vulnerability handling</t>
  </si>
  <si>
    <t>Use SBOM dependency paths and component instances in impact analysis.</t>
  </si>
  <si>
    <t>Impact analysis records</t>
  </si>
  <si>
    <t>TR2-017</t>
  </si>
  <si>
    <t>Additionally, any other file MAY be represented as a component.</t>
  </si>
  <si>
    <t>TR2-018</t>
  </si>
  <si>
    <t>For components that comprise multiple components in a manner that the original components cannot be determined the original components SHOULD be listed with the appropriate information according to sections 5.2.2, 5.2.4 and 5.2.5.</t>
  </si>
  <si>
    <t>SHOULD</t>
  </si>
  <si>
    <t>TR2-019</t>
  </si>
  <si>
    <t>Information that is not available due to the way a component is assembled has to be omitted even if it is specified as a required data field, e.g. the hash or filename of the component.</t>
  </si>
  <si>
    <t>TR2-020</t>
  </si>
  <si>
    <t>3.2.1 Component - compiled code</t>
  </si>
  <si>
    <t>[For the collection of information about components the following principles MUST apply: In the case of compiled code] The component that was used during the execution of the linker MUST be listed, even if alternative components or implementation could have been used.</t>
  </si>
  <si>
    <t>TR2-021</t>
  </si>
  <si>
    <t>[For the collection of information about components the following principles MUST apply: In the case of compiled code] If there is – for technical reasons – no linkage run the interpreted code section applies.</t>
  </si>
  <si>
    <t>MUST (via 'principles MUST apply')</t>
  </si>
  <si>
    <t>TR2-022</t>
  </si>
  <si>
    <t>[For the collection of information about components the following principles MUST apply: In the case of compiled code] Both statements apply to statically and dynamically linked components / libraries.</t>
  </si>
  <si>
    <t>TR2-023</t>
  </si>
  <si>
    <t>3.2.1 Component - interpreted code</t>
  </si>
  <si>
    <t>[For the collection of information about components the following principles MUST apply: In the case of interpreted code] The version number of the component MUST reflect the exact required version, if the component is part of the delivery item.</t>
  </si>
  <si>
    <t>SBOM - versions</t>
  </si>
  <si>
    <t>TR2-024</t>
  </si>
  <si>
    <t>[For the collection of information about components the following principles MUST apply: In the case of interpreted code] If the component is not part of the delivery item, the version number of the component SHOULD reflect the minimum required version as defined by the component creator.</t>
  </si>
  <si>
    <t>TR2-025</t>
  </si>
  <si>
    <t>[For the collection of information about components the following principles MUST apply: In the case of interpreted code] This SHOULD also take into account other factors than just the factual minimum technical requirement.</t>
  </si>
  <si>
    <t>Nil - no change needed in 5. Solution Maintenance (RUN). Handled in 2. Solution Development (Development Lead / Software Architect).</t>
  </si>
  <si>
    <t>TR2-026</t>
  </si>
  <si>
    <t>[For the collection of information about components the following principles MUST apply: In the case of interpreted code] This implies that the component creator SHOULD skip versions that are end-of-life or have known security vulnerabilities.</t>
  </si>
  <si>
    <t>Third-party component management</t>
  </si>
  <si>
    <t>Correct structure is needed to trace vulnerable components to affected solutions and customers (skip end-of-life or known-vulnerable versions when stating minimum versions).</t>
  </si>
  <si>
    <t>TR2-027</t>
  </si>
  <si>
    <t>[For the collection of information about components the following principles MUST apply: In the case of interpreted code] The minimum required version MAY be determined by the minimum version, which was used for testing, e.g. because it was used during software development.</t>
  </si>
  <si>
    <t>TR2-028</t>
  </si>
  <si>
    <t>[For the collection of information about components the following principles MUST apply: In the case of interpreted code] If multiple implementations of a single dependency exist then the "least common denominator" or the standard implementation SHOULD be used.</t>
  </si>
  <si>
    <t>TR2-029</t>
  </si>
  <si>
    <t>3.2.1 Component - interpreted code (example)</t>
  </si>
  <si>
    <t>If a script can be run with all Bourne Shell compatible shells the component denoted in the SBOM should be the Bourne Shell.</t>
  </si>
  <si>
    <t>SHOULD (equiv. 'should'; example)</t>
  </si>
  <si>
    <t>TR2-030</t>
  </si>
  <si>
    <t>If a script can be run with any Python implementation the standard implementation must be used (Python) instead of an alternative implementation (Pyston).</t>
  </si>
  <si>
    <t>MUST (equiv. 'must'; example)</t>
  </si>
  <si>
    <t>TR2-031</t>
  </si>
  <si>
    <t>If a Java program can be run with any Java Runtime Environment (JRE) implementation the Open Source Software implementation (OpenJRE) must be used instead of a proprietary implementation.</t>
  </si>
  <si>
    <t>TR2-032</t>
  </si>
  <si>
    <t>3.2.2 Logical component</t>
  </si>
  <si>
    <t>To fully describe logical components, only the following data fields (see section 5.2) MUST be addressed as specified in section 5.1: - Component creator - Component name - Component version - Dependencies on other components - Distribution licences - Other unique identifiers - Original licences - Effective licence - URL of the security.txt</t>
  </si>
  <si>
    <t>TR2-033</t>
  </si>
  <si>
    <t>3.2.4 Identified component</t>
  </si>
  <si>
    <t>Depending on the level of detail of an SBOM not all components have to be fully described, some merely have to be identified, e.g. see Appendix, section 8.3.4.</t>
  </si>
  <si>
    <t>SBOM - level of detail</t>
  </si>
  <si>
    <t>TR2-034</t>
  </si>
  <si>
    <t>For any component that MUST be identified and is not required to be fully described, the following data fields (see section 5.2) MUST be addressed as specified in section 5.1: - Component creator - Component name - Component version - Other unique identifiers</t>
  </si>
  <si>
    <t>Correct structure is needed to trace vulnerable components to affected solutions and customers (identified components must carry creator, name, version and other unique identifiers).</t>
  </si>
  <si>
    <t>TR2-035</t>
  </si>
  <si>
    <t>3.2.5 Referenced component</t>
  </si>
  <si>
    <t>For any component (regardless if fully described or merely identified) that is recorded in another BOM and is referred to by an SBOM, the following data fields (see section 5.2) MUST be extracted from the component description of the referenced component and added in the referencing SBOM in addition to the referred BOM: - Component creator - Component name - Component version</t>
  </si>
  <si>
    <t>SBOM - references to other BOMs</t>
  </si>
  <si>
    <t>TR2-036</t>
  </si>
  <si>
    <t>If inconsistent component information exists in both, the referencing and the referenced BOM, the information of the referenced BOM prevails.</t>
  </si>
  <si>
    <t>Rule (precedence)</t>
  </si>
  <si>
    <t>TR2-037</t>
  </si>
  <si>
    <t>Information beyond the aforementioned data fields (creator, name, version) and the reference to the other BOM SHOULD NOT be recorded in the referencing SBOM to avoid inconsistencies, except for additional data fields required by an SBOM format specification to generate a valid SBOM in this format.</t>
  </si>
  <si>
    <t>SHOULD NOT</t>
  </si>
  <si>
    <t>TR2-038</t>
  </si>
  <si>
    <t>3.2.8 Licence information</t>
  </si>
  <si>
    <t>Note: Because the "effective licence" is set by the creator of the current SBOM, it has to be set anew when merging SBOMs.</t>
  </si>
  <si>
    <t>SBOM - licence information</t>
  </si>
  <si>
    <t>Nil - no change needed in 5. Solution Maintenance (RUN). Handled in 2. Solution Development (Open Source Compliance Officer / Development Lead).</t>
  </si>
  <si>
    <t>TR2-039-a</t>
  </si>
  <si>
    <t>4 SBOM formats</t>
  </si>
  <si>
    <t>A newly generated or updated SBOM MUST be in JSON- or XML-format […]</t>
  </si>
  <si>
    <t>SBOM - format</t>
  </si>
  <si>
    <t>TR2-039-b</t>
  </si>
  <si>
    <t>[…] and a valid SBOM according to one of the following specifications in one of the specified versions: - CycloneDX, version 1.6 or higher - System Package Data Exchange (SPDX), version 3.0.1 or higher</t>
  </si>
  <si>
    <t>SBOMs issued with updates must follow the TR version current when they are generated (SBOMs must be valid CycloneDX &gt;= 1.6 or SPDX &gt;= 3.0.1).</t>
  </si>
  <si>
    <t>SBOM updates for patches; regulatory watch</t>
  </si>
  <si>
    <t>Track new TR-03183-2 releases and update tooling within the transition period.</t>
  </si>
  <si>
    <t>Regulatory watch log</t>
  </si>
  <si>
    <t>CRA Compliance Manager / PSIRT Lead</t>
  </si>
  <si>
    <t>Tooling in 3. Integration/Build</t>
  </si>
  <si>
    <t>TR2-040</t>
  </si>
  <si>
    <t>Only officially released versions of these specifications MUST be used.</t>
  </si>
  <si>
    <t>TR2-041</t>
  </si>
  <si>
    <t>5.1 Level of detail</t>
  </si>
  <si>
    <t>For an SBOM that is compliant with this Technical Guideline, recursive dependency resolution MUST be performed at least for each component included in the scope of delivery on each path downward (see Appendix, section 8.1.12) at least up to and including the first component that is outside the scope of delivery (see Appendix, section 8.1.11; for "delivery item SBOM", see Appendix, section 8.3.4).</t>
  </si>
  <si>
    <t>Full-depth SBOMs are the basis for reliable vulnerability monitoring of transitive dependencies.</t>
  </si>
  <si>
    <t>TR2-042</t>
  </si>
  <si>
    <t>Note: The first level of dependencies outside the scope of delivery must be identified (for "identified component", see section 3.2.4) in order to correlate these dependencies unambiguously.</t>
  </si>
  <si>
    <t>Correct structure is needed to trace vulnerable components to affected solutions and customers (identify the first level of dependencies outside the scope of delivery).</t>
  </si>
  <si>
    <t>TR2-043</t>
  </si>
  <si>
    <t>If the primary component depends on multiple instances of a component which have different metainformation, all these instances MUST be listed separately with their individual meta-information.</t>
  </si>
  <si>
    <t>Correct structure is needed to trace vulnerable components to affected solutions and customers (list multiple instances of a component with different meta-information separately).</t>
  </si>
  <si>
    <t>TR2-044</t>
  </si>
  <si>
    <t>SBOMs of used components MAY be referenced instead of being merged into the SBOM of the primary component, if and only if they are compliant with this Technical Guideline.</t>
  </si>
  <si>
    <t>TR2-045</t>
  </si>
  <si>
    <t>The provider of the SBOM of the primary component is responsible for the availability of referenced SBOMs.</t>
  </si>
  <si>
    <t>Referenced supplier SBOMs must remain retrievable during the whole support period.</t>
  </si>
  <si>
    <t>TR2-046</t>
  </si>
  <si>
    <t>To determine the data fields that MUST be recorded in an SBOM the following order applies: - 1. Referenced component (see section 3.2.5) - 2. Identified component (see section 3.2.4) - 3. Fully described component (see section 5.2)</t>
  </si>
  <si>
    <t>TR2-047</t>
  </si>
  <si>
    <t>The component in a referenced SBOM MUST either be a referenced component or provide all data fields that are required by the level of detail of the SBOM of the primary component.</t>
  </si>
  <si>
    <t>TR2-048</t>
  </si>
  <si>
    <t>An SBOM compliant with this Technical Guideline MUST contain the same information as available during the build process or equivalent information where the build process does not exist (for details related to Build SBOM, see Appendix, section 8.4.3).</t>
  </si>
  <si>
    <t>SBOM - build SBOM</t>
  </si>
  <si>
    <t>TR2-049</t>
  </si>
  <si>
    <t>Note: For easier identification by humans, the filename of the SBOM itself may reflect the name of its primary component.</t>
  </si>
  <si>
    <t>TR2-050-a</t>
  </si>
  <si>
    <t>5.2.1 Required data fields for the SBOM itself (Table 2)</t>
  </si>
  <si>
    <t>[Each SBOM MUST contain at least the following information:] Creator of the SBOM: Email address of the entity that created the SBOM.</t>
  </si>
  <si>
    <t>SBOM - data fields (SBOM)</t>
  </si>
  <si>
    <t>Vulnerability matching and supplier contact during maintenance rely on this field (field 'Creator of the SBOM': e-mail address of the SBOM creator).</t>
  </si>
  <si>
    <t>Vulnerability matching; supplier communication</t>
  </si>
  <si>
    <t>Use the field in monitoring/matching rules; correct and re-issue SBOMs where the data is wrong.</t>
  </si>
  <si>
    <t>Matching rule configuration; corrected SBOM versions</t>
  </si>
  <si>
    <t>Text taken from the official BSI PDF of TR-03183-2 v2.1.0: the Markdown conversion dropped this table.</t>
  </si>
  <si>
    <t>TR2-050-b</t>
  </si>
  <si>
    <t>[Each SBOM MUST contain at least the following information: Creator of the SBOM:] If no email address is available this MUST be a "Uniform Resource Locator (URL)", e.g. the creator's home page or the project's web page.</t>
  </si>
  <si>
    <t>TR2-051</t>
  </si>
  <si>
    <t>[Each SBOM MUST contain at least the following information:] Timestamp: Date and time of the SBOM data compilation according to the specification of the formats (see section 4).</t>
  </si>
  <si>
    <t>TR2-052</t>
  </si>
  <si>
    <t>Note: It is recommended to only use timestamps in UTC ("Zulu" time).</t>
  </si>
  <si>
    <t>SHOULD (equiv. 'is recommended')</t>
  </si>
  <si>
    <t>TR2-053-a</t>
  </si>
  <si>
    <t>5.2.2 Required data fields for each component (Table 3)</t>
  </si>
  <si>
    <t>[For each component included in an SBOM, at least the following information MUST be provided:] Component creator: Email address of the entity that created and, if applicable, maintains the respective component.</t>
  </si>
  <si>
    <t>SBOM - data fields (component)</t>
  </si>
  <si>
    <t>The component creator contact is needed to report vulnerabilities upstream (TR-1 duty to inform component maintainers).</t>
  </si>
  <si>
    <t>TR2-053-b</t>
  </si>
  <si>
    <t>[For each component included in an SBOM, at least the following information MUST be provided: Component creator:] If no email address is available this MUST be a "Uniform Resource Locator (URL)", e.g. the creator's home page or the project's web page.</t>
  </si>
  <si>
    <t>TR2-053-c</t>
  </si>
  <si>
    <t>[For each component included in an SBOM, at least the following information MUST be provided: Component creator:] Note: If the creator of a component still maintains the component but operates under a different name than the one at the time of integrating the component, the current name may be used.</t>
  </si>
  <si>
    <t>TR2-054-a</t>
  </si>
  <si>
    <t>[For each component included in an SBOM, at least the following information MUST be provided:] Component name: Name assigned to the component by the component creator.</t>
  </si>
  <si>
    <t>Vulnerability matching and supplier contact during maintenance rely on this field (field 'Component name' as assigned by the component creator).</t>
  </si>
  <si>
    <t>TR2-054-b</t>
  </si>
  <si>
    <t>[For each component included in an SBOM, at least the following information MUST be provided: Component name:] If no name is assigned this MUST be the actual filename.</t>
  </si>
  <si>
    <t>TR2-054-c</t>
  </si>
  <si>
    <t>[For each component included in an SBOM, at least the following information MUST be provided: Component name:] Note: If the component name was changed between versions, the component name that was valid during the integration of the component must be used.</t>
  </si>
  <si>
    <t>TR2-055-a</t>
  </si>
  <si>
    <t>[For each component included in an SBOM, at least the following information MUST be provided:] Component version: Identifier used by the creator to specify changes in the component to a previously created version. The following points apply to determine a version in this order:</t>
  </si>
  <si>
    <t>Vulnerability matching and supplier contact during maintenance rely on this field (field 'Component version', determined by the ordered rules).</t>
  </si>
  <si>
    <t>TR2-055-b</t>
  </si>
  <si>
    <t>[For each component included in an SBOM, at least the following information MUST be provided: Component version:] 1. Existing identifiers MUST NOT be changed for this purpose.</t>
  </si>
  <si>
    <t>TR2-055-c</t>
  </si>
  <si>
    <t>[For each component included in an SBOM, at least the following information MUST be provided: Component version:] 2. Identifiers according to Semantic Versioning or alternatively Calendar Versioning SHOULD be used if one determines the versioning scheme; this is often the component creator.</t>
  </si>
  <si>
    <t>TR2-055-d</t>
  </si>
  <si>
    <t>[For each component included in an SBOM, at least the following information MUST be provided: Component version:] 3. If no version is assigned this MUST be the modification date of the file expressed as date-time according to RFC 3339 section 5.6.</t>
  </si>
  <si>
    <t>TR2-055-e</t>
  </si>
  <si>
    <t>[For each component included in an SBOM, at least the following information MUST be provided: Component version:] To determine the creation time the file metadata MUST be consulted.</t>
  </si>
  <si>
    <t>TR2-056</t>
  </si>
  <si>
    <t>[For each component included in an SBOM, at least the following information MUST be provided:] Filename of the component: The actual filename of the component (i.e. not its file system path); see also section 3.2.1</t>
  </si>
  <si>
    <t>TR2-057-a</t>
  </si>
  <si>
    <t>[For each component included in an SBOM, at least the following information MUST be provided:] Dependencies on other components: Enumeration of all components on which this component is directly dependent, according to requirements in section 5.1, or which this component contains according to requirements in section 3.2.1.</t>
  </si>
  <si>
    <t>The dependency graph lets the PSIRT trace a vulnerable library to every affected solution and customer site.</t>
  </si>
  <si>
    <t>TR2-057-b</t>
  </si>
  <si>
    <t>[For each component included in an SBOM, at least the following information MUST be provided: Dependencies on other components:] Furthermore, the completeness of this enumeration MUST be clearly indicated.</t>
  </si>
  <si>
    <t>TR2-058</t>
  </si>
  <si>
    <t>[For each component included in an SBOM, at least the following information MUST be provided:] Distribution licences: Distribution licence(s) of the component under which it can be used by a licensee. For specifics see sections 6.1 and 8.1.13.</t>
  </si>
  <si>
    <t>TR2-059</t>
  </si>
  <si>
    <t>[For each component included in an SBOM, at least the following information MUST be provided:] Hash value of the deployable component: Cryptographically secure checksum (hash value) of the deployed/deployable component (i.e. as a file on a mass storage device) as SHA-512; see also section 3.2.1</t>
  </si>
  <si>
    <t>Vulnerability matching and supplier contact during maintenance rely on this field (field 'Hash value of the deployable component' as SHA-512).</t>
  </si>
  <si>
    <t>TR2-060</t>
  </si>
  <si>
    <t>[For each component included in an SBOM, at least the following information MUST be provided:] Executable property: Describes whether the component is executable; possible values are "executable" and "non-executable"; see also Appendix, section 8.1.4</t>
  </si>
  <si>
    <t>TR2-061</t>
  </si>
  <si>
    <t>[For each component included in an SBOM, at least the following information MUST be provided:] Archive property: Describes whether the component is an archive; possible values are "archive" and "no archive"; see also Appendix, section 8.1.5</t>
  </si>
  <si>
    <t>TR2-062-a</t>
  </si>
  <si>
    <t>[For each component included in an SBOM, at least the following information MUST be provided:] Structured property: Describes whether the component is a structured file, i.e. metadata of the contents is still present (see section 3.2.1); possible values are "structured" and "unstructured"; see also Appendix, section 8.1.6</t>
  </si>
  <si>
    <t>TR2-062-b</t>
  </si>
  <si>
    <t>[For each component included in an SBOM, at least the following information MUST be provided: Structured property:] If a component contains both structured and unstructured parts the value "structured" MUST be used.</t>
  </si>
  <si>
    <t>TR2-063</t>
  </si>
  <si>
    <t>5.2.3 Additional data fields for the SBOM itself (Table 4)</t>
  </si>
  <si>
    <t>[Each SBOM MUST additionally include the following information, if it exists and fulfils the requirements of an SBOM format specification for the specific data field:] SBOM-URI: "Uniform Resource Identifier (URI)" of this SBOM</t>
  </si>
  <si>
    <t>MUST (if it exists)</t>
  </si>
  <si>
    <t>Vulnerability matching and supplier contact during maintenance rely on this field (field 'SBOM-URI' of the SBOM itself).</t>
  </si>
  <si>
    <t>TR2-064</t>
  </si>
  <si>
    <t>5.2.4 Additional data fields for each component (Table 5)</t>
  </si>
  <si>
    <t>[For each component included in an SBOM, the following information MUST additionally be provided, if it exists and fulfils the requirements of an SBOM format specification for the specific data field:] Source code URI: "Uniform Resource Identifier (URI)" of the source code of the component, e.g. the URL of the utilised source code version in its repository, or if a version cannot be specified the utilised source code repository itself.</t>
  </si>
  <si>
    <t>Vulnerability matching and supplier contact during maintenance rely on this field (field 'Source code URI' of each component).</t>
  </si>
  <si>
    <t>TR2-065</t>
  </si>
  <si>
    <t>[For each component included in an SBOM, the following information MUST additionally be provided, if it exists and fulfils the requirements of an SBOM format specification for the specific data field:] URI of the deployable form of the component: "Uniform Resource Identifier (URI)", which points directly to the deployable (e.g. downloadable) form of the component.</t>
  </si>
  <si>
    <t>Vulnerability matching and supplier contact during maintenance rely on this field (field 'URI of the deployable form of the component').</t>
  </si>
  <si>
    <t>TR2-066</t>
  </si>
  <si>
    <t>[For each component included in an SBOM, the following information MUST additionally be provided, if it exists and fulfils the requirements of an SBOM format specification for the specific data field:] Other unique identifiers: Other identifiers that can be used to identify the component or to look it up in relevant databases, such as Common Platform Enumeration (CPE) or Package URL (purl).</t>
  </si>
  <si>
    <t>Vulnerability matching against NVD/EUVD/OSV depends on correct purl/CPE; missing identifiers mean missed vulnerabilities.</t>
  </si>
  <si>
    <t>TR2-067</t>
  </si>
  <si>
    <t>[For each component included in an SBOM, the following information MUST additionally be provided, if it exists and fulfils the requirements of an SBOM format specification for the specific data field:] Original licences: The licence(s) that have been assigned by the creator of the component. For specifics see sections 6.1 and 8.1.13.</t>
  </si>
  <si>
    <t>TR2-068</t>
  </si>
  <si>
    <t>5.2.5 Optional data fields for each component (Table 6)</t>
  </si>
  <si>
    <t>[Each SBOM MAY additionally include the following information, if it exists and fulfils the requirements of an SBOM format specification for the specific data field:] Effective licence: The licence under which the component is used by the licensee that is the creator of the current SBOM. For specifics see sections 6.1 and 8.1.13.</t>
  </si>
  <si>
    <t>TR2-069</t>
  </si>
  <si>
    <t>[Each SBOM MAY additionally include the following information, if it exists and fulfils the requirements of an SBOM format specification for the specific data field:] Hash value of the source code of the component: Cryptographically secure checksum (hash value) of the component source code. A specific algorithm how to create a hash value of multiple source files or a source code tree, and which hash algorithm is utilised for that has not yet been determined.</t>
  </si>
  <si>
    <t>TR2-070</t>
  </si>
  <si>
    <t>[Each SBOM MAY additionally include the following information, if it exists and fulfils the requirements of an SBOM format specification for the specific data field:] URL of the security.txt: Contains the "Uniform Resource Locator (URL)" of the component creator's security.txt.</t>
  </si>
  <si>
    <t>Supplier security.txt URLs speed up reporting vulnerabilities in third-party components to their maintainers.</t>
  </si>
  <si>
    <t>TR2-071-a</t>
  </si>
  <si>
    <t>6.1 Licence identifiers and expressions</t>
  </si>
  <si>
    <t>Licences MUST be referred to (in the sense of "named") by their appropriate SPDX licence identifier or licence expression based on such an identifier.</t>
  </si>
  <si>
    <t>TR2-071-b</t>
  </si>
  <si>
    <t>While the SPDX and CycloneDX specifications allow for including licence text of components in SBOMs, this MUST NOT be used as a substitute for a licence identifier.</t>
  </si>
  <si>
    <t>TR2-072</t>
  </si>
  <si>
    <t>Indication of licence identifiers not defined by SPDX If an appropriate licence identifier can neither be found in the list maintained by SPDX nor constructed by an SPDX licence expression based on a defined licence identifier, the licence database "Scancode LicenseDB AboutCode" MUST be consulted next.</t>
  </si>
  <si>
    <t>TR2-073</t>
  </si>
  <si>
    <t>Licences which cannot be assigned to an extant identifier or licence expression based on an extant identifier If an appropriate licence identifier cannot be discovered in any of the established identifier lists, the prefix LicenseRef-&lt;licence_inventorising_entity&gt;-[...] MUST be used according to "Annex B. SPDX license expressions" to assign a unique (for each LicenseRef namespace) licence identifier.</t>
  </si>
  <si>
    <t>TR2-074</t>
  </si>
  <si>
    <t>For licence identification the following principles of licence similarity MUST be applied: - Licences are similar if they can be mapped to another licence according to "Annex C. License List matching guidelines".</t>
  </si>
  <si>
    <t>TR2-075-a</t>
  </si>
  <si>
    <t>Placeholders and templates in licence texts If placeholders and templates exist in licence texts, a replacement of these placeholders and templates by individualised content MUST NOT be understood as a licence modification, […]</t>
  </si>
  <si>
    <t>TR2-075-b</t>
  </si>
  <si>
    <t>[…] but MUST be assigned to the same licence identifier.</t>
  </si>
  <si>
    <t>TR2-076-a</t>
  </si>
  <si>
    <t>SPDX operators and licence concatenations Licence expressions of multiple licensing, licence choices and licence exceptions MUST be mapped with SPDX operators.</t>
  </si>
  <si>
    <t>TR2-076-b</t>
  </si>
  <si>
    <t>Permitted operators MUST be selected according to "Annex B. SPDX license expressions".</t>
  </si>
  <si>
    <t>TR2-077-a</t>
  </si>
  <si>
    <t>Exception clauses for licences If an exception clause is attached to a licence text, it MUST be attached to a licence identifier with WITH according to the allowed SPDX operators.</t>
  </si>
  <si>
    <t>TR2-077-b</t>
  </si>
  <si>
    <t>The names of the exception clause MUST be described with identifiers analogous to the requirements on licence identification.</t>
  </si>
  <si>
    <t>TR2-078</t>
  </si>
  <si>
    <t>Text modifications If a wording in a licence text is slightly modified compared to a licence text of a licence with a known licence identifier, this licence identifier SHOULD be used for the modified licence if the modification is not substantial.</t>
  </si>
  <si>
    <t>TR2-079</t>
  </si>
  <si>
    <t>7 Transitional system</t>
  </si>
  <si>
    <t>To be compliant to this Technical Guideline, the most recent version MUST be used for the generation of SBOMs.</t>
  </si>
  <si>
    <t>SBOM - TR versioning</t>
  </si>
  <si>
    <t>A regulatory watch must detect new TR-2 versions so tooling is updated within the six-month window.</t>
  </si>
  <si>
    <t>TR2-080-a</t>
  </si>
  <si>
    <t>Any previous version MUST NOT be applied, […]</t>
  </si>
  <si>
    <t>SBOMs issued with updates must follow the TR version current when they are generated (older TR versions must not be applied).</t>
  </si>
  <si>
    <t>TR2-080-b</t>
  </si>
  <si>
    <t>[…] except for the immediately preceding version which MAY be applied to generate SBOMs compliant to this Technical Guideline up to six months after a new "most recent version" has been issued according to the document history in table 1.</t>
  </si>
  <si>
    <t>TR2-081</t>
  </si>
  <si>
    <t>Unless otherwise defined, an SBOM version compliant to this Technical Guideline at the delivery date of this SBOM version remains complaint to the Technical Guideline, even if new versions of this Technical Guideline have been published afterwards.</t>
  </si>
  <si>
    <t>Rule (validity)</t>
  </si>
  <si>
    <t>SBOMs issued with updates must follow the TR version current when they are generated (an SBOM compliant at delivery stays compliant after newer TR versions).</t>
  </si>
  <si>
    <t>TR2-082</t>
  </si>
  <si>
    <t>Consequently, consumers of SBOMs SHOULD be able to interpret SBOM versions that were compliant to this Technical Guideline at the time being delivered.</t>
  </si>
  <si>
    <t>SBOM - consumption of supplier SBOMs</t>
  </si>
  <si>
    <t>SBOMs issued with updates must follow the TR version current when they are generated (SBOM consumers should be able to interpret SBOMs compliant at their delivery time).</t>
  </si>
  <si>
    <t>TR2-083</t>
  </si>
  <si>
    <t>8.1.2 Component (appendix)</t>
  </si>
  <si>
    <t>In this Technical Guideline a "component" is typically a single executable file or an archive file; however, also logical components can be used as an abstraction level, which is recommended for linking to other SBOMs.</t>
  </si>
  <si>
    <t>TR-2 section 8 is declared explanatory (informative); the statement uses normative wording and is registered for completeness.</t>
  </si>
  <si>
    <t>TR2-084</t>
  </si>
  <si>
    <t>8.1.7 Examples for executable, archive and structured property (appendix, Table 7)</t>
  </si>
  <si>
    <t>[Table 7: Examples for executable, archive and structured property] Configuration file […] Not required to be listed in an SBOM.</t>
  </si>
  <si>
    <t>MAY (equiv. 'not required'; example table)</t>
  </si>
  <si>
    <t>TR2-085</t>
  </si>
  <si>
    <t>8.1.9 Component version (appendix)</t>
  </si>
  <si>
    <t>In general, it is recommended to use a well-recognised versioning scheme.</t>
  </si>
  <si>
    <t>TR2-086</t>
  </si>
  <si>
    <t>While the creator of the component can choose the versioning scheme completely arbitrarily, entities further downstream in the supply chain should not change it.</t>
  </si>
  <si>
    <t>TR2-087</t>
  </si>
  <si>
    <t>8.1.10 Relationship between URI, IRI and Punycode (appendix)</t>
  </si>
  <si>
    <t>Note: If only an Internationalized Resource Identifier (IRI) is available, it has to be transformed into a URI.</t>
  </si>
  <si>
    <t>TR2-088</t>
  </si>
  <si>
    <t>For their fully qualified domain name (FQDN) part, Punycode has to be used.</t>
  </si>
  <si>
    <t>TR2-089</t>
  </si>
  <si>
    <t>8.1.13 Licence information (appendix)</t>
  </si>
  <si>
    <t>In general, the licence fields for both, "declared licenses" and "concluded licenses" should be filled according to the utilised format specification (i.e. a specific version of CycloneDX or SPDX).</t>
  </si>
  <si>
    <t>TR2-090-a</t>
  </si>
  <si>
    <t>The licence information specified by BSI TR-03183-2 must be mapped to the corresponding format specification as follows, […]</t>
  </si>
  <si>
    <t>TR2-090-b</t>
  </si>
  <si>
    <t>[…] but mind that one should also avoid violating the definitions of these fields by the utilised format specification version.</t>
  </si>
  <si>
    <t>TR2-091</t>
  </si>
  <si>
    <t>8.1.14 Vulnerability information (appendix)</t>
  </si>
  <si>
    <t>Consequently, it is required not to include vulnerability information in an SBOM, even though an SBOM format specification supports that.</t>
  </si>
  <si>
    <t>MUST NOT (equiv. 'it is required not to')</t>
  </si>
  <si>
    <t>vulnerability information must not be included in an SBOM even if the format supports it - vulnerability status must be analysed and communicated separately from the SBOM (CSAF advisories / VEX) and kept current.</t>
  </si>
  <si>
    <t>TR2-092</t>
  </si>
  <si>
    <t>The recommended format for distributing vulnerability information is CSAF (including also VEX as a profile).</t>
  </si>
  <si>
    <t>RECOMMENDED (equiv. 'recommended')</t>
  </si>
  <si>
    <t>CSAF/VEX publication capability (see TR-3 3.1.5) is the recommended channel for vulnerability status.</t>
  </si>
  <si>
    <t>TR2-093</t>
  </si>
  <si>
    <t>8.1.15 Digital signature (appendix)</t>
  </si>
  <si>
    <t>Ideally, SBOMs should be digitally signed so recipients can verify their authenticity.</t>
  </si>
  <si>
    <t>SBOM - integrity</t>
  </si>
  <si>
    <t>Patch builds over the whole support period must follow the same practice (SBOMs should be digitally signed).</t>
  </si>
  <si>
    <t>Patch builds</t>
  </si>
  <si>
    <t>Keep build environments archived so patches stay reproducible for the support period.</t>
  </si>
  <si>
    <t>Archived build environment register</t>
  </si>
  <si>
    <t>Build &amp; Release Manager / PSIRT Lead</t>
  </si>
  <si>
    <t>Pipeline of 3. Integration/Build</t>
  </si>
  <si>
    <t>TR2-094</t>
  </si>
  <si>
    <t>8.1.16 References to another BOM (appendix)</t>
  </si>
  <si>
    <t>If the creator of an SBOM uses references to an external BOM to reference SBOM information, this creator is responsible for the availability of the referenced SBOM information, e.g. by providing an own copy of this information.</t>
  </si>
  <si>
    <t>Referenced information must stay available for every supported version during the support period.</t>
  </si>
  <si>
    <t>TR2-095</t>
  </si>
  <si>
    <t>8.2 Mapping of the individual data fields (appendix)</t>
  </si>
  <si>
    <t>Data fields required by the format specification (SPDX or CycloneDX) or other regulations shall remain.</t>
  </si>
  <si>
    <t>SHALL (equiv. 'shall')</t>
  </si>
  <si>
    <t>TR2-096</t>
  </si>
  <si>
    <t>Additionally, data fields beyond these requirements and the requirements of this Technical Guideline may be included at the SBOM creator's convenience; this also covers additional instances of data fields, e.g. hash values.</t>
  </si>
  <si>
    <t>TR2-097</t>
  </si>
  <si>
    <t>The "..." (ellipsis character) in the following tables is a placeholder for the values of the data fields which have to be inserted by the SBOM creator.</t>
  </si>
  <si>
    <t>TR2-098</t>
  </si>
  <si>
    <t>These "spdxId"s have to be inserted by the SBOM creator.</t>
  </si>
  <si>
    <t>TR2-099</t>
  </si>
  <si>
    <t>8.3.2 n-level SBOM (appendix)</t>
  </si>
  <si>
    <t>If the path from the primary component is shorter than n levels, all components on this path have to be resolved and, consequently, fully described.</t>
  </si>
  <si>
    <t>MUST (equiv. 'have to'; definition)</t>
  </si>
  <si>
    <t>TR2-100-a</t>
  </si>
  <si>
    <t>8.3.3 Transitive SBOM (appendix)</t>
  </si>
  <si>
    <t>The first external component must at least be identified in the SBOM in order to correlate this dependency unambiguously; […]</t>
  </si>
  <si>
    <t>MUST (equiv. 'must'; definition)</t>
  </si>
  <si>
    <t>TR2-100-b</t>
  </si>
  <si>
    <t>[…] consequently, its dependencies in turn do not have to be resolved.</t>
  </si>
  <si>
    <t>MAY (equiv. 'do not have to'; definition)</t>
  </si>
  <si>
    <t>TR2-101</t>
  </si>
  <si>
    <t>Compared to an n-level SBOM including a first external component the transitive SBOM may contain less information on this external component, because a transitive SBOM does not need to fully describe external components.</t>
  </si>
  <si>
    <t>MAY (equiv. 'may' / 'does not need to'; definition)</t>
  </si>
  <si>
    <t>TR2-102-a</t>
  </si>
  <si>
    <t>8.3.4 Delivery item SBOM (appendix)</t>
  </si>
  <si>
    <t>The first component outside the scope of delivery must at least be identified in the SBOM in order to correlate this dependency unambiguously; […]</t>
  </si>
  <si>
    <t>TR2-102-b</t>
  </si>
  <si>
    <t>TR2-103</t>
  </si>
  <si>
    <t>8.4.1 Design SBOM (appendix)</t>
  </si>
  <si>
    <t>The components do not have to exist yet.</t>
  </si>
  <si>
    <t>SBOM - SBOM classes</t>
  </si>
  <si>
    <t>Nil - no change needed in 5. Solution Maintenance (RUN). Handled in 1. Presale (Bid Manager / Presales Solution Architect).</t>
  </si>
  <si>
    <t>TR2-104</t>
  </si>
  <si>
    <t>8.4.3 Build SBOM (appendix)</t>
  </si>
  <si>
    <t>In order to let hash values unambiguously identify components, reproducible builds have to be employed.</t>
  </si>
  <si>
    <t>Build integrity - reproducible builds</t>
  </si>
  <si>
    <t>Patches built years later must reproduce identical artefacts for unchanged components; build environments must be archived for the support period.</t>
  </si>
  <si>
    <t>TR2-105</t>
  </si>
  <si>
    <t>In the case of interpreted code, only the source code exists; hence each executable file has to be listed as a component.</t>
  </si>
  <si>
    <t>TR2-106</t>
  </si>
  <si>
    <t>The interpreter has to be specified as a dependency, as far as reasonably possible.</t>
  </si>
  <si>
    <t>TR3-001</t>
  </si>
  <si>
    <t>BSI TR-03183-3 v1.0.0</t>
  </si>
  <si>
    <t>[Therefore, a vulnerability handling process is necessary before and during the time for each product in use.] As such, this process requires at least the creation, release, secure distribution, and installation of updates or the implementation of other mitigation measures for affected products.</t>
  </si>
  <si>
    <t>RUN must run a complete vulnerability handling chain (fix, release, secure distribution, installation tracking) for every supported release; for a solution provider this spans PSIRT, engineering and field service.</t>
  </si>
  <si>
    <t>TR3-002-a</t>
  </si>
  <si>
    <t>To enable successful CVD processes, manufacturers should react positively to incoming vulnerability reports […]</t>
  </si>
  <si>
    <t>CVD - principles</t>
  </si>
  <si>
    <t>PSIRT culture and templates must treat reporters as partners; first-response templates and staff guidance are needed.</t>
  </si>
  <si>
    <t>CVD policy; PSIRT case handling</t>
  </si>
  <si>
    <t>Write into the CVD policy / PSIRT procedure and apply in case handling: react positively to incoming vulnerability reports.</t>
  </si>
  <si>
    <t>Published, dated CVD policy; PSIRT procedure; case records</t>
  </si>
  <si>
    <t>PSIRT Lead (Legal reviews policy wording)</t>
  </si>
  <si>
    <t>Engineering support from 2. Development; Legal review</t>
  </si>
  <si>
    <t>TR3-002-b</t>
  </si>
  <si>
    <t>[…] and should not threaten with legal actions as long as no criminal intention is apparent (see BSI CVD guideline for security researchers).</t>
  </si>
  <si>
    <t>Legal and PSIRT must agree a no-legal-threat stance for good-faith reporters (later formalised as safe harbour in 4.4.4 d).</t>
  </si>
  <si>
    <t>Write into the CVD policy / PSIRT procedure and apply in case handling: do not threaten reporters with legal action when no criminal intent is apparent.</t>
  </si>
  <si>
    <t>TR3-003</t>
  </si>
  <si>
    <t>In addition, manufacturers should be prepared for CVD processes, which require holistic internal processes involving the relevant departments, the designation and publication of contact options, the establishment of communication channels, and the actual response to vulnerability reports.</t>
  </si>
  <si>
    <t>CVD - preparation</t>
  </si>
  <si>
    <t>CVD needs a cross-department process (PSIRT, engineering, legal, communications, web) set up before the first report arrives - new organisational capability for most solution providers.</t>
  </si>
  <si>
    <t>Write into the CVD policy / PSIRT procedure and apply in case handling: prepare holistic internal CVD processes across departments, contact options and channels.</t>
  </si>
  <si>
    <t>TR3-004-a</t>
  </si>
  <si>
    <t>Throughout the entire CVD process, manufacturers should communicate proactively with the reporting entity […]</t>
  </si>
  <si>
    <t>PSIRT case handling must include proactive status updates to reporters; needs case tracking with communication milestones.</t>
  </si>
  <si>
    <t>Write into the CVD policy / PSIRT procedure and apply in case handling: communicate proactively with the reporting entity throughout the CVD process.</t>
  </si>
  <si>
    <t>TR3-004-b</t>
  </si>
  <si>
    <t>[…] and strive to continuously optimise internal processes.</t>
  </si>
  <si>
    <t>Add a lessons-learned step to closed CVD cases; minor process-improvement routine.</t>
  </si>
  <si>
    <t>Write into the CVD policy / PSIRT procedure and apply in case handling: continuously optimise internal CVD processes.</t>
  </si>
  <si>
    <t>TR3-005</t>
  </si>
  <si>
    <t>As every CVD process starts with vulnerability reporting, it is essential to publish the contact options and CVD policies for external communication.</t>
  </si>
  <si>
    <t>MUST (equiv. 'it is essential to')</t>
  </si>
  <si>
    <t>Publishing the vulnerability contact options and the CVD policy is the precondition for any CVD process; a public security page is needed (detailed in 4.1-4.5).</t>
  </si>
  <si>
    <t>Public security web page, security.txt, report web form, published keys</t>
  </si>
  <si>
    <t>Implement on the corporate website: publish the contact options and the CVD policy for external communication; include it in the quarterly security.txt/contact check.</t>
  </si>
  <si>
    <t>Live URL check and screenshot; signed security.txt; quarterly check record</t>
  </si>
  <si>
    <t>PSIRT Lead with Web/IT team</t>
  </si>
  <si>
    <t>Corporate web/IT operations; PSIRT mailboxes and keys (TR-3 4.3.1)</t>
  </si>
  <si>
    <t>TR3-006</t>
  </si>
  <si>
    <t>3.1.5 Security advisory</t>
  </si>
  <si>
    <t>[Commonly, the advisories are sent by the manufacturer to all users of the product and are publicly disclosed.] Their recommended distribution is the publication on the manufacture's website applying Common Security Advisory Framework (CSAF).</t>
  </si>
  <si>
    <t>SHOULD (equiv. 'recommended')</t>
  </si>
  <si>
    <t>Security advisories (CSAF)</t>
  </si>
  <si>
    <t>Machine-readable CSAF advisories require a CSAF provider setup (tooling, signing, provider-metadata.json) and an advisory authoring workflow - new capability for RUN.</t>
  </si>
  <si>
    <t>Security advisory and disclosure process</t>
  </si>
  <si>
    <t>publish security advisories on the manufacturer website in CSAF format - define the disclosure workflow, deadlines and approvals.</t>
  </si>
  <si>
    <t>Advisories (CSAF); disclosure timeline per case; EUVD/CVE identifiers</t>
  </si>
  <si>
    <t>Fix from 2. Development; roll-out by 4. Deployment</t>
  </si>
  <si>
    <t>TR3-007</t>
  </si>
  <si>
    <t>3.1.7 Corresponding national CSIRT</t>
  </si>
  <si>
    <t>To comply with this Technical Guideline, manufacturers MUST select as its corresponding national CSIRT from any of the national CSIRTs designated from their Member State as a coordinator for the purposes of coordinated vulnerability disclosure (see Article 3 paragraph 51 of the CRA in combination with Article 12 of the NIS2 Directive).</t>
  </si>
  <si>
    <t>CVD - national CSIRT coordination</t>
  </si>
  <si>
    <t>The national CSIRT is the counterpart for CRA Art. 14 notifications (in force since 11 Sep 2026) and for CVD; without a documented choice no compliant notification route exists.</t>
  </si>
  <si>
    <t>Regulatory notification procedure; national CSIRT coordination</t>
  </si>
  <si>
    <t>select the corresponding national CSIRT among those designated as CVD coordinator in the Member State - document it in the PSIRT notification procedure and keep a case log.</t>
  </si>
  <si>
    <t>Decision record; notification and coordination log per case</t>
  </si>
  <si>
    <t>Installed-base data from 4. Deployment; technical facts from 2. Development</t>
  </si>
  <si>
    <t>Assumption: main establishment in an EU Member State; the corresponding CSIRT is that state's CVD coordinator. Reporting duties apply since 11 Sep 2026.</t>
  </si>
  <si>
    <t>TR3-008</t>
  </si>
  <si>
    <t>The corresponding national CSIRT MUST be determined according to Article 14 paragraph 7 of the CRA.</t>
  </si>
  <si>
    <t>The CSIRT choice must follow the Art. 14(7) rule (Member State of main establishment); Compliance has to document the legal basis of the choice.</t>
  </si>
  <si>
    <t>determine the corresponding CSIRT according to CRA Art. 14(7) (main establishment) - document it in the PSIRT notification procedure and keep a case log.</t>
  </si>
  <si>
    <t>TR3-009</t>
  </si>
  <si>
    <t>Moreover, manufacturers MUST stay at their corresponding national CSIRT during the active handling of every single valid vulnerability except the corresponding national CSIRT transfers the handling.</t>
  </si>
  <si>
    <t>PSIRT procedure must keep one CSIRT per case end-to-end; relevant when customers in several Member States are affected.</t>
  </si>
  <si>
    <t>stay with the corresponding CSIRT during active handling of each valid vulnerability unless it transfers the case - document it in the PSIRT notification procedure and keep a case log.</t>
  </si>
  <si>
    <t>TR3-010</t>
  </si>
  <si>
    <t>Furthermore, manufactures SHOULD choose the same national CSIRT as corresponding one for the communication about each and every vulnerability.</t>
  </si>
  <si>
    <t>Simple policy statement in the notification procedure (one CSIRT for all cases).</t>
  </si>
  <si>
    <t>use the same national CSIRT for all vulnerabilities - document it in the PSIRT notification procedure and keep a case log.</t>
  </si>
  <si>
    <t>TR3-011</t>
  </si>
  <si>
    <t>3.1.8 Anonymous reporting option</t>
  </si>
  <si>
    <t>[In this Technical Guideline, an anonymous reporting option provides a contact option with the manufacturer where the reporting entity can stay anonymous.] This SHOULD be a web form on the manufacturer's website.</t>
  </si>
  <si>
    <t>Vulnerability intake - anonymous reporting</t>
  </si>
  <si>
    <t>Satisfied by the web form required in 4.3.3; design decision only.</t>
  </si>
  <si>
    <t>Vulnerability report web form; web server and WAF logging</t>
  </si>
  <si>
    <t>provide the anonymous reporting option as a web form on the manufacturer website - configure the form and logging accordingly and record the privacy review.</t>
  </si>
  <si>
    <t>Form configuration; logging configuration; privacy (DPO) review record</t>
  </si>
  <si>
    <t>PSIRT Lead with Web/IT team and Data Protection Officer</t>
  </si>
  <si>
    <t>Corporate web hosting / WAF operations</t>
  </si>
  <si>
    <t>Minimised logging may conflict with corporate WAF/SIEM logging rules; agree an exception.</t>
  </si>
  <si>
    <t>TR3-012</t>
  </si>
  <si>
    <t>This web form MUST NOT contain any third party components, e.g. advertisements or tracking pixel.</t>
  </si>
  <si>
    <t>The report form must be built without third-party scripts, analytics or trackers, which often conflicts with standard corporate web templates/CMS plug-ins.</t>
  </si>
  <si>
    <t>the anonymous web form must not contain third-party components (ads, tracking pixels) - configure the form and logging accordingly and record the privacy review.</t>
  </si>
  <si>
    <t>TR3-013</t>
  </si>
  <si>
    <t>While entering data and using this web form, the logging of metadata MUST be minimized.</t>
  </si>
  <si>
    <t>Web server, reverse proxy and WAF logging for the form path must be reduced; needs a documented logging exception.</t>
  </si>
  <si>
    <t>minimise metadata logging while the web form is used - configure the form and logging accordingly and record the privacy review.</t>
  </si>
  <si>
    <t>TR3-014</t>
  </si>
  <si>
    <t>Therefore, the information that SHOULD NOT be logged includes the IP address, the browser or the computer of reporting entity.</t>
  </si>
  <si>
    <t>IP/user-agent logging must be suppressed for the form endpoint, including CDN/WAF layers operated by corporate IT.</t>
  </si>
  <si>
    <t>do not log IP address, browser or computer of the reporting entity - configure the form and logging accordingly and record the privacy review.</t>
  </si>
  <si>
    <t>TR3-015</t>
  </si>
  <si>
    <t>4 Cybersecurity requirements for receiving vulnerability reports</t>
  </si>
  <si>
    <t>In order to establish a process for receiving vulnerability reports that is compliant with this Technical Guideline, at least the following requirements MUST be fulfilled.</t>
  </si>
  <si>
    <t>Vulnerability intake - general</t>
  </si>
  <si>
    <t>Umbrella statement: the intake process is only TR-compliant if every chapter-4 item is met; the specific rows carry the effort.</t>
  </si>
  <si>
    <t>CVD evidence register</t>
  </si>
  <si>
    <t>Keep an evidence register: implemented measures, test procedures and test results for the reporting channels.</t>
  </si>
  <si>
    <t>Evidence register with dated test results</t>
  </si>
  <si>
    <t>Feeds 3. Integration/Build (technical documentation)</t>
  </si>
  <si>
    <t>TR3-016</t>
  </si>
  <si>
    <t>The implemented measures to fulfil these requirements, all test procedures, and all test results MUST be recorded.</t>
  </si>
  <si>
    <t>Vulnerability intake - records</t>
  </si>
  <si>
    <t>RUN must keep auditable records of how each intake requirement is met and of every test (e.g. daily mailbox/web-form tests) - a new evidence register.</t>
  </si>
  <si>
    <t>TR3-017</t>
  </si>
  <si>
    <t>Hence, further statements e.g. in the security.txt (see section 4.2), on the web page for incoming vulnerability reports (see section 4.5) or in the CVD policy (see section 4.4), and additional preliminary measures for a CVD process (see section 4.3) are allowed.</t>
  </si>
  <si>
    <t>MAY (equiv. 'are allowed')</t>
  </si>
  <si>
    <t>Permission only; allows adding customer-specific contacts or extra channels without breaking conformance.</t>
  </si>
  <si>
    <t>TR3-018</t>
  </si>
  <si>
    <t>4.1 Website of the manufacturer</t>
  </si>
  <si>
    <t>Security related information about the manufacturer and its products should be easily accessible to external entities.</t>
  </si>
  <si>
    <t>Security information website</t>
  </si>
  <si>
    <t>Needs a findable security section on the corporate website owned by the PSIRT.</t>
  </si>
  <si>
    <t>Implement on the corporate website: security-related information about the manufacturer and its products should be easily accessible; include it in the quarterly security.txt/contact check.</t>
  </si>
  <si>
    <t>TR3-019</t>
  </si>
  <si>
    <t>Therefore, the manufacturer MUST make this information easily accessible to the public.</t>
  </si>
  <si>
    <t>A public, maintained security information area is required; for a B2B solution provider whose product information is usually customer-portal only, this is a change in publication practice.</t>
  </si>
  <si>
    <t>Implement on the corporate website: make security-related information easily accessible to the public; include it in the quarterly security.txt/contact check.</t>
  </si>
  <si>
    <t>TR3-4.1.1a</t>
  </si>
  <si>
    <t>4.1.1 General</t>
  </si>
  <si>
    <t>The manufacturer MUST operate a website to publicly provide at least security related information about itself and its products.</t>
  </si>
  <si>
    <t>RUN must own a public security website (advisories, CVD policy, contacts); the corporate site has to host it permanently for all supported products.</t>
  </si>
  <si>
    <t>Implement on the corporate website: operate a website that publicly provides security-related information about the manufacturer and its products; include it in the quarterly security.txt/contact check.</t>
  </si>
  <si>
    <t>TR3-4.1.1b</t>
  </si>
  <si>
    <t>This website MUST be fully accessible without any login procedure or other restriction, e.g. behind a paywall.</t>
  </si>
  <si>
    <t>Security information cannot sit behind the customer portal login; content currently restricted to customers must be republished publicly.</t>
  </si>
  <si>
    <t>Implement on the corporate website: the security website must be accessible without login or paywall; include it in the quarterly security.txt/contact check.</t>
  </si>
  <si>
    <t>TR3-4.1.1c</t>
  </si>
  <si>
    <t>At least all the security related information on this website, e.g. the CVD policy (see section 4.4) and the web page for incoming vulnerability reports (see section 4.5), MUST be in a language which can be easily understood by users and market surveillance authorities.</t>
  </si>
  <si>
    <t>Security pages must be offered in English and the languages of the markets served (government/airport customers in several Member States) - translation workflow needed.</t>
  </si>
  <si>
    <t>Implement on the corporate website: security information must be in a language easily understood by users and market surveillance authorities; include it in the quarterly security.txt/contact check.</t>
  </si>
  <si>
    <t>Assumption: English plus the local language of the main markets satisfies this.</t>
  </si>
  <si>
    <t>TR3-020</t>
  </si>
  <si>
    <t>4.2 Security.txt file in accordance with RFC 9116</t>
  </si>
  <si>
    <t>To make it easier for the reporting entity to find the right contact for vulnerability reports, a security.txt in accordance with RFC 9116 MUST be created and made available on the manufacturer's website.</t>
  </si>
  <si>
    <t>security.txt (RFC 9116)</t>
  </si>
  <si>
    <t>A signed, RFC 9116-conformant security.txt is the machine-readable entry point for reporters and crawlers; requires web, PSIRT and key-management work.</t>
  </si>
  <si>
    <t>Implement on the corporate website: create a security.txt according to RFC 9116 and make it available on the website; include it in the quarterly security.txt/contact check.</t>
  </si>
  <si>
    <t>TR3-4.2.1a</t>
  </si>
  <si>
    <t>4.2.1 Localisation of security.txt</t>
  </si>
  <si>
    <t>The manufacturer MUST create a file with the name security.txt directly in the path /.well-known/ (e.g. /.well-known/security.txt).</t>
  </si>
  <si>
    <t>Web hosting must serve /.well-known/security.txt on every corporate domain used for products.</t>
  </si>
  <si>
    <t>Implement on the corporate website: place security.txt under /.well-known/; include it in the quarterly security.txt/contact check.</t>
  </si>
  <si>
    <t>TR3-4.2.1b</t>
  </si>
  <si>
    <t>This file MUST be accessible via HTTPS using at least HTTP 1.1 (according to RFC 7230 section 2.7.2) or a higher version.</t>
  </si>
  <si>
    <t>Standard web server configuration; verify in the quarterly check.</t>
  </si>
  <si>
    <t>Implement on the corporate website: serve security.txt via HTTPS (HTTP/1.1 or higher); include it in the quarterly security.txt/contact check.</t>
  </si>
  <si>
    <t>TR3-4.2.1c-a</t>
  </si>
  <si>
    <t>This file MUST be a plain text file with ASCII or UTF-8 encoding.</t>
  </si>
  <si>
    <t>Formatting rule for the security.txt template.</t>
  </si>
  <si>
    <t>Implement on the corporate website: security.txt must be a plain text file in ASCII or UTF-8; include it in the quarterly security.txt/contact check.</t>
  </si>
  <si>
    <t>TR3-4.2.1c-b</t>
  </si>
  <si>
    <t>Only the ASCII characters 0x20 to 0x7E MUST be used for non-comments.</t>
  </si>
  <si>
    <t>Formatting rule; add a lint step to the security.txt update procedure.</t>
  </si>
  <si>
    <t>Implement on the corporate website: use only ASCII 0x20-0x7E for non-comment lines; include it in the quarterly security.txt/contact check.</t>
  </si>
  <si>
    <t>TR3-4.2.1d</t>
  </si>
  <si>
    <t>The manufacturer MUST comply with the respective format specifications of RFC 9116 for all information in this file.</t>
  </si>
  <si>
    <t>Every field must follow RFC 9116; use a validator in each change and the quarterly check.</t>
  </si>
  <si>
    <t>Implement on the corporate website: comply with RFC 9116 format for all information in security.txt; include it in the quarterly security.txt/contact check.</t>
  </si>
  <si>
    <t>TR3-4.2.2a</t>
  </si>
  <si>
    <t>4.2.2 Canonical URI</t>
  </si>
  <si>
    <t>The manufacturer MUST specify the canonical URI of the security.txt.</t>
  </si>
  <si>
    <t>One Canonical field in the template.</t>
  </si>
  <si>
    <t>Implement on the corporate website: specify the canonical URI of security.txt; include it in the quarterly security.txt/contact check.</t>
  </si>
  <si>
    <t>TR3-4.2.2b</t>
  </si>
  <si>
    <t>This canonical URI MUST be a web URI (according to RFC 7230 section 2.7.2).</t>
  </si>
  <si>
    <t>Formatting rule for the Canonical field.</t>
  </si>
  <si>
    <t>Implement on the corporate website: the canonical URI must be a web URI; include it in the quarterly security.txt/contact check.</t>
  </si>
  <si>
    <t>TR3-4.2.2c-a</t>
  </si>
  <si>
    <t>This canonical URI MUST reflect the true location of the authoritative file […]</t>
  </si>
  <si>
    <t>Check that the Canonical value matches the published location on every domain.</t>
  </si>
  <si>
    <t>Implement on the corporate website: the canonical URI must reflect the true location of the authoritative file; include it in the quarterly security.txt/contact check.</t>
  </si>
  <si>
    <t>TR3-4.2.2c-b</t>
  </si>
  <si>
    <t>[…] and MUST be accessible without redirects.</t>
  </si>
  <si>
    <t>CDN/redirect rules must exempt the security.txt path.</t>
  </si>
  <si>
    <t>Implement on the corporate website: the canonical URI must be accessible without redirects; include it in the quarterly security.txt/contact check.</t>
  </si>
  <si>
    <t>TR3-4.2.2d</t>
  </si>
  <si>
    <t>This statement SHOULD be introduced with the comment # Our canonical URI.</t>
  </si>
  <si>
    <t>Comment line in the template.</t>
  </si>
  <si>
    <t>Implement on the corporate website: introduce the canonical URI with the comment '# Our canonical URI'; include it in the quarterly security.txt/contact check.</t>
  </si>
  <si>
    <t>TR3-4.2.3a</t>
  </si>
  <si>
    <t>4.2.3 Contact information</t>
  </si>
  <si>
    <t>The manufacturer MUST provide a list of contact options for reporting vulnerabilities.</t>
  </si>
  <si>
    <t>Contact fields must be kept consistent with the PSIRT/CSIRT mailboxes and web page.</t>
  </si>
  <si>
    <t>Implement on the corporate website: list the contact options for reporting vulnerabilities in security.txt; include it in the quarterly security.txt/contact check.</t>
  </si>
  <si>
    <t>TR3-4.2.3b</t>
  </si>
  <si>
    <t>The declaration of the first contact option MUST be the email address of the functional mailbox of manufacturer's Product Security Incident Response Team (PSIRT) (see section 4.3.1) according to RFC 6068.</t>
  </si>
  <si>
    <t>Requires the PSIRT functional mailbox (4.3.1) to exist and be listed first.</t>
  </si>
  <si>
    <t>Implement on the corporate website: first contact option must be the PSIRT functional mailbox (RFC 6068); include it in the quarterly security.txt/contact check.</t>
  </si>
  <si>
    <t>TR3-4.2.3c</t>
  </si>
  <si>
    <t>The declaration of the second contact option MUST be the email address of the functional mailbox of the manufacturer's CSIRT (see section 4.3.1) according to RFC 6068.</t>
  </si>
  <si>
    <t>Requires the corporate CSIRT mailbox (4.3.1) and its listing as second contact.</t>
  </si>
  <si>
    <t>Implement on the corporate website: second contact option must be the CSIRT functional mailbox; include it in the quarterly security.txt/contact check.</t>
  </si>
  <si>
    <t>TR3-4.2.3d</t>
  </si>
  <si>
    <t>The next point of contact MUST be the web URI (according to RFC 7230 section 2.7.2) of the manufacturer's web page for incoming vulnerability reports (see section 4.5) according to RFC 7230 and RFC 3986.</t>
  </si>
  <si>
    <t>Contact line pointing to the reporting web page (4.5).</t>
  </si>
  <si>
    <t>Implement on the corporate website: next contact must be the web URI of the incoming vulnerability reports page; include it in the quarterly security.txt/contact check.</t>
  </si>
  <si>
    <t>TR3-4.2.3e</t>
  </si>
  <si>
    <t>This listing SHOULD be introduced with the comment # Our security addresses.</t>
  </si>
  <si>
    <t>Implement on the corporate website: introduce the contact list with '# Our security addresses'; include it in the quarterly security.txt/contact check.</t>
  </si>
  <si>
    <t>TR3-4.2.4a-a</t>
  </si>
  <si>
    <t>4.2.4 OpenPGP keys</t>
  </si>
  <si>
    <t>The manufacturer MUST provide the encryption options of the contact list provided in section 4.2.3.</t>
  </si>
  <si>
    <t>Encryption fields must point to the published PSIRT/CSIRT public keys; depends on key management in 4.3.1 j.</t>
  </si>
  <si>
    <t>Implement on the corporate website: provide the encryption options (OpenPGP keys) of the listed contacts; include it in the quarterly security.txt/contact check.</t>
  </si>
  <si>
    <t>TR3-4.2.4a-b</t>
  </si>
  <si>
    <t>Therefore, requirements of section 4.3.2 MUST be applied.</t>
  </si>
  <si>
    <t>Cross-reference: key download URIs and fingerprints per 4.3.2.</t>
  </si>
  <si>
    <t>Implement on the corporate website: apply the key publication rules of 4.3.2 for the security.txt encryption entries; include it in the quarterly security.txt/contact check.</t>
  </si>
  <si>
    <t>TR3-4.2.4b</t>
  </si>
  <si>
    <t>This listing SHOULD be introduced with the comment # Our OpenPGP keys.</t>
  </si>
  <si>
    <t>Implement on the corporate website: introduce the key list with '# Our OpenPGP keys'; include it in the quarterly security.txt/contact check.</t>
  </si>
  <si>
    <t>TR3-4.2.5a</t>
  </si>
  <si>
    <t>4.2.5 Acknowledgements</t>
  </si>
  <si>
    <t>The manufacturer SHOULD provide the web URI (according to RFC 7230 section 2.7.2) of the acknowledgements for vulnerability reports web page.</t>
  </si>
  <si>
    <t>Only if a Hall of Fame page is operated (see 4.4.4 f).</t>
  </si>
  <si>
    <t>Implement on the corporate website: provide the web URI of the acknowledgements page; include it in the quarterly security.txt/contact check.</t>
  </si>
  <si>
    <t>TR3-4.2.5b</t>
  </si>
  <si>
    <t>This listing SHOULD be introduced with the comment # Our security acknowledgements page.</t>
  </si>
  <si>
    <t>Implement on the corporate website: introduce it with '# Our security acknowledgements page'; include it in the quarterly security.txt/contact check.</t>
  </si>
  <si>
    <t>TR3-4.2.6a</t>
  </si>
  <si>
    <t>4.2.6 Preferred languages</t>
  </si>
  <si>
    <t>The manufacturer MUST specify the preferred languages for incoming vulnerability reports.</t>
  </si>
  <si>
    <t>Preferred-Languages field in the template.</t>
  </si>
  <si>
    <t>Implement on the corporate website: specify the preferred languages for incoming reports; include it in the quarterly security.txt/contact check.</t>
  </si>
  <si>
    <t>TR3-4.2.6b</t>
  </si>
  <si>
    <t>At least the language tag for English (en) MUST be specified.</t>
  </si>
  <si>
    <t>Template value; implies English-capable PSIRT (see 4.3.1 n).</t>
  </si>
  <si>
    <t>Implement on the corporate website: include at least the language tag 'en'; include it in the quarterly security.txt/contact check.</t>
  </si>
  <si>
    <t>TR3-4.2.6c</t>
  </si>
  <si>
    <t>This listing SHOULD be introduced with the comment # Our preferred languages.</t>
  </si>
  <si>
    <t>Implement on the corporate website: introduce it with '# Our preferred languages'; include it in the quarterly security.txt/contact check.</t>
  </si>
  <si>
    <t>TR3-4.2.7a</t>
  </si>
  <si>
    <t>4.2.7 CVD policy</t>
  </si>
  <si>
    <t>The manufacturer MUST provide the web URI (according to RFC 7230 section 2.7.2) to the web page of its CVD policy.</t>
  </si>
  <si>
    <t>Policy field requires the published CVD policy page (4.5.2).</t>
  </si>
  <si>
    <t>Implement on the corporate website: provide the web URI of the CVD policy page; include it in the quarterly security.txt/contact check.</t>
  </si>
  <si>
    <t>TR3-4.2.7b</t>
  </si>
  <si>
    <t>This SHOULD be introduced with the comment # Our security policy.</t>
  </si>
  <si>
    <t>Implement on the corporate website: introduce it with '# Our security policy'; include it in the quarterly security.txt/contact check.</t>
  </si>
  <si>
    <t>TR3-4.2.8a</t>
  </si>
  <si>
    <t>4.2.8 Security advisories</t>
  </si>
  <si>
    <t>The manufacturer SHOULD provide the web URI (according to RFC 7230 section 2.7.2) of the file provider-metadata.json for CSAF documents.</t>
  </si>
  <si>
    <t>Requires a CSAF provider (see 3.1.5); otherwise the field stays empty.</t>
  </si>
  <si>
    <t>Implement on the corporate website: provide the URI of the CSAF provider-metadata.json; include it in the quarterly security.txt/contact check.</t>
  </si>
  <si>
    <t>TR3-4.2.8b</t>
  </si>
  <si>
    <t>This statement MUST begin with the tag CSAF:</t>
  </si>
  <si>
    <t>Formatting rule when the CSAF entry is used.</t>
  </si>
  <si>
    <t>Implement on the corporate website: the advisory statement must begin with the tag 'CSAF:'; include it in the quarterly security.txt/contact check.</t>
  </si>
  <si>
    <t>TR3-4.2.8c</t>
  </si>
  <si>
    <t>This statement SHOULD be introduced with the comment # Our security advisories.</t>
  </si>
  <si>
    <t>Implement on the corporate website: introduce it with '# Our security advisories'; include it in the quarterly security.txt/contact check.</t>
  </si>
  <si>
    <t>TR3-4.2.9a-a</t>
  </si>
  <si>
    <t>4.2.9 Expiry date</t>
  </si>
  <si>
    <t>The manufacturer MUST specify the expiry date of the security.txt according to RFC 3339.</t>
  </si>
  <si>
    <t>Expires field; renewal date tracked in the PSIRT calendar.</t>
  </si>
  <si>
    <t>Implement on the corporate website: specify the security.txt expiry date according to RFC 3339; include it in the quarterly security.txt/contact check.</t>
  </si>
  <si>
    <t>TR3-4.2.9a-b</t>
  </si>
  <si>
    <t>The separator "T" MUST be upper cases […]</t>
  </si>
  <si>
    <t>Formatting rule for the Expires value.</t>
  </si>
  <si>
    <t>Implement on the corporate website: the date-time separator 'T' must be upper case; include it in the quarterly security.txt/contact check.</t>
  </si>
  <si>
    <t>TR3-4.2.9a-c</t>
  </si>
  <si>
    <t>[…] other separators MUST NOT be used.</t>
  </si>
  <si>
    <t>Implement on the corporate website: no other date-time separators may be used; include it in the quarterly security.txt/contact check.</t>
  </si>
  <si>
    <t>TR3-4.2.9a-d</t>
  </si>
  <si>
    <t>The time zone indicator "Z" MUST be upper case as well, if applicable.</t>
  </si>
  <si>
    <t>Implement on the corporate website: the time zone indicator 'Z' must be upper case; include it in the quarterly security.txt/contact check.</t>
  </si>
  <si>
    <t>TR3-4.2.9b</t>
  </si>
  <si>
    <t>This value SHOULD be at the maximum of one year in the future.</t>
  </si>
  <si>
    <t>Annual renewal at minimum, aligned with the quarterly review.</t>
  </si>
  <si>
    <t>Implement on the corporate website: set the expiry at most one year in the future; include it in the quarterly security.txt/contact check.</t>
  </si>
  <si>
    <t>TR3-4.2.9c</t>
  </si>
  <si>
    <t>The manufacturer MUST check the information in the security.txt at least quarterly and correct or supplement it if necessary.</t>
  </si>
  <si>
    <t>New recurring control (quarterly review with record) in the PSIRT calendar; failures must be corrected.</t>
  </si>
  <si>
    <t>Schedule a quarterly security.txt review (fields, keys, links, expiry, signature) with a signed-off record.</t>
  </si>
  <si>
    <t>TR3-4.2.10a</t>
  </si>
  <si>
    <t>4.2.10 Digital signature</t>
  </si>
  <si>
    <t>The manufacturer MUST digitally sign its security.txt using OpenPGP according to RFC 9580.</t>
  </si>
  <si>
    <t>Each security.txt change needs a signing step with a controlled OpenPGP key; signing procedure and key custody have to be defined.</t>
  </si>
  <si>
    <t>Implement on the corporate website: digitally sign security.txt with OpenPGP (RFC 9580); include it in the quarterly security.txt/contact check.</t>
  </si>
  <si>
    <t>TR3-4.2.10b</t>
  </si>
  <si>
    <t>The manufacturer SHOULD use dedicated OpenPGP keys for signing the security.txt according to RFC 9580.</t>
  </si>
  <si>
    <t>Generate a separate signing key; small key-management addition.</t>
  </si>
  <si>
    <t>Implement on the corporate website: use dedicated OpenPGP keys for signing security.txt; include it in the quarterly security.txt/contact check.</t>
  </si>
  <si>
    <t>TR3-4.2.10c</t>
  </si>
  <si>
    <t>The corresponding OpenPGP public key MUST be made available (see section 4.5.3).</t>
  </si>
  <si>
    <t>Publish the signing public key on the reporting page (4.5.3 c/d).</t>
  </si>
  <si>
    <t>Implement on the corporate website: make the corresponding OpenPGP public key available; include it in the quarterly security.txt/contact check.</t>
  </si>
  <si>
    <t>TR3-4.2.10d</t>
  </si>
  <si>
    <t>The manufacturer MUST ensure that the digital signature complies with the requirements of the current BSI TR-03116 Part 4 or the current ECCG Agreed Cryptographic Mechanisms.</t>
  </si>
  <si>
    <t>Key algorithm/length must be chosen from TR-03116-4 or ECCG lists and re-checked when those documents change.</t>
  </si>
  <si>
    <t>Implement on the corporate website: the signature must comply with BSI TR-03116-4 or ECCG Agreed Cryptographic Mechanisms; include it in the quarterly security.txt/contact check.</t>
  </si>
  <si>
    <t>TR3-4.2.10e</t>
  </si>
  <si>
    <t>Unless the validity period of the keys, mentioned in b, is specified otherwise in the current BSI TR-03116 Part 4 or the current ECCG Agreed Cryptographic Mechanisms, it MUST not exceed five years.</t>
  </si>
  <si>
    <t>Key expiry set to max. five years; renewal tracked in the key inventory.</t>
  </si>
  <si>
    <t>Implement on the corporate website: signing key validity must not exceed five years unless TR-03116-4/ECCG say otherwise; include it in the quarterly security.txt/contact check.</t>
  </si>
  <si>
    <t>TR3-4.2.11a-a</t>
  </si>
  <si>
    <t>4.2.11 Visibility for web crawlers</t>
  </si>
  <si>
    <t>The manufacturer MUST ensure that the security.txt can be found automatically (i.e. by web crawlers, e.g. from findsecuritycontacts.com and internet.nl). […]</t>
  </si>
  <si>
    <t>Bot protection and WAF must allow known security crawlers to fetch the file; verify with findsecuritycontacts.com/internet.nl.</t>
  </si>
  <si>
    <t>Implement on the corporate website: security.txt must be findable automatically by web crawlers; include it in the quarterly security.txt/contact check.</t>
  </si>
  <si>
    <t>TR3-4.2.11a-b</t>
  </si>
  <si>
    <t>Hence, firewall rules and DDoS protection rules have to be adapted accordingly, if applicable.</t>
  </si>
  <si>
    <t>Corporate IT must add firewall/DDoS-protection exceptions for the security.txt path - cross-team change.</t>
  </si>
  <si>
    <t>Implement on the corporate website: adapt firewall and DDoS protection rules accordingly; include it in the quarterly security.txt/contact check.</t>
  </si>
  <si>
    <t>TR3-021</t>
  </si>
  <si>
    <t>4.3 Preliminary measures for a CVD process</t>
  </si>
  <si>
    <t>For an efficient and effective response process to vulnerability reports, this has to be organised in advance.</t>
  </si>
  <si>
    <t>PSIRT / CSIRT organisation</t>
  </si>
  <si>
    <t>Roles, mailboxes, keys, web form and procedures must exist before reports arrive - an up-front organisational set-up.</t>
  </si>
  <si>
    <t>PSIRT/CSIRT organisation, staffing, functional mailboxes, OpenPGP keys</t>
  </si>
  <si>
    <t>Set up and document: organise the response process for vulnerability reports in advance.</t>
  </si>
  <si>
    <t>PSIRT/CSIRT charter; role descriptions; staffing/on-call plan; mailbox and key inventory</t>
  </si>
  <si>
    <t>CISO / PSIRT Lead</t>
  </si>
  <si>
    <t>HR (staffing), corporate IT (mailboxes, keys); interface to 2. Development</t>
  </si>
  <si>
    <t>TR3-4.3.1a</t>
  </si>
  <si>
    <t>4.3.1 Roles of responsible cybersecurity contacts</t>
  </si>
  <si>
    <t>The manufacturer MUST create at least two roles of responsible cybersecurity contacts, its PSIRT and its CSIRT.</t>
  </si>
  <si>
    <t>A product PSIRT (and an infrastructure CSIRT) is the organisational core of CRA vulnerability handling and Art. 14 reporting; for most solution providers this is a new role/organisational change.</t>
  </si>
  <si>
    <t>Establish PSIRT (products, incl. RDPS) and CSIRT (corporate infrastructure) with charter, named members, deputies and management mandate.</t>
  </si>
  <si>
    <t>TR3-4.3.1b</t>
  </si>
  <si>
    <t>Unless the manufacturer is a microenterprise (see Article 3 paragraph 19 of the CRA), these roles MUST NOT be assigned to a single person, but MUST be divided among several different individuals.</t>
  </si>
  <si>
    <t>Requires staffing both roles with several people (no single point of failure) - budget and HR impact.</t>
  </si>
  <si>
    <t>Set up and document: PSIRT and CSIRT must not be one person; split across several individuals (unless microenterprise).</t>
  </si>
  <si>
    <t>Assumption: the company is not a microenterprise.</t>
  </si>
  <si>
    <t>TR3-4.3.1c-a</t>
  </si>
  <si>
    <t>The manufacturer MUST assign functional mailboxes to both roles […]</t>
  </si>
  <si>
    <t>Create psirt@/csirt@ functional mailboxes with retention and access rules.</t>
  </si>
  <si>
    <t>Set up and document: assign functional mailboxes to both roles.</t>
  </si>
  <si>
    <t>TR3-4.3.1c-b</t>
  </si>
  <si>
    <t>[…] and MUST ensure that the individuals involved in these roles have access to their corresponding functional mailbox.</t>
  </si>
  <si>
    <t>Mailbox access management, including deputies.</t>
  </si>
  <si>
    <t>Set up and document: ensure role members have access to their functional mailbox.</t>
  </si>
  <si>
    <t>TR3-4.3.1d</t>
  </si>
  <si>
    <t>These two roles MUST be divided on the basis of their assignment.</t>
  </si>
  <si>
    <t>Clear scope split: PSIRT = products/services, CSIRT = own infrastructure (incl. hosting of RDPS).</t>
  </si>
  <si>
    <t>Set up and document: divide the two roles on the basis of their assignment.</t>
  </si>
  <si>
    <t>TR3-4.3.1e</t>
  </si>
  <si>
    <t>These two roles MUST be in close contact, share their information among themselves and internal forward vulnerability cases between each other, if the case concerns the involvement of the other role.</t>
  </si>
  <si>
    <t>Hand-over procedure and shared case tooling between PSIRT and CSIRT.</t>
  </si>
  <si>
    <t>Set up and document: PSIRT and CSIRT must stay in close contact, share information and forward cases.</t>
  </si>
  <si>
    <t>TR3-4.3.1f</t>
  </si>
  <si>
    <t>The first cybersecurity contact MUST be the manufacturer's PSIRT, which covers the vulnerability handling of the manufacturer's products and services.</t>
  </si>
  <si>
    <t>PSIRT mandate must cover all solutions (incl. remote data processing services) delivered to government and airport customers.</t>
  </si>
  <si>
    <t>Set up and document: PSIRT is the first contact and covers vulnerability handling of products and services.</t>
  </si>
  <si>
    <t>TR3-4.3.1g-a</t>
  </si>
  <si>
    <t>The email address of the PSIRT functional mailbox MUST clearly indicate its function. […]</t>
  </si>
  <si>
    <t>Naming rule for the mailbox.</t>
  </si>
  <si>
    <t>Set up and document: PSIRT mailbox address must clearly indicate its function.</t>
  </si>
  <si>
    <t>TR3-4.3.1g-b</t>
  </si>
  <si>
    <t>Therefore, the local part of the email (email prefix) SHOULD be "psirt", e.g. psirt@example.com.</t>
  </si>
  <si>
    <t>Set up and document: PSIRT mailbox prefix should be 'psirt'.</t>
  </si>
  <si>
    <t>TR3-4.3.1h</t>
  </si>
  <si>
    <t>The second cybersecurity contact MUST be the manufacturer's CSIRT, which covers the vulnerability handling of the manufacturer's infrastructure.</t>
  </si>
  <si>
    <t>Corporate CSIRT must accept external reports about own infrastructure (e.g. hosting of remote data processing).</t>
  </si>
  <si>
    <t>Set up and document: CSIRT is the second contact and covers vulnerabilities of the manufacturer's infrastructure.</t>
  </si>
  <si>
    <t>TR3-4.3.1i-a</t>
  </si>
  <si>
    <t>The email address of the manufacturer's CSIRT functional mailbox MUST clearly indicate its function. […]</t>
  </si>
  <si>
    <t>Set up and document: CSIRT mailbox address must clearly indicate its function.</t>
  </si>
  <si>
    <t>TR3-4.3.1i-b</t>
  </si>
  <si>
    <t>Therefore, the local part of the email (email prefix) SHOULD be "csirt", e.g. csirt@example.com.</t>
  </si>
  <si>
    <t>Set up and document: CSIRT mailbox prefix should be 'csirt'.</t>
  </si>
  <si>
    <t>TR3-4.3.1j-a</t>
  </si>
  <si>
    <t>The manufacturer MUST use dedicated OpenPGP keys according to RFC 9580 for the respective email address of the functional mailboxes in accordance with the specifications of the current BSI TR-03116 Part 4 or the current ECCG Agreed Cryptographic Mechanisms […]</t>
  </si>
  <si>
    <t>Encryption of security contacts (OpenPGP)</t>
  </si>
  <si>
    <t>Key generation, custody and rotation for each mailbox, with algorithms from TR-03116-4/ECCG.</t>
  </si>
  <si>
    <t>Set up and document: use dedicated OpenPGP keys per functional mailbox per TR-03116-4 / ECCG.</t>
  </si>
  <si>
    <t>TR3-4.3.1j-b</t>
  </si>
  <si>
    <t>[…] and offer encrypted and signed communication with these keys.</t>
  </si>
  <si>
    <t>Mail tooling must support PGP encryption/signing for the PSIRT/CSIRT team; often not supported by default corporate mail clients.</t>
  </si>
  <si>
    <t>Set up and document: offer encrypted and signed communication with these keys.</t>
  </si>
  <si>
    <t>TR3-4.3.1k</t>
  </si>
  <si>
    <t>The manufacturer MAY provide additional encryption options for the respective email address of the functional mailboxes in accordance with the specifications of the current BSI TR-03116 Part 4 or the current ECCG Agreed Cryptographic Mechanisms and offer encrypted and signed communication with these keys, e.g. S/MIME.</t>
  </si>
  <si>
    <t>Optional S/MIME; some government reporters prefer it.</t>
  </si>
  <si>
    <t>Set up and document: additional encryption options (e.g. S/MIME) may be offered.</t>
  </si>
  <si>
    <t>TR3-4.3.1l</t>
  </si>
  <si>
    <t>Unless the validity period of the keys/certificates, mentioned in j and k, is specified otherwise in the current BSI TR-03116 Part 4 or the current ECCG Agreed Cryptographic Mechanisms, it MUST not exceed five years.</t>
  </si>
  <si>
    <t>Key expiry policy in the key inventory.</t>
  </si>
  <si>
    <t>Set up and document: mailbox key/certificate validity must not exceed five years unless specified otherwise.</t>
  </si>
  <si>
    <t>TR3-4.3.1m</t>
  </si>
  <si>
    <t>Unless the manufacturer is a microenterprise, the manufacturer SHOULD provide for both roles sufficient resources to compensate for any absences and to guarantee the response times and assurances from the CVD policy (see section 4.4).</t>
  </si>
  <si>
    <t>Deputy coverage and on-call capacity are needed to meet the 5/10 working-day response times (4.4.8); budgeted headcount.</t>
  </si>
  <si>
    <t>Set up and document: provide sufficient resources for absences and to guarantee CVD response times.</t>
  </si>
  <si>
    <t>TR3-4.3.1n</t>
  </si>
  <si>
    <t>The manufacturer MUST ensure for both roles that vulnerability reports can be at least received and processed in English.</t>
  </si>
  <si>
    <t>English-capable staffing for both roles.</t>
  </si>
  <si>
    <t>Set up and document: both roles must be able to receive and process reports in English.</t>
  </si>
  <si>
    <t>TR3-4.3.1o</t>
  </si>
  <si>
    <t>The manufacturer MUST clearly define for both roles the authorisations of those involved in these roles.</t>
  </si>
  <si>
    <t>Documented decision rights (e.g. to request fixes, approve disclosure, notify CSIRT).</t>
  </si>
  <si>
    <t>Set up and document: define the authorisations of role members.</t>
  </si>
  <si>
    <t>TR3-4.3.1p</t>
  </si>
  <si>
    <t>The manufacturer MUST clearly define for both roles the tasks of those involved in these roles.</t>
  </si>
  <si>
    <t>Role descriptions / RACI for PSIRT and CSIRT.</t>
  </si>
  <si>
    <t>Set up and document: define the tasks of role members.</t>
  </si>
  <si>
    <t>TR3-4.3.1q-a</t>
  </si>
  <si>
    <t>The manufacturer SHOULD ensure that the email addresses of the functional mailboxes have a high readiness to receive emails.</t>
  </si>
  <si>
    <t>Mailbox monitoring and quota/availability settings.</t>
  </si>
  <si>
    <t>Set up and document: functional mailboxes should have high readiness to receive emails.</t>
  </si>
  <si>
    <t>TR3-4.3.1q-b</t>
  </si>
  <si>
    <t>This SHOULD be tested, at least by (automatically) sending emails to the functional mailboxes from an external email address every day.</t>
  </si>
  <si>
    <t>Needs an automated daily external test with alerting and recorded results.</t>
  </si>
  <si>
    <t>Set up and document: test mailbox readiness daily by sending emails from an external address.</t>
  </si>
  <si>
    <t>TR3-4.3.2a</t>
  </si>
  <si>
    <t>4.3.2 Providing encryption options of security contacts</t>
  </si>
  <si>
    <t>[In the case the manufacturer provides the email addresses of the role-oriented contact options (see section 4.3.1) somewhere on its website […]] The manufacturer MUST provide the web URIs (according to RFC 7230 section 2.7.2) of the direct download locations of the corresponding OpenPGP public keys (mentioned in 4.3.1 j) in ASCII Armor according to RFC 9580 as .asc-files for these email addresses.</t>
  </si>
  <si>
    <t>Publish the .asc key files on the website.</t>
  </si>
  <si>
    <t>Implement on the corporate website: publish direct download URIs of the mailbox OpenPGP public keys as .asc files; include it in the quarterly security.txt/contact check.</t>
  </si>
  <si>
    <t>TR3-4.3.2b</t>
  </si>
  <si>
    <t>[In the case the manufacturer provides the email addresses of the role-oriented contact options (see section 4.3.1) somewhere on its website […]] The manufacturer MUST quote the fingerprints of the corresponding OpenPGP public keys of these email addresses.</t>
  </si>
  <si>
    <t>Fingerprints next to every published key.</t>
  </si>
  <si>
    <t>Implement on the corporate website: quote the fingerprints of the mailbox public keys; include it in the quarterly security.txt/contact check.</t>
  </si>
  <si>
    <t>TR3-4.3.2c</t>
  </si>
  <si>
    <t>[In the case the manufacturer provides the email addresses of the role-oriented contact options (see section 4.3.1) somewhere on its website […]] In the case additional encryption options (mentioned in 4.3.1 k) exist, the manufacturer SHOULD provide the web URIs (according to RFC 7230 section 2.7.2) of the direct download locations of the associated public keys or certificates of these additional encryption options and quote their fingerprints.</t>
  </si>
  <si>
    <t>Only if S/MIME etc. is offered.</t>
  </si>
  <si>
    <t>Implement on the corporate website: publish download URIs and fingerprints for additional encryption options; include it in the quarterly security.txt/contact check.</t>
  </si>
  <si>
    <t>TR3-4.3.2d</t>
  </si>
  <si>
    <t>[In the case the manufacturer provides the email addresses of the role-oriented contact options (see section 4.3.1) somewhere on its website […]] The web URIs (mentioned in a and c) MUST link directly to the public keys or certificates and MUST NOT link to a web page with a download option of the public keys or certificates.</t>
  </si>
  <si>
    <t>Link-format rule for the published keys.</t>
  </si>
  <si>
    <t>Implement on the corporate website: key URIs must link directly to the key files, not to a download page; include it in the quarterly security.txt/contact check.</t>
  </si>
  <si>
    <t>TR3-4.3.3a-a</t>
  </si>
  <si>
    <t>4.3.3 Web form for vulnerability reports</t>
  </si>
  <si>
    <t>The manufacturer MUST set up as contact option a web form for vulnerability reports. […]</t>
  </si>
  <si>
    <t>Vulnerability report web form</t>
  </si>
  <si>
    <t>A secure report web form (no third-party components, minimal logging, anonymity, back-end into PSIRT ticketing) is new web capability.</t>
  </si>
  <si>
    <t>Build the report web form with a secure back-end into PSIRT case tooling; no trackers; anonymous submission possible.</t>
  </si>
  <si>
    <t>TR3-4.3.3a-b</t>
  </si>
  <si>
    <t>[…] Therefore, a web page with this web form on its website has to be created.</t>
  </si>
  <si>
    <t>Hosting page for the form on the corporate website.</t>
  </si>
  <si>
    <t>Implement on the corporate website: create a web page with this web form on the website; include it in the quarterly security.txt/contact check.</t>
  </si>
  <si>
    <t>TR3-4.3.3b</t>
  </si>
  <si>
    <t>The web page with this web form MUST be part of the website of the manufacturer.</t>
  </si>
  <si>
    <t>No external form services; host on own domain.</t>
  </si>
  <si>
    <t>Implement on the corporate website: the web form page must be part of the manufacturer's website; include it in the quarterly security.txt/contact check.</t>
  </si>
  <si>
    <t>TR3-4.3.3c</t>
  </si>
  <si>
    <t>This web form MUST allow to anonymously submit vulnerability reports.</t>
  </si>
  <si>
    <t>Form must not force identification; contact fields optional.</t>
  </si>
  <si>
    <t>the web form must allow anonymous submission - configure the form and logging accordingly and record the privacy review.</t>
  </si>
  <si>
    <t>TR3-4.3.3d-a</t>
  </si>
  <si>
    <t>This web form MUST be localised. […]</t>
  </si>
  <si>
    <t>Language versions of the form.</t>
  </si>
  <si>
    <t>Implement on the corporate website: the web form must be localised; include it in the quarterly security.txt/contact check.</t>
  </si>
  <si>
    <t>TR3-4.3.3d-b</t>
  </si>
  <si>
    <t>[…] At least, an English version MUST be offered.</t>
  </si>
  <si>
    <t>English form version.</t>
  </si>
  <si>
    <t>Implement on the corporate website: offer at least an English version of the form; include it in the quarterly security.txt/contact check.</t>
  </si>
  <si>
    <t>TR3-4.3.3e</t>
  </si>
  <si>
    <t>This web form SHOULD guide the user through the vulnerability report in a structured manner to ensure that all essential information is entered.</t>
  </si>
  <si>
    <t>Structured fields (product, version, impact, PoC) speed up triage.</t>
  </si>
  <si>
    <t>Implement on the corporate website: guide the reporter through a structured report; include it in the quarterly security.txt/contact check.</t>
  </si>
  <si>
    <t>TR3-4.3.3f-a</t>
  </si>
  <si>
    <t>This web form SHOULD have a high availability. […]</t>
  </si>
  <si>
    <t>Availability target for the form hosting.</t>
  </si>
  <si>
    <t>Implement on the corporate website: the web form should be highly available; include it in the quarterly security.txt/contact check.</t>
  </si>
  <si>
    <t>TR3-4.3.3f-b</t>
  </si>
  <si>
    <t>[…] This SHOULD be tested, at least by (automatically) filling in and submitting the web form every day.</t>
  </si>
  <si>
    <t>Automated daily synthetic submission with alerting and recorded results.</t>
  </si>
  <si>
    <t>Implement on the corporate website: test the web form daily by filling in and submitting it; include it in the quarterly security.txt/contact check.</t>
  </si>
  <si>
    <t>TR3-4.3.4a</t>
  </si>
  <si>
    <t>4.3.4 Web page for incoming vulnerability reports</t>
  </si>
  <si>
    <t>The manufacturer MUST create a central web page for vulnerability reporting (see section 4.5).</t>
  </si>
  <si>
    <t>Vulnerability reporting web page</t>
  </si>
  <si>
    <t>The central reporting page is how the CRA single point of contact / contact address for vulnerability reports (Annex I Part II(6)) is made public; without it the reporting duty to users cannot be met.</t>
  </si>
  <si>
    <t>Publish the central vulnerability reporting page (contacts, keys, web form, CVD policy link) and link it from the home page.</t>
  </si>
  <si>
    <t>TR3-022</t>
  </si>
  <si>
    <t>4.4 CVD policy</t>
  </si>
  <si>
    <t>Therefore, the manufacturer's CVD policy MUST fulfil at least the requirements mentioned below […]</t>
  </si>
  <si>
    <t>CVD policy - content</t>
  </si>
  <si>
    <t>A published, enforced CVD policy is a CRA essential requirement (Annex I Part II(5)); writing, approving and operating it is a new capability for RUN.</t>
  </si>
  <si>
    <t>Draft, approve (Legal, management) and publish the CVD policy covering every 4.4.x item; assign an owner and review cycle.</t>
  </si>
  <si>
    <t>TR3-023</t>
  </si>
  <si>
    <t>The addition of a reward programme to the CVD policy is therefore RECOMMENDED (see recital 76 of the CRA).</t>
  </si>
  <si>
    <t>RECOMMENDED</t>
  </si>
  <si>
    <t>CVD policy - incentives</t>
  </si>
  <si>
    <t>Management decision on Hall of Fame and/or bug bounty; optional budget.</t>
  </si>
  <si>
    <t>Write into the CVD policy / PSIRT procedure and apply in case handling: add a reward programme (bug bounty / Hall of Fame) to the CVD policy.</t>
  </si>
  <si>
    <t>TR3-4.4.1a</t>
  </si>
  <si>
    <t>4.4.1 General</t>
  </si>
  <si>
    <t>The manufacturer MUST ensure that the last modification date (in the first version the creation date) of the CVD policy is clearly visible.</t>
  </si>
  <si>
    <t>Version/date line on the policy page.</t>
  </si>
  <si>
    <t>Write into the CVD policy / PSIRT procedure and apply in case handling: show the last modification (or creation) date of the CVD policy.</t>
  </si>
  <si>
    <t>TR3-4.4.1b</t>
  </si>
  <si>
    <t>The manufacturer MUST ensure that the CVD policy is clearly assignable to the manufacturer.</t>
  </si>
  <si>
    <t>Company name/legal entity on the policy.</t>
  </si>
  <si>
    <t>Write into the CVD policy / PSIRT procedure and apply in case handling: the CVD policy must be clearly assignable to the manufacturer.</t>
  </si>
  <si>
    <t>TR3-4.4.1c</t>
  </si>
  <si>
    <t>The manufacturer MUST review the CVD policy at least yearly to ensure that it is up to date.</t>
  </si>
  <si>
    <t>Annual review cycle with documented approval.</t>
  </si>
  <si>
    <t>Write into the CVD policy / PSIRT procedure and apply in case handling: review the CVD policy at least yearly.</t>
  </si>
  <si>
    <t>TR3-4.4.2a</t>
  </si>
  <si>
    <t>4.4.2 Corresponding national CSIRT</t>
  </si>
  <si>
    <t>[In the case of actively exploited vulnerabilities affecting one of the manufacturer's products or the manufacturer's infrastructure,] the manufacturer MUST notify without undue delay its corresponding national CSIRT (see section 3.1.7) when it becomes aware of them and</t>
  </si>
  <si>
    <t>Incident &amp; vulnerability reporting (CSIRT)</t>
  </si>
  <si>
    <t>Mirrors the CRA Art. 14 duty that applies since 11 Sep 2026 - also to solutions already installed at airports/governments; needs a 24/7-capable detection-to-notification procedure and named reporters.</t>
  </si>
  <si>
    <t>Implement the actively-exploited-vulnerability notification procedure (awareness criteria, 24h/72h/14-day timeline, single reporting platform account, CSIRT contact, approvals) and rehearse it.</t>
  </si>
  <si>
    <t>TR3-4.4.2b-a</t>
  </si>
  <si>
    <t>[In the case of actively exploited vulnerabilities affecting one of the manufacturer's products or the manufacturer's infrastructure,] the manufacturer MUST inform its corresponding national CSIRT about all new information, mitigation measures and their schedules […]</t>
  </si>
  <si>
    <t>Follow-up updates to the CSIRT for each case (new facts, mitigations, patch schedule) must be part of the case workflow.</t>
  </si>
  <si>
    <t>inform the CSIRT about all new information, mitigation measures and their schedules - document it in the PSIRT notification procedure and keep a case log.</t>
  </si>
  <si>
    <t>TR3-4.4.2b-b</t>
  </si>
  <si>
    <t>[In the case of actively exploited vulnerabilities affecting one of the manufacturer's products or the manufacturer's infrastructure,] […] and coordinate these with its corresponding national CSIRT.</t>
  </si>
  <si>
    <t>Mitigation and patch timelines must be agreed with the CSIRT, which can affect customer roll-out plans.</t>
  </si>
  <si>
    <t>coordinate mitigation measures and schedules with the CSIRT - document it in the PSIRT notification procedure and keep a case log.</t>
  </si>
  <si>
    <t>TR3-4.4.3a-a</t>
  </si>
  <si>
    <t>4.4.3 Contact details</t>
  </si>
  <si>
    <t>The manufacturer MUST provide the email addresses of the functional mailboxes of the roleoriented contact options […]</t>
  </si>
  <si>
    <t>Contact block in the policy.</t>
  </si>
  <si>
    <t>Write into the CVD policy / PSIRT procedure and apply in case handling: state the functional mailbox addresses of PSIRT/CSIRT in the CVD policy.</t>
  </si>
  <si>
    <t>TR3-4.4.3a-b</t>
  </si>
  <si>
    <t>Key links and fingerprints in the policy.</t>
  </si>
  <si>
    <t>Write into the CVD policy / PSIRT procedure and apply in case handling: apply the key publication rules of 4.3.2 in the CVD policy.</t>
  </si>
  <si>
    <t>TR3-4.4.4a</t>
  </si>
  <si>
    <t>4.4.4 Assurances of the manufacturer to the reporting entity</t>
  </si>
  <si>
    <t>The manufacturer MUST ensure that each incoming vulnerability report is treated confidential to the extent permitted by law. However, information required for the public disclosure of the vulnerability (see section 4.4.10) is exempt.</t>
  </si>
  <si>
    <t>CVD policy - assurances to reporters</t>
  </si>
  <si>
    <t>Need-to-know access control on PSIRT case data and mailboxes; reports may contain customer-site details of airports/government bodies.</t>
  </si>
  <si>
    <t>Write into the CVD policy / PSIRT procedure and apply in case handling: treat each incoming report confidentially to the extent permitted by law.</t>
  </si>
  <si>
    <t>TR3-4.4.4b</t>
  </si>
  <si>
    <t>The manufacturer MUST ensure that personal data of the reporting entity will not be disclosed to third parties without the explicit consent of the reporting entity.</t>
  </si>
  <si>
    <t>GDPR-aligned handling of reporter data, including when forwarding to suppliers or the CSIRT.</t>
  </si>
  <si>
    <t>Write into the CVD policy / PSIRT procedure and apply in case handling: do not disclose reporter personal data to third parties without explicit consent.</t>
  </si>
  <si>
    <t>TR3-4.4.4c</t>
  </si>
  <si>
    <t>The manufacturer MUST ensure that a response to each incoming vulnerability report or update of a previously submitted vulnerability report is provided within the guaranteed response times (see section 4.4.8).</t>
  </si>
  <si>
    <t>Response-time SLAs need staffing, case tooling with timers and escalation.</t>
  </si>
  <si>
    <t>Write into the CVD policy / PSIRT procedure and apply in case handling: respond to each report or update within the guaranteed response times.</t>
  </si>
  <si>
    <t>TR3-4.4.4d</t>
  </si>
  <si>
    <t>The manufacturer MUST ensure that no criminal charges will be pursued against the reporting entity as long as this policy and its principles have been complied with by the notifying entity. This does not apply if recognizable criminal intentions have been or are being pursued.</t>
  </si>
  <si>
    <t>A safe-harbour commitment needs Legal and management approval and may need alignment with customer contracts and national law.</t>
  </si>
  <si>
    <t>Write into the CVD policy / PSIRT procedure and apply in case handling: no criminal charges against good-faith reporters who comply with the policy.</t>
  </si>
  <si>
    <t>TR3-4.4.4e</t>
  </si>
  <si>
    <t>The manufacturer MUST ensure that it is available as a contact for a trustful exchange throughout the entire CVD process.</t>
  </si>
  <si>
    <t>Continuity of the PSIRT contact per case, including absences.</t>
  </si>
  <si>
    <t>Write into the CVD policy / PSIRT procedure and apply in case handling: remain available as a contact throughout the CVD process.</t>
  </si>
  <si>
    <t>TR3-4.4.4f</t>
  </si>
  <si>
    <t>The manufacturer SHOULD ensure that, if requested by the reporting entity, the name/alias and a desired reference of the reporting entity will be published in accordance to manufacturer's CVD policy on the manufacturer's acknowledgement web page (Hall of Fame) after reporting a valid vulnerability and completion of the CVD process.</t>
  </si>
  <si>
    <t>Optional acknowledgement page.</t>
  </si>
  <si>
    <t>Write into the CVD policy / PSIRT procedure and apply in case handling: on request publish the reporter's name/alias on a Hall of Fame page after a valid report.</t>
  </si>
  <si>
    <t>TR3-4.4.4g</t>
  </si>
  <si>
    <t>The manufacturer MUST NOT require the reporting entity to sign a non-disclosure agreement (NDA).</t>
  </si>
  <si>
    <t>Removes NDA-first practices; Legal must adapt researcher-handling templates.</t>
  </si>
  <si>
    <t>Write into the CVD policy / PSIRT procedure and apply in case handling: do not require reporters to sign an NDA.</t>
  </si>
  <si>
    <t>TR3-4.4.4h</t>
  </si>
  <si>
    <t>The manufacturer MUST recommend the reporting entity to use an encrypted and digitally signed email for the transmission of confidential information.</t>
  </si>
  <si>
    <t>Sentence in the policy plus published keys.</t>
  </si>
  <si>
    <t>Write into the CVD policy / PSIRT procedure and apply in case handling: recommend encrypted and signed email for confidential information.</t>
  </si>
  <si>
    <t>TR3-024</t>
  </si>
  <si>
    <t>4.4.5 Vulnerability guideline</t>
  </si>
  <si>
    <t>The manufacturer MUST publish a vulnerability guideline, e.g. as part of the CVD policy, in which it defines what it regards as be a valid vulnerability.</t>
  </si>
  <si>
    <t>CVD policy - vulnerability guideline</t>
  </si>
  <si>
    <t>Published validity criteria (scope of products/infrastructure) drive triage decisions.</t>
  </si>
  <si>
    <t>Write into the CVD policy / PSIRT procedure and apply in case handling: publish a vulnerability guideline defining what counts as a valid vulnerability.</t>
  </si>
  <si>
    <t>TR3-025</t>
  </si>
  <si>
    <t>It SHOULD consider only the following requirements for its classification of a valid vulnerability:</t>
  </si>
  <si>
    <t>Keeps validity criteria narrow and transparent.</t>
  </si>
  <si>
    <t>Write into the CVD policy / PSIRT procedure and apply in case handling: consider only the listed criteria to classify a valid vulnerability.</t>
  </si>
  <si>
    <t>TR3-4.4.5a</t>
  </si>
  <si>
    <t>The vulnerability MUST affect one of the manufacturer's products or the manufacturer's infrastructure.</t>
  </si>
  <si>
    <t>Scope criterion in the guideline; requires a public list of products in scope.</t>
  </si>
  <si>
    <t>Write into the CVD policy / PSIRT procedure and apply in case handling: a valid vulnerability must affect the manufacturer's products or infrastructure.</t>
  </si>
  <si>
    <t>TR3-4.4.5b</t>
  </si>
  <si>
    <t>The vulnerability report SHOULD relate to publicly unknown information.</t>
  </si>
  <si>
    <t>Criterion in the guideline.</t>
  </si>
  <si>
    <t>Write into the CVD policy / PSIRT procedure and apply in case handling: the report should relate to publicly unknown information.</t>
  </si>
  <si>
    <t>TR3-4.4.5c</t>
  </si>
  <si>
    <t>The vulnerability report MAY not be a result of automated tools or scans without supporting documentation.</t>
  </si>
  <si>
    <t>Optional criterion that filters scanner noise.</t>
  </si>
  <si>
    <t>Write into the CVD policy / PSIRT procedure and apply in case handling: reports may be required not to be bare automated-scan output.</t>
  </si>
  <si>
    <t>TR3-026</t>
  </si>
  <si>
    <t>4.4.6 Code of conduct for the reporting entity</t>
  </si>
  <si>
    <t>In order to only reward reporters with no malicious intent for purposes of good faith, the manufacturer MAY publish a code of conduct with expected behaviour of the reporting entity and the consequences of non-compliance.</t>
  </si>
  <si>
    <t>CVD policy - code of conduct</t>
  </si>
  <si>
    <t>Optional policy section.</t>
  </si>
  <si>
    <t>Write into the CVD policy / PSIRT procedure and apply in case handling: a code of conduct for reporters may be published.</t>
  </si>
  <si>
    <t>TR3-027</t>
  </si>
  <si>
    <t>But the manufacturer MUST ensure that reports from non-compliant entities are still treated to the best extend possible.</t>
  </si>
  <si>
    <t>Triage cannot be refused because of reporter behaviour; the vulnerability still has to be handled.</t>
  </si>
  <si>
    <t>Write into the CVD policy / PSIRT procedure and apply in case handling: still treat reports from non-compliant reporters to the best extent possible.</t>
  </si>
  <si>
    <t>TR3-4.4.6a</t>
  </si>
  <si>
    <t>[The code of conduct MAY contain the following points:] No abuse of the reported vulnerability by the reporting entity. That means that no damage has been caused beyond the reported vulnerability.</t>
  </si>
  <si>
    <t>Optional code-of-conduct clause.</t>
  </si>
  <si>
    <t>Write into the CVD policy / PSIRT procedure and apply in case handling: code of conduct point: no abuse of the reported vulnerability.</t>
  </si>
  <si>
    <t>TR3-4.4.6b</t>
  </si>
  <si>
    <t>[The code of conduct MAY contain the following points:] No attacks (such as social engineering, spam, (distributed) DoS or "brute force" attacks, etc.) were carried out against manufacturer's IT systems or infrastructures by the reporting entity.</t>
  </si>
  <si>
    <t>Write into the CVD policy / PSIRT procedure and apply in case handling: code of conduct point: no attacks on manufacturer systems.</t>
  </si>
  <si>
    <t>TR3-4.4.6c</t>
  </si>
  <si>
    <t>[The code of conduct MAY contain the following points:] No manipulation, compromise or modification of possible systems or data of third parties was carried out by the reporting entity.</t>
  </si>
  <si>
    <t>Write into the CVD policy / PSIRT procedure and apply in case handling: code of conduct point: no manipulation of third-party systems or data.</t>
  </si>
  <si>
    <t>TR3-4.4.6d</t>
  </si>
  <si>
    <t>[The code of conduct MAY contain the following points:] No tools for exploiting vulnerabilities have been offered, e.g. on darknet markets, by the reporting entity for a fee or free of charge that third parties could use to commit crimes.</t>
  </si>
  <si>
    <t>Write into the CVD policy / PSIRT procedure and apply in case handling: code of conduct point: no offering of exploitation tools.</t>
  </si>
  <si>
    <t>TR3-4.4.6e</t>
  </si>
  <si>
    <t>[The code of conduct MAY contain the following points:] No offense regarding section 4.4.7 c by the reporting entity, e.g. in the name/alias or the desired reference for publication on the manufacturer's acknowledgement web page.</t>
  </si>
  <si>
    <t>Write into the CVD policy / PSIRT procedure and apply in case handling: code of conduct point: no offence regarding respectful communication.</t>
  </si>
  <si>
    <t>TR3-4.4.6NCa</t>
  </si>
  <si>
    <t>4.4.6 Code of conduct for the reporting entity (consequences, item a)</t>
  </si>
  <si>
    <t>[The consequences of non-compliance MAY include the following points:] The reporting entity does not receive any rewards, e.g. from a bug bounty programme.</t>
  </si>
  <si>
    <t>Optional consequence clause.</t>
  </si>
  <si>
    <t>Write into the CVD policy / PSIRT procedure and apply in case handling: consequence of non-compliance: no rewards.</t>
  </si>
  <si>
    <t>ID disambiguated: the source re-uses letters a/b for the list of consequences in 4.4.6.</t>
  </si>
  <si>
    <t>TR3-4.4.6NCb</t>
  </si>
  <si>
    <t>4.4.6 Code of conduct for the reporting entity (consequences, item b)</t>
  </si>
  <si>
    <t>[The consequences of non-compliance MAY include the following points:] The reporting entity will not be listed on the acknowledgement web page (Hall of Fame).</t>
  </si>
  <si>
    <t>Write into the CVD policy / PSIRT procedure and apply in case handling: consequence of non-compliance: no Hall of Fame listing.</t>
  </si>
  <si>
    <t>TR3-4.4.7a</t>
  </si>
  <si>
    <t>4.4.7 Good communication</t>
  </si>
  <si>
    <t>The manufacturer SHOULD ensure that the information reported, on vulnerabilities that have already been remedied, is nevertheless received and checked, even if this report does not qualify for further processing as part of a CVD process.</t>
  </si>
  <si>
    <t>CVD policy - communication</t>
  </si>
  <si>
    <t>Triage rule for duplicates/fixed issues.</t>
  </si>
  <si>
    <t>Write into the CVD policy / PSIRT procedure and apply in case handling: still receive and check reports on already remedied vulnerabilities.</t>
  </si>
  <si>
    <t>TR3-4.4.7b</t>
  </si>
  <si>
    <t>The manufacturer SHOULD explain that good communication is important for vulnerability reports and that at least one valid contact option (preferably an email address) should be provided by the reporting entity for any queries.</t>
  </si>
  <si>
    <t>Policy wording.</t>
  </si>
  <si>
    <t>Write into the CVD policy / PSIRT procedure and apply in case handling: explain the importance of good communication and ask for a valid contact option.</t>
  </si>
  <si>
    <t>TR3-4.4.7c</t>
  </si>
  <si>
    <t>The manufacturer SHOULD clearly emphasise that all involved entities treat each other with respect and that there is no room for unacceptable behaviour, e.g. discrimination, sexism or insults.</t>
  </si>
  <si>
    <t>Write into the CVD policy / PSIRT procedure and apply in case handling: emphasise respectful treatment and no room for unacceptable behaviour.</t>
  </si>
  <si>
    <t>TR3-4.4.7d</t>
  </si>
  <si>
    <t>The manufacturer SHOULD declare which contact options are accepted.</t>
  </si>
  <si>
    <t>Write into the CVD policy / PSIRT procedure and apply in case handling: declare which contact options are accepted.</t>
  </si>
  <si>
    <t>TR3-4.4.7e</t>
  </si>
  <si>
    <t>The manufacturer MUST accept at least email addresses and telephone numbers as valid contact options.</t>
  </si>
  <si>
    <t>PSIRT must be able to call back reporters by phone - staffing and call logging.</t>
  </si>
  <si>
    <t>Write into the CVD policy / PSIRT procedure and apply in case handling: accept at least email addresses and telephone numbers as reporter contact options.</t>
  </si>
  <si>
    <t>TR3-4.4.7f</t>
  </si>
  <si>
    <t>The manufacturer SHOULD point out that enquiries from the reporting entity about the status of the reported vulnerability are welcome.</t>
  </si>
  <si>
    <t>Write into the CVD policy / PSIRT procedure and apply in case handling: welcome status enquiries from reporters.</t>
  </si>
  <si>
    <t>TR3-4.4.7g</t>
  </si>
  <si>
    <t>The manufacturer MUST ensure that all incoming reports are treated to the best extend possible and cannot be closed by a single analyst to avoid missing valid vulnerabilities.</t>
  </si>
  <si>
    <t>Four-eyes closure rule must be enforced in the case tooling and staffed with at least two analysts.</t>
  </si>
  <si>
    <t>Write into the CVD policy / PSIRT procedure and apply in case handling: treat all reports to the best extent and ensure no single analyst can close a report.</t>
  </si>
  <si>
    <t>TR3-4.4.8a-a</t>
  </si>
  <si>
    <t>4.4.8 Guaranteed response times</t>
  </si>
  <si>
    <t>The manufacturer MUST ensure that a simple response to a vulnerability report or an update of an existing report is provided within five working days, unless a vulnerability was reported anonymously. […]</t>
  </si>
  <si>
    <t>CVD policy - response times</t>
  </si>
  <si>
    <t>Five-working-day response SLA needs monitored queues, deputies and escalation.</t>
  </si>
  <si>
    <t>Write into the CVD policy / PSIRT procedure and apply in case handling: give a simple response within five working days (not for anonymous reports).</t>
  </si>
  <si>
    <t>TR3-4.4.8a-b</t>
  </si>
  <si>
    <t>[…] This simple response MUST NOT be an automated response.</t>
  </si>
  <si>
    <t>A human acknowledgement is needed for every report.</t>
  </si>
  <si>
    <t>Write into the CVD policy / PSIRT procedure and apply in case handling: the simple response must not be automated.</t>
  </si>
  <si>
    <t>TR3-4.4.8b</t>
  </si>
  <si>
    <t>The manufacturer MUST ensure that detailed feedback after further analysis is provided within ten working days, unless a vulnerability was reported anonymously.</t>
  </si>
  <si>
    <t>Ten-working-day analysis SLA requires engineering support capacity for triage across all products.</t>
  </si>
  <si>
    <t>Write into the CVD policy / PSIRT procedure and apply in case handling: give detailed feedback after analysis within ten working days (not for anonymous reports).</t>
  </si>
  <si>
    <t>TR3-4.4.8c</t>
  </si>
  <si>
    <t>This detailed feedback MUST include at least either - a statement of the manufacturer as to whether it confirms or rejects the reported vulnerability, - meaningful queries to understand the reported vulnerability or - an explanation why the investigation of the reported vulnerability is taking longer, along with a commitment to provide an update within ten working days.</t>
  </si>
  <si>
    <t>Response templates covering the three allowed feedback types.</t>
  </si>
  <si>
    <t>Write into the CVD policy / PSIRT procedure and apply in case handling: detailed feedback must confirm/reject, ask meaningful queries, or explain delay with a new update date.</t>
  </si>
  <si>
    <t>TR3-4.4.9a-a</t>
  </si>
  <si>
    <t>4.4.9 Anonymous reporting option</t>
  </si>
  <si>
    <t>The manufacturer MUST provide an easy-to-find option to anonymously submit vulnerability reports. […]</t>
  </si>
  <si>
    <t>Anonymous path must be prominent on the reporting page.</t>
  </si>
  <si>
    <t>provide an easy-to-find anonymous reporting option - configure the form and logging accordingly and record the privacy review.</t>
  </si>
  <si>
    <t>TR3-4.4.9a-b</t>
  </si>
  <si>
    <t>[…] This SHOULD be the web form for vulnerability reports (see section 4.3.3).</t>
  </si>
  <si>
    <t>Re-use the 4.3.3 web form.</t>
  </si>
  <si>
    <t>the anonymous option should be the web form - configure the form and logging accordingly and record the privacy review.</t>
  </si>
  <si>
    <t>TR3-4.4.9b</t>
  </si>
  <si>
    <t>The manufacturer SHOULD clarify that further explanations and documentation may be required, especially in the case of complex issues.</t>
  </si>
  <si>
    <t>Write into the CVD policy / PSIRT procedure and apply in case handling: clarify that further explanations and documentation may be required.</t>
  </si>
  <si>
    <t>TR3-4.4.9c</t>
  </si>
  <si>
    <t>The manufacturer SHOULD clarify that if the reporting entity fails to respond to technical or content-related queries, the corresponding vulnerability report can only be processed to a limited extent or possibly not at all.</t>
  </si>
  <si>
    <t>Write into the CVD policy / PSIRT procedure and apply in case handling: clarify that non-responding reporters limit processing.</t>
  </si>
  <si>
    <t>TR3-4.4.9d</t>
  </si>
  <si>
    <t>The manufacturer MUST clearly state that anonymous reports can only be processed to a limited extent or possibly not at all, due to missing option to request technical or content-related queries.</t>
  </si>
  <si>
    <t>Write into the CVD policy / PSIRT procedure and apply in case handling: state clearly that anonymous reports can only be processed to a limited extent.</t>
  </si>
  <si>
    <t>TR3-4.4.10a-a</t>
  </si>
  <si>
    <t>4.4.10 Vulnerability disclosure</t>
  </si>
  <si>
    <t>The manufacturer MUST ensure that validated and verified vulnerabilities are publicly disclosed within 90 days, unless the manufacturer becomes aware of a vulnerability and fixes it before the affected product is placed on the market. […]</t>
  </si>
  <si>
    <t>A hard 90-day public-disclosure clock per validated and verified vulnerability requires advisory production, approvals and patch availability in time - a new, deadline-driven process.</t>
  </si>
  <si>
    <t>publicly disclose validated and verified vulnerabilities within 90 days unless fixed before placing on the market - define the disclosure workflow, deadlines and approvals.</t>
  </si>
  <si>
    <t>TR3-4.4.10a-b</t>
  </si>
  <si>
    <t>[…] However, if there is a valid justification and explanation for a delay in mitigating or fixing the vulnerability, the period until disclosure can be extended once by further 90 days in close consultation with its corresponding national CSIRT. As an exception, the period until public disclosure can be extended further by the corresponding national CSIRT upon request of the manufacturer.</t>
  </si>
  <si>
    <t>MAY (equiv. 'can be extended')</t>
  </si>
  <si>
    <t>Extension requests need justification and CSIRT consultation; define who decides and documents.</t>
  </si>
  <si>
    <t>the disclosure period can be extended once by 90 days with the CSIRT; further only by the CSIRT on request - define the disclosure workflow, deadlines and approvals.</t>
  </si>
  <si>
    <t>TR3-4.4.10b</t>
  </si>
  <si>
    <t>This public disclosure MUST take place, upon request of the manufacturer in consultation with its corresponding national CSIRT or ENISA, at least on the European Vulnerability Database (EUVD) maintained by ENISA.</t>
  </si>
  <si>
    <t>PSIRT must be able to request publication in the European Vulnerability Database (identifiers, data quality) via CSIRT/ENISA.</t>
  </si>
  <si>
    <t>public disclosure must take place at least on the EUVD (on request, in consultation with CSIRT or ENISA) - define the disclosure workflow, deadlines and approvals.</t>
  </si>
  <si>
    <t>TR3-4.4.11a</t>
  </si>
  <si>
    <t>4.4.11 End of CVD process</t>
  </si>
  <si>
    <t>The manufacturer MUST clearly and publicly state the conditions under which the CVD process is considered complete.</t>
  </si>
  <si>
    <t>CVD - process closure</t>
  </si>
  <si>
    <t>Closure criteria in the published policy.</t>
  </si>
  <si>
    <t>Write into the CVD policy / PSIRT procedure and apply in case handling: publicly state the conditions under which a CVD process is complete.</t>
  </si>
  <si>
    <t>TR3-4.4.11b</t>
  </si>
  <si>
    <t>The manufacturer SHOULD communicate the end of the CVD process without undue delay to the reporting entity, unless the vulnerability was reported anonymously.</t>
  </si>
  <si>
    <t>Closure notice template.</t>
  </si>
  <si>
    <t>Write into the CVD policy / PSIRT procedure and apply in case handling: communicate the end of the CVD process to the reporter.</t>
  </si>
  <si>
    <t>TR3-4.4.11c</t>
  </si>
  <si>
    <t>The manufacturer SHOULD consider the CVD process to be completed if the indications of the vulnerability report are unfounded.</t>
  </si>
  <si>
    <t>Closure criterion.</t>
  </si>
  <si>
    <t>Write into the CVD policy / PSIRT procedure and apply in case handling: consider the CVD complete if the report is unfounded.</t>
  </si>
  <si>
    <t>TR3-4.4.11d</t>
  </si>
  <si>
    <t>The manufacturer SHOULD consider the CVD process to be completed if the vulnerability of a service (e.g. a web service) is fixed and has been publicly disclosed.</t>
  </si>
  <si>
    <t>Closure criterion (relevant for remote data processing services).</t>
  </si>
  <si>
    <t>Write into the CVD policy / PSIRT procedure and apply in case handling: consider the CVD complete when a service vulnerability is fixed and disclosed.</t>
  </si>
  <si>
    <t>TR3-4.4.11e</t>
  </si>
  <si>
    <t>The manufacturer SHOULD consider the CVD process to be completed if the vulnerability has been mitigated or fixed by an appropriate patch and has been publicly disclosed.</t>
  </si>
  <si>
    <t>Write into the CVD policy / PSIRT procedure and apply in case handling: consider the CVD complete when mitigated/fixed by a patch and disclosed.</t>
  </si>
  <si>
    <t>TR3-4.4.11f</t>
  </si>
  <si>
    <t>The manufacturer MAY consider the CVD process to be completed if the reporting entity fails to respond to technical or content-related queries for at least 30 days and therefore the corresponding vulnerability report can only be processed to a limited extent or not at all.</t>
  </si>
  <si>
    <t>Optional closure criterion.</t>
  </si>
  <si>
    <t>Write into the CVD policy / PSIRT procedure and apply in case handling: the CVD may be closed if the reporter does not respond for 30 days.</t>
  </si>
  <si>
    <t>TR3-4.4.11g</t>
  </si>
  <si>
    <t>The manufacturer MAY consider the CVD process to be completed if the vulnerability has been publicly disclosed and, in consultation with its corresponding national CSIRT, it can no longer be assumed that the vulnerability will be mitigated or fixed.</t>
  </si>
  <si>
    <t>Optional closure criterion (e.g. for unsupported versions).</t>
  </si>
  <si>
    <t>Write into the CVD policy / PSIRT procedure and apply in case handling: the CVD may be closed if disclosed and a fix can no longer be expected (with CSIRT).</t>
  </si>
  <si>
    <t>TR3-028</t>
  </si>
  <si>
    <t>4.5 Web page for incoming vulnerability reports</t>
  </si>
  <si>
    <t>External entities should find all important information regarding the submission of vulnerability reports at a central point on the manufacturer's website.</t>
  </si>
  <si>
    <t>Information architecture of the security pages.</t>
  </si>
  <si>
    <t>Implement on the corporate website: all submission information should be at one central point on the website; include it in the quarterly security.txt/contact check.</t>
  </si>
  <si>
    <t>TR3-029</t>
  </si>
  <si>
    <t>Therefore, the web page for incoming vulnerability reports MUST have at least the following features.</t>
  </si>
  <si>
    <t>Umbrella for the page features; specific rows carry the detail.</t>
  </si>
  <si>
    <t>Implement on the corporate website: the reporting web page must have at least the features of 4.5.1-4.5.3; include it in the quarterly security.txt/contact check.</t>
  </si>
  <si>
    <t>TR3-4.5.1a</t>
  </si>
  <si>
    <t>4.5.1 General</t>
  </si>
  <si>
    <t>The web page for incoming vulnerability reports MUST be part of the website of the manufacturer.</t>
  </si>
  <si>
    <t>Host on the corporate domain.</t>
  </si>
  <si>
    <t>Implement on the corporate website: the reporting page must be part of the manufacturer website; include it in the quarterly security.txt/contact check.</t>
  </si>
  <si>
    <t>TR3-4.5.1b</t>
  </si>
  <si>
    <t>This web page MUST be accessible at least via an easy-to-find link on the home page of the manufacturer's website without activated JavaScript or other client-side executed scripts.</t>
  </si>
  <si>
    <t>Home-page link and no-JavaScript accessibility often require CMS/template changes owned by corporate communications.</t>
  </si>
  <si>
    <t>Implement on the corporate website: link the page from the home page and make it reachable without JavaScript; include it in the quarterly security.txt/contact check.</t>
  </si>
  <si>
    <t>TR3-4.5.1c-a</t>
  </si>
  <si>
    <t>The path of the web URI (according to RFC 7230 section 2.7.2) of this web page MUST clearly indicate its function, e.g. https://www.example.com/security-contact. […]</t>
  </si>
  <si>
    <t>URL naming (e.g. /security-contact).</t>
  </si>
  <si>
    <t>Implement on the corporate website: the page URI path must indicate its function; include it in the quarterly security.txt/contact check.</t>
  </si>
  <si>
    <t>TR3-4.5.1c-b</t>
  </si>
  <si>
    <t>[…] A redirection to another web URI (according to RFC 7230 section 2.7.2) on the manufacturer's website is allowed.</t>
  </si>
  <si>
    <t>MAY (equiv. 'is allowed')</t>
  </si>
  <si>
    <t>Permission; lets the CMS keep its own structure.</t>
  </si>
  <si>
    <t>Implement on the corporate website: a redirect to another URI on the manufacturer website is allowed; include it in the quarterly security.txt/contact check.</t>
  </si>
  <si>
    <t>TR3-4.5.1d</t>
  </si>
  <si>
    <t>The manufacturer MUST ensure that this web page with all information is fully accessible without activated JavaScript or other client-side executed scripts and without any login procedure or other restriction, e.g. a paywall.</t>
  </si>
  <si>
    <t>No-JS rendering and no login for the full page content; test in the quarterly check.</t>
  </si>
  <si>
    <t>Implement on the corporate website: the page and all its information must be accessible without JavaScript, login or paywall; include it in the quarterly security.txt/contact check.</t>
  </si>
  <si>
    <t>TR3-4.5.1e</t>
  </si>
  <si>
    <t>The information on this web page MUST be clearly structured.</t>
  </si>
  <si>
    <t>Page layout.</t>
  </si>
  <si>
    <t>Implement on the corporate website: the information on the page must be clearly structured; include it in the quarterly security.txt/contact check.</t>
  </si>
  <si>
    <t>TR3-4.5.1f</t>
  </si>
  <si>
    <t>The manufacturer SHOULD point to its privacy policy close to the sections about the transmission of personal data, e.g. the contact details of the reporting entities.</t>
  </si>
  <si>
    <t>Privacy link (DPO input).</t>
  </si>
  <si>
    <t>Implement on the corporate website: point to the privacy policy near the personal-data sections; include it in the quarterly security.txt/contact check.</t>
  </si>
  <si>
    <t>TR3-4.5.2a-a</t>
  </si>
  <si>
    <t>4.5.2 Publication of the CVD policy</t>
  </si>
  <si>
    <t>The manufacturer MUST put an easy-to-find link on this web page for redirection, forwarding or routing to the web page where its CVD policy is published. […]</t>
  </si>
  <si>
    <t>Link on the reporting page.</t>
  </si>
  <si>
    <t>Implement on the corporate website: put an easy-to-find link from the reporting page to the CVD policy page; include it in the quarterly security.txt/contact check.</t>
  </si>
  <si>
    <t>TR3-4.5.2a-b</t>
  </si>
  <si>
    <t>[…] Therefore, the manufacturer MUST create a web page with its CVD policy.</t>
  </si>
  <si>
    <t>Public policy page (dated, versioned).</t>
  </si>
  <si>
    <t>Write into the CVD policy / PSIRT procedure and apply in case handling: create a web page with the CVD policy.</t>
  </si>
  <si>
    <t>TR3-4.5.2b</t>
  </si>
  <si>
    <t>Requirements 4.5.1 a, d, and e also apply to the CVD policy web page.</t>
  </si>
  <si>
    <t>Same hosting/no-JS/structure rules for the policy page.</t>
  </si>
  <si>
    <t>Implement on the corporate website: requirements 4.5.1 a, d and e also apply to the CVD policy page; include it in the quarterly security.txt/contact check.</t>
  </si>
  <si>
    <t>TR3-4.5.3a-a</t>
  </si>
  <si>
    <t>4.5.3 Publication of contact options</t>
  </si>
  <si>
    <t>The manufacturer MUST provide the email addresses of the role-oriented contact options (see section 4.3.1). […]</t>
  </si>
  <si>
    <t>Contact block on the page.</t>
  </si>
  <si>
    <t>Implement on the corporate website: provide the functional mailbox addresses on the reporting page; include it in the quarterly security.txt/contact check.</t>
  </si>
  <si>
    <t>TR3-4.5.3a-b</t>
  </si>
  <si>
    <t>Key links and fingerprints on the page.</t>
  </si>
  <si>
    <t>Implement on the corporate website: apply the key publication rules of 4.3.2 on the reporting page; include it in the quarterly security.txt/contact check.</t>
  </si>
  <si>
    <t>TR3-4.5.3b</t>
  </si>
  <si>
    <t>The manufacturer MAY additionally publish these addresses at the "Contact Us" web page of its website.</t>
  </si>
  <si>
    <t>Optional duplication of contacts.</t>
  </si>
  <si>
    <t>Implement on the corporate website: the addresses may additionally be published on the Contact Us page; include it in the quarterly security.txt/contact check.</t>
  </si>
  <si>
    <t>TR3-4.5.3c</t>
  </si>
  <si>
    <t>The manufacturer MUST provide the web URI (according to RFC 7230 section 2.7.2) of the direct download location of the corresponding OpenPGP public key in ASCII Armor according to RFC 9580 as an .asc-file for signing the security.txt (see section 4.2.10).</t>
  </si>
  <si>
    <t>Publish the signing key file.</t>
  </si>
  <si>
    <t>Implement on the corporate website: provide the direct download URI of the .asc public key used to sign security.txt; include it in the quarterly security.txt/contact check.</t>
  </si>
  <si>
    <t>TR3-4.5.3d</t>
  </si>
  <si>
    <t>The manufacturer MUST quote the fingerprint of the OpenPGP public key for signing the security.txt (see section 4.2.10).</t>
  </si>
  <si>
    <t>Fingerprint on the page.</t>
  </si>
  <si>
    <t>Implement on the corporate website: quote the fingerprint of the security.txt signing key; include it in the quarterly security.txt/contact check.</t>
  </si>
  <si>
    <t>TR3-4.5.3e</t>
  </si>
  <si>
    <t>The manufacturer MUST provide the web URI (according to RFC 7230 section 2.7.2) to the web form for vulnerability reports (see section 4.3.2).</t>
  </si>
  <si>
    <t>Link to the form.</t>
  </si>
  <si>
    <t>Implement on the corporate website: provide the URI of the vulnerability report web form; include it in the quarterly security.txt/contact check.</t>
  </si>
  <si>
    <t>TR3-4.5.3f-a</t>
  </si>
  <si>
    <t>The expiry date of the contact options MUST be specified […]</t>
  </si>
  <si>
    <t>Expiry date shown with the contacts.</t>
  </si>
  <si>
    <t>Implement on the corporate website: specify the expiry date of the published contact options; include it in the quarterly security.txt/contact check.</t>
  </si>
  <si>
    <t>TR3-4.5.3f-b</t>
  </si>
  <si>
    <t>[…] and updated well enough in advance before they expire.</t>
  </si>
  <si>
    <t>Recurring renewal control with reminders, coupled to key and security.txt renewal.</t>
  </si>
  <si>
    <t>Implement on the corporate website: update the contact options well before they expire; include it in the quarterly security.txt/contact check.</t>
  </si>
  <si>
    <t>TR3-4.5.3f-c</t>
  </si>
  <si>
    <t>This expiry date SHOULD be at the maximum of one year in the future.</t>
  </si>
  <si>
    <t>Annual renewal at minimum.</t>
  </si>
  <si>
    <t>Implement on the corporate website: set the contact expiry at most one year in the future; include it in the quarterly security.txt/contact check.</t>
  </si>
  <si>
    <t>CRA / BSI TR-03183 impact summary - 5. Solution Maintenance (RUN)</t>
  </si>
  <si>
    <t>helper: listed row</t>
  </si>
  <si>
    <t>helper: Critical rows</t>
  </si>
  <si>
    <t>helper: High rows</t>
  </si>
  <si>
    <t>Role: solution provider acting as CRA manufacturer; default-category solutions for governments and airports. Assessment date 18 Oct 2026.</t>
  </si>
  <si>
    <t>All counts are COUNTIF / COUNTIFS formulas on the Assessment sheet and update when a rating is changed there.</t>
  </si>
  <si>
    <t>All documents</t>
  </si>
  <si>
    <t>Share of all requirements</t>
  </si>
  <si>
    <t>Total</t>
  </si>
  <si>
    <t>Requirements in register</t>
  </si>
  <si>
    <t>Check: total = register</t>
  </si>
  <si>
    <t>Critical and High items (formula-driven: Critical first, then High, each in register order)</t>
  </si>
  <si>
    <t>#</t>
  </si>
  <si>
    <t>Method, role, assumptions and rating scale - 5. Solution Maintenance (RUN)</t>
  </si>
  <si>
    <t>Workbook</t>
  </si>
  <si>
    <t>Process workbook '5. Solution Maintenance (RUN)' - one of six; all six use the identical requirement register (same IDs, same order).</t>
  </si>
  <si>
    <t>Assessment date</t>
  </si>
  <si>
    <t>18 October 2026</t>
  </si>
  <si>
    <t>Sources</t>
  </si>
  <si>
    <t>BSI TR-03183-1 v1.0.0 (General requirements, 31.07.2026); BSI TR-03183-2 v2.1.0 (SBOM, 2025-08-20); BSI TR-03183-3 v1.0.0 (Vulnerability reports and notifications, 2025-08-20). Markdown files supplied by the user.</t>
  </si>
  <si>
    <t>1. Role</t>
  </si>
  <si>
    <t>Manufacturer</t>
  </si>
  <si>
    <t>Solution provider acting as CRA manufacturer of its solutions (products with digital elements incl. remote data processing it operates).</t>
  </si>
  <si>
    <t>Product category</t>
  </si>
  <si>
    <t>Default category (not important / critical) -&gt; conformity by internal control (Module A self-assessment); no notified body required.</t>
  </si>
  <si>
    <t>Customers</t>
  </si>
  <si>
    <t>Governments (public administration) and airports: professional business users, typically NIS2 entities with own reporting duties; contracts are often tailor-made.</t>
  </si>
  <si>
    <t>Timeline</t>
  </si>
  <si>
    <t>CRA reporting obligations (Art. 14) apply from 11 Sep 2026 - already in force on the assessment date, also for solutions placed on the market earlier. All other obligations apply to products made available from 11 Dec 2027; earlier products only after a substantial modification.</t>
  </si>
  <si>
    <t>2. Assumptions</t>
  </si>
  <si>
    <t>A1 Solution type</t>
  </si>
  <si>
    <t>Software-centric systems, possibly with appliances and with remote data processing operated by us, integrating own code with COTS and open-source components; installed at customer sites, often in segregated networks under customer change control.</t>
  </si>
  <si>
    <t>A2 CRA scope</t>
  </si>
  <si>
    <t>Solutions are in scope: not developed exclusively for national security or defence, not specifically designed to process classified information, not certified under the civil-aviation Regulation (EU) 2018/1139 (TR-1 3.2.1). Presale should confirm this per bid.</t>
  </si>
  <si>
    <t>A3 Starting maturity</t>
  </si>
  <si>
    <t>General ISMS and secure-development practices exist, but CRA/TR-specific capabilities do not: no product PSIRT or published CVD policy, no per-release SBOM pipeline, no ENISA reporting procedure, no CRA technical file or EU DoC. Where a capability already exists, lower the rating.</t>
  </si>
  <si>
    <t>A4 Customer operators</t>
  </si>
  <si>
    <t>Skilled IT/OT professionals (affects risk sharing, acceptance criteria and automatic updates).</t>
  </si>
  <si>
    <t>A5 Company</t>
  </si>
  <si>
    <t>Not a microenterprise; main establishment in an EU Member State, which determines the corresponding CSIRT (CRA Art. 14(7)).</t>
  </si>
  <si>
    <t>A6 Legal weight</t>
  </si>
  <si>
    <t>TR-03183 is BSI guidance and establishes no obligations by itself (TR-1 section 2). Requirements that implement CRA legal obligations are rated higher; TR-specific details are rated on effort and on customer/tender expectations (German public tenders increasingly reference TR-03183-2).</t>
  </si>
  <si>
    <t>A7 Umbrella statements</t>
  </si>
  <si>
    <t>Restating or umbrella statements are rated by their incremental impact; the substantive impact sits on the specific rows they summarise.</t>
  </si>
  <si>
    <t>A8 Out of scope</t>
  </si>
  <si>
    <t>The TR-1 OSCAL control catalogue (GitHub) is referenced but not contained in the sources and is not assessed.</t>
  </si>
  <si>
    <t>3. Rating scale</t>
  </si>
  <si>
    <t>Legal non-compliance or market-access risk if not addressed; needs a new capability, tool, role or organisational change.</t>
  </si>
  <si>
    <t>Significant change to an existing process, new deliverables or roles, notable effort or cost.</t>
  </si>
  <si>
    <t>Moderate adaptation of existing procedures, templates or tools.</t>
  </si>
  <si>
    <t>Minor adjustment, documentation or awareness only.</t>
  </si>
  <si>
    <t>No impact on this process; the rationale states where the requirement is handled instead.</t>
  </si>
  <si>
    <t>S = days / template or configuration change; M = weeks or a cross-team change; L = months, new tooling, roles or budget; n/a = Nil.</t>
  </si>
  <si>
    <t>4. Process scope</t>
  </si>
  <si>
    <t>1. Presale</t>
  </si>
  <si>
    <t>Bids, RFP answers, contractual commitments, security claims, support-period commitments, pricing of compliance effort.</t>
  </si>
  <si>
    <t>2. Solution Development</t>
  </si>
  <si>
    <t>Secure design, coding, dependency and component management, SBOM generation, security testing.</t>
  </si>
  <si>
    <t>3. Solution Integration / Build</t>
  </si>
  <si>
    <t>Assembling own and third-party components, build pipeline, per-release SBOM, hardening, technical documentation, conformity evidence.</t>
  </si>
  <si>
    <t>4. Solution Deployment</t>
  </si>
  <si>
    <t>Delivery and installation at the customer, secure default configuration, user and security instructions, update mechanism, handover of SBOM and documentation.</t>
  </si>
  <si>
    <t>5. Solution Maintenance (RUN)  &lt;&lt; this workbook</t>
  </si>
  <si>
    <t>Vulnerability monitoring and handling, security updates, coordinated vulnerability disclosure, incident and vulnerability reporting, SBOM updates, support period.</t>
  </si>
  <si>
    <t>6. Solution Decommissioning</t>
  </si>
  <si>
    <t>End-of-support notification, secure data removal, retention of documentation and records, final customer communication.</t>
  </si>
  <si>
    <t>5. Requirement register</t>
  </si>
  <si>
    <t>Reading</t>
  </si>
  <si>
    <t>All three documents were read in full before assessing. Where the Markdown conversion lost or garbled text, the official BSI PDF of the same document was used and the row says so in Notes (TR-2 Tables 2-6; TR-1 5.9.1 NOTE and D.2 NOTE; TR-1 Annex B table structure and IDs).</t>
  </si>
  <si>
    <t>Included</t>
  </si>
  <si>
    <t>Every statement with BCP 14 keywords in capitals, plus equivalent wording: shall, must, has/have to, need(s) to, is/are required, is responsible, ought to, should, is recommended/advisable, it is necessary/important/essential to, may (permission), is (not) acceptable; imperative items under obligation or recommendation lead-ins; and the TR-1 3.4 applicability rules (reporting start, legacy products, substantial modification).</t>
  </si>
  <si>
    <t>Not registered</t>
  </si>
  <si>
    <t>Keyword definitions (TR-1 4.4, TR-2 2, TR-3 2); 'may/can/might' expressing possibility; rhetorical questions; descriptive or definitional text without normative wording (e.g. scope and exclusions in TR-1 3.2, perspective descriptions in 5.6); TR-1 criteria tables 1-7 and 11-13 and the example-specific evaluations of the Annex C camera; TR-2 8.2 format-mapping tables; TR-3 Annex 5 references; tables of contents.</t>
  </si>
  <si>
    <t>Atomic split</t>
  </si>
  <si>
    <t>A statement with several obligations is split into -a/-b/-c; list items are separate rows; '[…]' marks words that belong to the other sub-item. A leading [bracket] is the lead-in sentence; [Input: …] / [Output: …] show the input/output of TR-1 activity controls. Wording is otherwise verbatim (typographic quotes normalised, footnote markers removed).</t>
  </si>
  <si>
    <t>IDs</t>
  </si>
  <si>
    <t>Document IDs are reused: TR-1 controls RH_*, TR-1 Annex B ER.x (CRA Annex I Part I) and VH.x (Part II), TR-3 section + letter (e.g. TR3-4.2.1a). Other statements get TR1-001 / TR2-001 / TR3-001 ... in document order. Essential requirements appear once under their Annex B ID although their text is also printed in TR-1 3.9; Annex I Part I (2)(g) has no Annex B ID and uses a sequential ID.</t>
  </si>
  <si>
    <t>Register size</t>
  </si>
  <si>
    <t>6. Using the workbook</t>
  </si>
  <si>
    <t>Assessment sheet</t>
  </si>
  <si>
    <t>Header row frozen, autofilter on all columns, drop-down lists on Impact rating and Effort, colour coding: Critical red, High orange, Medium yellow, Low green, Nil grey. Change a rating with the drop-down; the Summary updates automatically.</t>
  </si>
  <si>
    <t>Summary sheet</t>
  </si>
  <si>
    <t>Counts per rating (overall and per source document) use COUNTIF/COUNTIFS; the Critical/High list is formula-driven via hidden helper columns X:Z on the Summary sheet - do not delete them.</t>
  </si>
  <si>
    <t>7. Interpretation notes</t>
  </si>
  <si>
    <t>Equivalent wording</t>
  </si>
  <si>
    <t>TR-1 restates many CRA duties with lower-case 'must/has to/shall'; these were registered as equivalent wording although TR-1 4.4 defines only capitals as normative.</t>
  </si>
  <si>
    <t>'ought to'</t>
  </si>
  <si>
    <t>TR-1 3.6 says the manufacturer 'ought to' monitor vulnerabilities; rated as mandatory because it restates the CRA Art. 13 duty.</t>
  </si>
  <si>
    <t>Annex B quirks</t>
  </si>
  <si>
    <t>Annex B skips ER.8 (data minimisation), numbers ER.3a without ER.3 and VH.2a without VH.2, prints 'Part II 4' for VH.6a, and truncates ER.14; the CRA text from TR-1 3.9 was used.</t>
  </si>
  <si>
    <t>TR-1 5.7.1</t>
  </si>
  <si>
    <t>'processes ... comply with ... Annex I Part I' was read as Part II (vulnerability-handling processes), as in the CRA.</t>
  </si>
  <si>
    <t>TR-2 appendix</t>
  </si>
  <si>
    <t>Section 8 is declared explanatory; its normatively worded sentences are registered but mostly rated Low.</t>
  </si>
  <si>
    <t>TR-3 90-day rule</t>
  </si>
  <si>
    <t>TR-3 4.4.10 sets a 90-day public-disclosure deadline that goes beyond the CRA (disclosure after a fix is available); rated High rather than Critical.</t>
  </si>
  <si>
    <t>Automatic updates</t>
  </si>
  <si>
    <t>'where applicable' in ER.4a/VH.7a was read as allowing a justified exception for change-controlled airport/government sites.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</si>
</sst>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 x14ac:knownFonts="1">
    <font>
      <sz val="11"/>
      <color theme="1"/>
      <name val="Calibri"/>
      <family val="2"/>
      <scheme val="minor"/>
    </font>
    <font>
      <b/>
      <sz val="10"/>
      <color rgb="FFFFFFFF"/>
      <name val="Arial"/>
    </font>
    <font>
      <sz val="10"/>
      <color rgb="FF000000"/>
      <name val="Arial"/>
    </font>
    <font>
      <b/>
      <sz val="10"/>
      <color rgb="FF000000"/>
      <name val="Arial"/>
    </font>
    <font>
      <b/>
      <sz val="14"/>
      <color rgb="FF000000"/>
      <name val="Arial"/>
    </font>
    <font>
      <sz val="9"/>
      <color rgb="FF404040"/>
      <name val="Arial"/>
    </font>
    <font>
      <b/>
      <sz val="12"/>
      <color rgb="FF000000"/>
      <name val="Arial"/>
    </font>
    <font>
      <b/>
      <sz val="11"/>
      <color rgb="FFFFFFFF"/>
      <name val="Arial"/>
    </font>
  </fonts>
  <fills count="9">
    <fill>
      <patternFill patternType="none"/>
    </fill>
    <fill>
      <patternFill patternType="gray125"/>
    </fill>
    <fill>
      <patternFill patternType="solid">
        <fgColor rgb="FF1F3864"/>
      </patternFill>
    </fill>
    <fill>
      <patternFill patternType="solid">
        <fgColor rgb="FFFF0000"/>
      </patternFill>
    </fill>
    <fill>
      <patternFill patternType="solid">
        <fgColor rgb="FFFFC000"/>
      </patternFill>
    </fill>
    <fill>
      <patternFill patternType="solid">
        <fgColor rgb="FFFFFF00"/>
      </patternFill>
    </fill>
    <fill>
      <patternFill patternType="solid">
        <fgColor rgb="FF92D050"/>
      </patternFill>
    </fill>
    <fill>
      <patternFill patternType="solid">
        <fgColor rgb="FFD9D9D9"/>
      </patternFill>
    </fill>
    <fill>
      <patternFill patternType="solid">
        <fgColor rgb="FFDDEBF7"/>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0">
    <xf numFmtId="0" fontId="0" fillId="0" borderId="0" xfId="0"/>
    <xf numFmtId="0" fontId="1" fillId="2" borderId="1" xfId="0" applyFont="1" applyFill="1" applyBorder="1" applyAlignment="1">
      <alignment vertical="center" wrapText="1"/>
    </xf>
    <xf numFmtId="0" fontId="2" fillId="0" borderId="1" xfId="0" applyFont="1" applyBorder="1" applyAlignment="1">
      <alignment vertical="top" wrapText="1"/>
    </xf>
    <xf numFmtId="0" fontId="3" fillId="0" borderId="1" xfId="0" applyFont="1" applyBorder="1" applyAlignment="1">
      <alignment vertical="top" wrapText="1"/>
    </xf>
    <xf numFmtId="0" fontId="4" fillId="0" borderId="0" xfId="0" applyFont="1"/>
    <xf numFmtId="0" fontId="5" fillId="0" borderId="0" xfId="0" applyFont="1"/>
    <xf numFmtId="0" fontId="3" fillId="0" borderId="1" xfId="0" applyFont="1" applyBorder="1"/>
    <xf numFmtId="0" fontId="2" fillId="0" borderId="1" xfId="0" applyFont="1" applyBorder="1"/>
    <xf numFmtId="164" fontId="2" fillId="0" borderId="1" xfId="0" applyNumberFormat="1" applyFont="1" applyBorder="1"/>
    <xf numFmtId="0" fontId="6" fillId="0" borderId="0" xfId="0" applyFont="1"/>
    <xf numFmtId="0" fontId="2" fillId="0" borderId="0" xfId="0" applyFont="1" applyAlignment="1">
      <alignment vertical="top" wrapText="1"/>
    </xf>
    <xf numFmtId="0" fontId="7" fillId="2" borderId="0" xfId="0" applyFont="1" applyFill="1"/>
    <xf numFmtId="0" fontId="0" fillId="2" borderId="0" xfId="0" applyFill="1"/>
    <xf numFmtId="0" fontId="1" fillId="3" borderId="1" xfId="0" applyFont="1" applyFill="1" applyBorder="1" applyAlignment="1">
      <alignment vertical="top" wrapText="1"/>
    </xf>
    <xf numFmtId="0" fontId="3" fillId="4" borderId="1" xfId="0" applyFont="1" applyFill="1" applyBorder="1" applyAlignment="1">
      <alignment vertical="top" wrapText="1"/>
    </xf>
    <xf numFmtId="0" fontId="3" fillId="5" borderId="1" xfId="0" applyFont="1" applyFill="1" applyBorder="1" applyAlignment="1">
      <alignment vertical="top" wrapText="1"/>
    </xf>
    <xf numFmtId="0" fontId="3" fillId="6" borderId="1" xfId="0" applyFont="1" applyFill="1" applyBorder="1" applyAlignment="1">
      <alignment vertical="top" wrapText="1"/>
    </xf>
    <xf numFmtId="0" fontId="3" fillId="7" borderId="1" xfId="0" applyFont="1" applyFill="1" applyBorder="1" applyAlignment="1">
      <alignment vertical="top" wrapText="1"/>
    </xf>
    <xf numFmtId="0" fontId="3" fillId="8" borderId="1" xfId="0" applyFont="1" applyFill="1" applyBorder="1" applyAlignment="1">
      <alignment vertical="top" wrapText="1"/>
    </xf>
    <xf numFmtId="0" fontId="2" fillId="8" borderId="1" xfId="0" applyFont="1" applyFill="1" applyBorder="1" applyAlignment="1">
      <alignment vertical="top" wrapText="1"/>
    </xf>
  </cellXfs>
  <cellStyles count="1">
    <cellStyle name="Normal" xfId="0" builtinId="0"/>
  </cellStyles>
  <dxfs count="15">
    <dxf>
      <font>
        <color rgb="FF000000"/>
        <name val="Arial"/>
      </font>
      <fill>
        <patternFill patternType="solid">
          <fgColor rgb="FFD9D9D9"/>
          <bgColor rgb="FFD9D9D9"/>
        </patternFill>
      </fill>
    </dxf>
    <dxf>
      <font>
        <color rgb="FF000000"/>
        <name val="Arial"/>
      </font>
      <fill>
        <patternFill patternType="solid">
          <fgColor rgb="FF92D050"/>
          <bgColor rgb="FF92D050"/>
        </patternFill>
      </fill>
    </dxf>
    <dxf>
      <font>
        <color rgb="FF000000"/>
        <name val="Arial"/>
      </font>
      <fill>
        <patternFill patternType="solid">
          <fgColor rgb="FFFFFF00"/>
          <bgColor rgb="FFFFFF00"/>
        </patternFill>
      </fill>
    </dxf>
    <dxf>
      <font>
        <color rgb="FF000000"/>
        <name val="Arial"/>
      </font>
      <fill>
        <patternFill patternType="solid">
          <fgColor rgb="FFFFC000"/>
          <bgColor rgb="FFFFC000"/>
        </patternFill>
      </fill>
    </dxf>
    <dxf>
      <font>
        <b/>
        <color rgb="FFFFFFFF"/>
        <name val="Arial"/>
      </font>
      <fill>
        <patternFill patternType="solid">
          <fgColor rgb="FFFF0000"/>
          <bgColor rgb="FFFF0000"/>
        </patternFill>
      </fill>
    </dxf>
    <dxf>
      <font>
        <color rgb="FF000000"/>
        <name val="Arial"/>
      </font>
      <fill>
        <patternFill patternType="solid">
          <fgColor rgb="FFD9D9D9"/>
          <bgColor rgb="FFD9D9D9"/>
        </patternFill>
      </fill>
    </dxf>
    <dxf>
      <font>
        <color rgb="FF000000"/>
        <name val="Arial"/>
      </font>
      <fill>
        <patternFill patternType="solid">
          <fgColor rgb="FF92D050"/>
          <bgColor rgb="FF92D050"/>
        </patternFill>
      </fill>
    </dxf>
    <dxf>
      <font>
        <color rgb="FF000000"/>
        <name val="Arial"/>
      </font>
      <fill>
        <patternFill patternType="solid">
          <fgColor rgb="FFFFFF00"/>
          <bgColor rgb="FFFFFF00"/>
        </patternFill>
      </fill>
    </dxf>
    <dxf>
      <font>
        <color rgb="FF000000"/>
        <name val="Arial"/>
      </font>
      <fill>
        <patternFill patternType="solid">
          <fgColor rgb="FFFFC000"/>
          <bgColor rgb="FFFFC000"/>
        </patternFill>
      </fill>
    </dxf>
    <dxf>
      <font>
        <b/>
        <color rgb="FFFFFFFF"/>
        <name val="Arial"/>
      </font>
      <fill>
        <patternFill patternType="solid">
          <fgColor rgb="FFFF0000"/>
          <bgColor rgb="FFFF0000"/>
        </patternFill>
      </fill>
    </dxf>
    <dxf>
      <font>
        <color rgb="FF000000"/>
        <name val="Arial"/>
      </font>
      <fill>
        <patternFill patternType="solid">
          <fgColor rgb="FFD9D9D9"/>
          <bgColor rgb="FFD9D9D9"/>
        </patternFill>
      </fill>
    </dxf>
    <dxf>
      <font>
        <color rgb="FF000000"/>
        <name val="Arial"/>
      </font>
      <fill>
        <patternFill patternType="solid">
          <fgColor rgb="FF92D050"/>
          <bgColor rgb="FF92D050"/>
        </patternFill>
      </fill>
    </dxf>
    <dxf>
      <font>
        <color rgb="FF000000"/>
        <name val="Arial"/>
      </font>
      <fill>
        <patternFill patternType="solid">
          <fgColor rgb="FFFFFF00"/>
          <bgColor rgb="FFFFFF00"/>
        </patternFill>
      </fill>
    </dxf>
    <dxf>
      <font>
        <color rgb="FF000000"/>
        <name val="Arial"/>
      </font>
      <fill>
        <patternFill patternType="solid">
          <fgColor rgb="FFFFC000"/>
          <bgColor rgb="FFFFC000"/>
        </patternFill>
      </fill>
    </dxf>
    <dxf>
      <font>
        <b/>
        <color rgb="FFFFFFFF"/>
        <name val="Arial"/>
      </font>
      <fill>
        <patternFill patternType="solid">
          <fgColor rgb="FFFF0000"/>
          <bgColor rgb="FFFF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593"/>
  <sheetViews>
    <sheetView tabSelected="1" workbookViewId="0">
      <pane ySplit="1" topLeftCell="A2" activePane="bottomLeft" state="frozen"/>
      <selection pane="bottomLeft"/>
    </sheetView>
  </sheetViews>
  <sheetFormatPr defaultRowHeight="15" x14ac:dyDescent="0.25"/>
  <cols>
    <col min="1" max="1" width="16" customWidth="1"/>
    <col min="2" max="2" width="21" customWidth="1"/>
    <col min="3" max="3" width="30" customWidth="1"/>
    <col min="4" max="4" width="72" customWidth="1"/>
    <col min="5" max="5" width="22" customWidth="1"/>
    <col min="6" max="6" width="26" customWidth="1"/>
    <col min="7" max="7" width="11" customWidth="1"/>
    <col min="8" max="8" width="58" customWidth="1"/>
    <col min="9" max="9" width="36" customWidth="1"/>
    <col min="10" max="10" width="58" customWidth="1"/>
    <col min="11" max="11" width="40" customWidth="1"/>
    <col min="12" max="12" width="28" customWidth="1"/>
    <col min="13" max="13" width="40" customWidth="1"/>
    <col min="14" max="14" width="9" customWidth="1"/>
    <col min="15" max="15" width="46" customWidth="1"/>
  </cols>
  <sheetData>
    <row r="1" spans="1:15" ht="25.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ht="38.25" x14ac:dyDescent="0.25">
      <c r="A2" s="2" t="s">
        <v>15</v>
      </c>
      <c r="B2" s="2" t="s">
        <v>16</v>
      </c>
      <c r="C2" s="2" t="s">
        <v>17</v>
      </c>
      <c r="D2" s="2" t="s">
        <v>18</v>
      </c>
      <c r="E2" s="2" t="s">
        <v>19</v>
      </c>
      <c r="F2" s="2" t="s">
        <v>20</v>
      </c>
      <c r="G2" s="3" t="s">
        <v>21</v>
      </c>
      <c r="H2" s="2" t="s">
        <v>22</v>
      </c>
      <c r="I2" s="2" t="s">
        <v>23</v>
      </c>
      <c r="J2" s="2" t="s">
        <v>24</v>
      </c>
      <c r="K2" s="2" t="s">
        <v>25</v>
      </c>
      <c r="L2" s="2" t="s">
        <v>26</v>
      </c>
      <c r="M2" s="2" t="s">
        <v>27</v>
      </c>
      <c r="N2" s="2" t="s">
        <v>28</v>
      </c>
      <c r="O2" s="2"/>
    </row>
    <row r="3" spans="1:15" ht="38.25" x14ac:dyDescent="0.25">
      <c r="A3" s="2" t="s">
        <v>29</v>
      </c>
      <c r="B3" s="2" t="s">
        <v>16</v>
      </c>
      <c r="C3" s="2" t="s">
        <v>30</v>
      </c>
      <c r="D3" s="2" t="s">
        <v>31</v>
      </c>
      <c r="E3" s="2" t="s">
        <v>32</v>
      </c>
      <c r="F3" s="2" t="s">
        <v>33</v>
      </c>
      <c r="G3" s="3" t="s">
        <v>34</v>
      </c>
      <c r="H3" s="2" t="s">
        <v>35</v>
      </c>
      <c r="I3" s="2" t="s">
        <v>36</v>
      </c>
      <c r="J3" s="2" t="s">
        <v>37</v>
      </c>
      <c r="K3" s="2" t="s">
        <v>38</v>
      </c>
      <c r="L3" s="2" t="s">
        <v>39</v>
      </c>
      <c r="M3" s="2" t="s">
        <v>40</v>
      </c>
      <c r="N3" s="2" t="s">
        <v>41</v>
      </c>
      <c r="O3" s="2"/>
    </row>
    <row r="4" spans="1:15" ht="38.25" x14ac:dyDescent="0.25">
      <c r="A4" s="2" t="s">
        <v>42</v>
      </c>
      <c r="B4" s="2" t="s">
        <v>16</v>
      </c>
      <c r="C4" s="2" t="s">
        <v>30</v>
      </c>
      <c r="D4" s="2" t="s">
        <v>43</v>
      </c>
      <c r="E4" s="2" t="s">
        <v>44</v>
      </c>
      <c r="F4" s="2" t="s">
        <v>33</v>
      </c>
      <c r="G4" s="3" t="s">
        <v>45</v>
      </c>
      <c r="H4" s="2" t="s">
        <v>46</v>
      </c>
      <c r="I4" s="2" t="s">
        <v>47</v>
      </c>
      <c r="J4" s="2" t="s">
        <v>48</v>
      </c>
      <c r="K4" s="2" t="s">
        <v>49</v>
      </c>
      <c r="L4" s="2" t="s">
        <v>49</v>
      </c>
      <c r="M4" s="2" t="s">
        <v>50</v>
      </c>
      <c r="N4" s="2" t="s">
        <v>49</v>
      </c>
      <c r="O4" s="2"/>
    </row>
    <row r="5" spans="1:15" ht="38.25" x14ac:dyDescent="0.25">
      <c r="A5" s="2" t="s">
        <v>51</v>
      </c>
      <c r="B5" s="2" t="s">
        <v>16</v>
      </c>
      <c r="C5" s="2" t="s">
        <v>52</v>
      </c>
      <c r="D5" s="2" t="s">
        <v>53</v>
      </c>
      <c r="E5" s="2" t="s">
        <v>54</v>
      </c>
      <c r="F5" s="2" t="s">
        <v>55</v>
      </c>
      <c r="G5" s="3" t="s">
        <v>34</v>
      </c>
      <c r="H5" s="2" t="s">
        <v>56</v>
      </c>
      <c r="I5" s="2" t="s">
        <v>57</v>
      </c>
      <c r="J5" s="2" t="s">
        <v>58</v>
      </c>
      <c r="K5" s="2" t="s">
        <v>59</v>
      </c>
      <c r="L5" s="2" t="s">
        <v>60</v>
      </c>
      <c r="M5" s="2" t="s">
        <v>61</v>
      </c>
      <c r="N5" s="2" t="s">
        <v>41</v>
      </c>
      <c r="O5" s="2"/>
    </row>
    <row r="6" spans="1:15" ht="51" x14ac:dyDescent="0.25">
      <c r="A6" s="2" t="s">
        <v>62</v>
      </c>
      <c r="B6" s="2" t="s">
        <v>16</v>
      </c>
      <c r="C6" s="2" t="s">
        <v>63</v>
      </c>
      <c r="D6" s="2" t="s">
        <v>64</v>
      </c>
      <c r="E6" s="2" t="s">
        <v>65</v>
      </c>
      <c r="F6" s="2" t="s">
        <v>66</v>
      </c>
      <c r="G6" s="3" t="s">
        <v>67</v>
      </c>
      <c r="H6" s="2" t="s">
        <v>68</v>
      </c>
      <c r="I6" s="2" t="s">
        <v>69</v>
      </c>
      <c r="J6" s="2" t="s">
        <v>70</v>
      </c>
      <c r="K6" s="2" t="s">
        <v>71</v>
      </c>
      <c r="L6" s="2" t="s">
        <v>72</v>
      </c>
      <c r="M6" s="2" t="s">
        <v>73</v>
      </c>
      <c r="N6" s="2" t="s">
        <v>74</v>
      </c>
      <c r="O6" s="2" t="s">
        <v>75</v>
      </c>
    </row>
    <row r="7" spans="1:15" ht="38.25" x14ac:dyDescent="0.25">
      <c r="A7" s="2" t="s">
        <v>76</v>
      </c>
      <c r="B7" s="2" t="s">
        <v>16</v>
      </c>
      <c r="C7" s="2" t="s">
        <v>63</v>
      </c>
      <c r="D7" s="2" t="s">
        <v>77</v>
      </c>
      <c r="E7" s="2" t="s">
        <v>65</v>
      </c>
      <c r="F7" s="2" t="s">
        <v>66</v>
      </c>
      <c r="G7" s="3" t="s">
        <v>67</v>
      </c>
      <c r="H7" s="2" t="s">
        <v>78</v>
      </c>
      <c r="I7" s="2" t="s">
        <v>69</v>
      </c>
      <c r="J7" s="2" t="s">
        <v>79</v>
      </c>
      <c r="K7" s="2" t="s">
        <v>80</v>
      </c>
      <c r="L7" s="2" t="s">
        <v>72</v>
      </c>
      <c r="M7" s="2" t="s">
        <v>73</v>
      </c>
      <c r="N7" s="2" t="s">
        <v>74</v>
      </c>
      <c r="O7" s="2" t="s">
        <v>81</v>
      </c>
    </row>
    <row r="8" spans="1:15" ht="38.25" x14ac:dyDescent="0.25">
      <c r="A8" s="2" t="s">
        <v>82</v>
      </c>
      <c r="B8" s="2" t="s">
        <v>16</v>
      </c>
      <c r="C8" s="2" t="s">
        <v>63</v>
      </c>
      <c r="D8" s="2" t="s">
        <v>83</v>
      </c>
      <c r="E8" s="2" t="s">
        <v>84</v>
      </c>
      <c r="F8" s="2" t="s">
        <v>85</v>
      </c>
      <c r="G8" s="3" t="s">
        <v>21</v>
      </c>
      <c r="H8" s="2" t="s">
        <v>86</v>
      </c>
      <c r="I8" s="2" t="s">
        <v>69</v>
      </c>
      <c r="J8" s="2" t="s">
        <v>87</v>
      </c>
      <c r="K8" s="2" t="s">
        <v>88</v>
      </c>
      <c r="L8" s="2" t="s">
        <v>72</v>
      </c>
      <c r="M8" s="2" t="s">
        <v>73</v>
      </c>
      <c r="N8" s="2" t="s">
        <v>28</v>
      </c>
      <c r="O8" s="2" t="s">
        <v>89</v>
      </c>
    </row>
    <row r="9" spans="1:15" ht="38.25" x14ac:dyDescent="0.25">
      <c r="A9" s="2" t="s">
        <v>90</v>
      </c>
      <c r="B9" s="2" t="s">
        <v>16</v>
      </c>
      <c r="C9" s="2" t="s">
        <v>63</v>
      </c>
      <c r="D9" s="2" t="s">
        <v>91</v>
      </c>
      <c r="E9" s="2" t="s">
        <v>65</v>
      </c>
      <c r="F9" s="2" t="s">
        <v>92</v>
      </c>
      <c r="G9" s="3" t="s">
        <v>93</v>
      </c>
      <c r="H9" s="2" t="s">
        <v>94</v>
      </c>
      <c r="I9" s="2" t="s">
        <v>69</v>
      </c>
      <c r="J9" s="2" t="s">
        <v>95</v>
      </c>
      <c r="K9" s="2" t="s">
        <v>88</v>
      </c>
      <c r="L9" s="2" t="s">
        <v>72</v>
      </c>
      <c r="M9" s="2" t="s">
        <v>73</v>
      </c>
      <c r="N9" s="2" t="s">
        <v>28</v>
      </c>
      <c r="O9" s="2" t="s">
        <v>81</v>
      </c>
    </row>
    <row r="10" spans="1:15" ht="51" x14ac:dyDescent="0.25">
      <c r="A10" s="2" t="s">
        <v>96</v>
      </c>
      <c r="B10" s="2" t="s">
        <v>16</v>
      </c>
      <c r="C10" s="2" t="s">
        <v>63</v>
      </c>
      <c r="D10" s="2" t="s">
        <v>97</v>
      </c>
      <c r="E10" s="2" t="s">
        <v>65</v>
      </c>
      <c r="F10" s="2" t="s">
        <v>98</v>
      </c>
      <c r="G10" s="3" t="s">
        <v>93</v>
      </c>
      <c r="H10" s="2" t="s">
        <v>99</v>
      </c>
      <c r="I10" s="2" t="s">
        <v>69</v>
      </c>
      <c r="J10" s="2" t="s">
        <v>100</v>
      </c>
      <c r="K10" s="2" t="s">
        <v>88</v>
      </c>
      <c r="L10" s="2" t="s">
        <v>72</v>
      </c>
      <c r="M10" s="2" t="s">
        <v>73</v>
      </c>
      <c r="N10" s="2" t="s">
        <v>28</v>
      </c>
      <c r="O10" s="2" t="s">
        <v>81</v>
      </c>
    </row>
    <row r="11" spans="1:15" ht="51" x14ac:dyDescent="0.25">
      <c r="A11" s="2" t="s">
        <v>101</v>
      </c>
      <c r="B11" s="2" t="s">
        <v>16</v>
      </c>
      <c r="C11" s="2" t="s">
        <v>63</v>
      </c>
      <c r="D11" s="2" t="s">
        <v>102</v>
      </c>
      <c r="E11" s="2" t="s">
        <v>65</v>
      </c>
      <c r="F11" s="2" t="s">
        <v>92</v>
      </c>
      <c r="G11" s="3" t="s">
        <v>21</v>
      </c>
      <c r="H11" s="2" t="s">
        <v>103</v>
      </c>
      <c r="I11" s="2" t="s">
        <v>69</v>
      </c>
      <c r="J11" s="2" t="s">
        <v>104</v>
      </c>
      <c r="K11" s="2" t="s">
        <v>88</v>
      </c>
      <c r="L11" s="2" t="s">
        <v>72</v>
      </c>
      <c r="M11" s="2" t="s">
        <v>73</v>
      </c>
      <c r="N11" s="2" t="s">
        <v>28</v>
      </c>
      <c r="O11" s="2" t="s">
        <v>81</v>
      </c>
    </row>
    <row r="12" spans="1:15" ht="63.75" x14ac:dyDescent="0.25">
      <c r="A12" s="2" t="s">
        <v>105</v>
      </c>
      <c r="B12" s="2" t="s">
        <v>16</v>
      </c>
      <c r="C12" s="2" t="s">
        <v>63</v>
      </c>
      <c r="D12" s="2" t="s">
        <v>106</v>
      </c>
      <c r="E12" s="2" t="s">
        <v>107</v>
      </c>
      <c r="F12" s="2" t="s">
        <v>98</v>
      </c>
      <c r="G12" s="3" t="s">
        <v>93</v>
      </c>
      <c r="H12" s="2" t="s">
        <v>108</v>
      </c>
      <c r="I12" s="2" t="s">
        <v>69</v>
      </c>
      <c r="J12" s="2" t="s">
        <v>109</v>
      </c>
      <c r="K12" s="2" t="s">
        <v>110</v>
      </c>
      <c r="L12" s="2" t="s">
        <v>72</v>
      </c>
      <c r="M12" s="2" t="s">
        <v>73</v>
      </c>
      <c r="N12" s="2" t="s">
        <v>28</v>
      </c>
      <c r="O12" s="2" t="s">
        <v>111</v>
      </c>
    </row>
    <row r="13" spans="1:15" ht="38.25" x14ac:dyDescent="0.25">
      <c r="A13" s="2" t="s">
        <v>112</v>
      </c>
      <c r="B13" s="2" t="s">
        <v>16</v>
      </c>
      <c r="C13" s="2" t="s">
        <v>63</v>
      </c>
      <c r="D13" s="2" t="s">
        <v>113</v>
      </c>
      <c r="E13" s="2" t="s">
        <v>107</v>
      </c>
      <c r="F13" s="2" t="s">
        <v>98</v>
      </c>
      <c r="G13" s="3" t="s">
        <v>21</v>
      </c>
      <c r="H13" s="2" t="s">
        <v>114</v>
      </c>
      <c r="I13" s="2" t="s">
        <v>69</v>
      </c>
      <c r="J13" s="2" t="s">
        <v>115</v>
      </c>
      <c r="K13" s="2" t="s">
        <v>88</v>
      </c>
      <c r="L13" s="2" t="s">
        <v>72</v>
      </c>
      <c r="M13" s="2" t="s">
        <v>73</v>
      </c>
      <c r="N13" s="2" t="s">
        <v>28</v>
      </c>
      <c r="O13" s="2" t="s">
        <v>81</v>
      </c>
    </row>
    <row r="14" spans="1:15" ht="38.25" x14ac:dyDescent="0.25">
      <c r="A14" s="2" t="s">
        <v>116</v>
      </c>
      <c r="B14" s="2" t="s">
        <v>16</v>
      </c>
      <c r="C14" s="2" t="s">
        <v>117</v>
      </c>
      <c r="D14" s="2" t="s">
        <v>118</v>
      </c>
      <c r="E14" s="2" t="s">
        <v>119</v>
      </c>
      <c r="F14" s="2" t="s">
        <v>120</v>
      </c>
      <c r="G14" s="3" t="s">
        <v>21</v>
      </c>
      <c r="H14" s="2" t="s">
        <v>121</v>
      </c>
      <c r="I14" s="2" t="s">
        <v>36</v>
      </c>
      <c r="J14" s="2" t="s">
        <v>37</v>
      </c>
      <c r="K14" s="2" t="s">
        <v>38</v>
      </c>
      <c r="L14" s="2" t="s">
        <v>39</v>
      </c>
      <c r="M14" s="2" t="s">
        <v>40</v>
      </c>
      <c r="N14" s="2" t="s">
        <v>28</v>
      </c>
      <c r="O14" s="2"/>
    </row>
    <row r="15" spans="1:15" ht="38.25" x14ac:dyDescent="0.25">
      <c r="A15" s="2" t="s">
        <v>122</v>
      </c>
      <c r="B15" s="2" t="s">
        <v>16</v>
      </c>
      <c r="C15" s="2" t="s">
        <v>117</v>
      </c>
      <c r="D15" s="2" t="s">
        <v>123</v>
      </c>
      <c r="E15" s="2" t="s">
        <v>124</v>
      </c>
      <c r="F15" s="2" t="s">
        <v>125</v>
      </c>
      <c r="G15" s="3" t="s">
        <v>34</v>
      </c>
      <c r="H15" s="2" t="s">
        <v>126</v>
      </c>
      <c r="I15" s="2" t="s">
        <v>127</v>
      </c>
      <c r="J15" s="2" t="s">
        <v>128</v>
      </c>
      <c r="K15" s="2" t="s">
        <v>129</v>
      </c>
      <c r="L15" s="2" t="s">
        <v>130</v>
      </c>
      <c r="M15" s="2" t="s">
        <v>131</v>
      </c>
      <c r="N15" s="2" t="s">
        <v>41</v>
      </c>
      <c r="O15" s="2"/>
    </row>
    <row r="16" spans="1:15" ht="51" x14ac:dyDescent="0.25">
      <c r="A16" s="2" t="s">
        <v>132</v>
      </c>
      <c r="B16" s="2" t="s">
        <v>16</v>
      </c>
      <c r="C16" s="2" t="s">
        <v>133</v>
      </c>
      <c r="D16" s="2" t="s">
        <v>134</v>
      </c>
      <c r="E16" s="2" t="s">
        <v>135</v>
      </c>
      <c r="F16" s="2" t="s">
        <v>136</v>
      </c>
      <c r="G16" s="3" t="s">
        <v>34</v>
      </c>
      <c r="H16" s="2" t="s">
        <v>137</v>
      </c>
      <c r="I16" s="2" t="s">
        <v>138</v>
      </c>
      <c r="J16" s="2" t="s">
        <v>139</v>
      </c>
      <c r="K16" s="2" t="s">
        <v>140</v>
      </c>
      <c r="L16" s="2" t="s">
        <v>141</v>
      </c>
      <c r="M16" s="2" t="s">
        <v>142</v>
      </c>
      <c r="N16" s="2" t="s">
        <v>41</v>
      </c>
      <c r="O16" s="2"/>
    </row>
    <row r="17" spans="1:15" ht="38.25" x14ac:dyDescent="0.25">
      <c r="A17" s="2" t="s">
        <v>143</v>
      </c>
      <c r="B17" s="2" t="s">
        <v>16</v>
      </c>
      <c r="C17" s="2" t="s">
        <v>133</v>
      </c>
      <c r="D17" s="2" t="s">
        <v>144</v>
      </c>
      <c r="E17" s="2" t="s">
        <v>135</v>
      </c>
      <c r="F17" s="2" t="s">
        <v>136</v>
      </c>
      <c r="G17" s="3" t="s">
        <v>34</v>
      </c>
      <c r="H17" s="2" t="s">
        <v>145</v>
      </c>
      <c r="I17" s="2" t="s">
        <v>138</v>
      </c>
      <c r="J17" s="2" t="s">
        <v>139</v>
      </c>
      <c r="K17" s="2" t="s">
        <v>140</v>
      </c>
      <c r="L17" s="2" t="s">
        <v>141</v>
      </c>
      <c r="M17" s="2" t="s">
        <v>142</v>
      </c>
      <c r="N17" s="2" t="s">
        <v>41</v>
      </c>
      <c r="O17" s="2"/>
    </row>
    <row r="18" spans="1:15" ht="38.25" x14ac:dyDescent="0.25">
      <c r="A18" s="2" t="s">
        <v>146</v>
      </c>
      <c r="B18" s="2" t="s">
        <v>16</v>
      </c>
      <c r="C18" s="2" t="s">
        <v>147</v>
      </c>
      <c r="D18" s="2" t="s">
        <v>148</v>
      </c>
      <c r="E18" s="2" t="s">
        <v>149</v>
      </c>
      <c r="F18" s="2" t="s">
        <v>20</v>
      </c>
      <c r="G18" s="3" t="s">
        <v>21</v>
      </c>
      <c r="H18" s="2" t="s">
        <v>150</v>
      </c>
      <c r="I18" s="2" t="s">
        <v>23</v>
      </c>
      <c r="J18" s="2" t="s">
        <v>24</v>
      </c>
      <c r="K18" s="2" t="s">
        <v>25</v>
      </c>
      <c r="L18" s="2" t="s">
        <v>26</v>
      </c>
      <c r="M18" s="2" t="s">
        <v>27</v>
      </c>
      <c r="N18" s="2" t="s">
        <v>28</v>
      </c>
      <c r="O18" s="2"/>
    </row>
    <row r="19" spans="1:15" ht="63.75" x14ac:dyDescent="0.25">
      <c r="A19" s="2" t="s">
        <v>151</v>
      </c>
      <c r="B19" s="2" t="s">
        <v>16</v>
      </c>
      <c r="C19" s="2" t="s">
        <v>147</v>
      </c>
      <c r="D19" s="2" t="s">
        <v>152</v>
      </c>
      <c r="E19" s="2" t="s">
        <v>153</v>
      </c>
      <c r="F19" s="2" t="s">
        <v>154</v>
      </c>
      <c r="G19" s="3" t="s">
        <v>93</v>
      </c>
      <c r="H19" s="2" t="s">
        <v>155</v>
      </c>
      <c r="I19" s="2" t="s">
        <v>23</v>
      </c>
      <c r="J19" s="2" t="s">
        <v>24</v>
      </c>
      <c r="K19" s="2" t="s">
        <v>25</v>
      </c>
      <c r="L19" s="2" t="s">
        <v>26</v>
      </c>
      <c r="M19" s="2" t="s">
        <v>27</v>
      </c>
      <c r="N19" s="2" t="s">
        <v>28</v>
      </c>
      <c r="O19" s="2"/>
    </row>
    <row r="20" spans="1:15" ht="38.25" x14ac:dyDescent="0.25">
      <c r="A20" s="2" t="s">
        <v>156</v>
      </c>
      <c r="B20" s="2" t="s">
        <v>16</v>
      </c>
      <c r="C20" s="2" t="s">
        <v>157</v>
      </c>
      <c r="D20" s="2" t="s">
        <v>158</v>
      </c>
      <c r="E20" s="2" t="s">
        <v>159</v>
      </c>
      <c r="F20" s="2" t="s">
        <v>160</v>
      </c>
      <c r="G20" s="3" t="s">
        <v>21</v>
      </c>
      <c r="H20" s="2" t="s">
        <v>161</v>
      </c>
      <c r="I20" s="2" t="s">
        <v>162</v>
      </c>
      <c r="J20" s="2" t="s">
        <v>163</v>
      </c>
      <c r="K20" s="2" t="s">
        <v>164</v>
      </c>
      <c r="L20" s="2" t="s">
        <v>165</v>
      </c>
      <c r="M20" s="2" t="s">
        <v>61</v>
      </c>
      <c r="N20" s="2" t="s">
        <v>28</v>
      </c>
      <c r="O20" s="2"/>
    </row>
    <row r="21" spans="1:15" ht="102" x14ac:dyDescent="0.25">
      <c r="A21" s="2" t="s">
        <v>166</v>
      </c>
      <c r="B21" s="2" t="s">
        <v>16</v>
      </c>
      <c r="C21" s="2" t="s">
        <v>167</v>
      </c>
      <c r="D21" s="2" t="s">
        <v>168</v>
      </c>
      <c r="E21" s="2" t="s">
        <v>169</v>
      </c>
      <c r="F21" s="2" t="s">
        <v>170</v>
      </c>
      <c r="G21" s="3" t="s">
        <v>34</v>
      </c>
      <c r="H21" s="2" t="s">
        <v>171</v>
      </c>
      <c r="I21" s="2" t="s">
        <v>127</v>
      </c>
      <c r="J21" s="2" t="s">
        <v>128</v>
      </c>
      <c r="K21" s="2" t="s">
        <v>129</v>
      </c>
      <c r="L21" s="2" t="s">
        <v>130</v>
      </c>
      <c r="M21" s="2" t="s">
        <v>131</v>
      </c>
      <c r="N21" s="2" t="s">
        <v>41</v>
      </c>
      <c r="O21" s="2"/>
    </row>
    <row r="22" spans="1:15" ht="63.75" x14ac:dyDescent="0.25">
      <c r="A22" s="2" t="s">
        <v>172</v>
      </c>
      <c r="B22" s="2" t="s">
        <v>16</v>
      </c>
      <c r="C22" s="2" t="s">
        <v>167</v>
      </c>
      <c r="D22" s="2" t="s">
        <v>173</v>
      </c>
      <c r="E22" s="2" t="s">
        <v>169</v>
      </c>
      <c r="F22" s="2" t="s">
        <v>174</v>
      </c>
      <c r="G22" s="3" t="s">
        <v>21</v>
      </c>
      <c r="H22" s="2" t="s">
        <v>175</v>
      </c>
      <c r="I22" s="2" t="s">
        <v>176</v>
      </c>
      <c r="J22" s="2" t="s">
        <v>177</v>
      </c>
      <c r="K22" s="2" t="s">
        <v>178</v>
      </c>
      <c r="L22" s="2" t="s">
        <v>179</v>
      </c>
      <c r="M22" s="2" t="s">
        <v>180</v>
      </c>
      <c r="N22" s="2" t="s">
        <v>28</v>
      </c>
      <c r="O22" s="2"/>
    </row>
    <row r="23" spans="1:15" ht="76.5" x14ac:dyDescent="0.25">
      <c r="A23" s="2" t="s">
        <v>181</v>
      </c>
      <c r="B23" s="2" t="s">
        <v>16</v>
      </c>
      <c r="C23" s="2" t="s">
        <v>167</v>
      </c>
      <c r="D23" s="2" t="s">
        <v>182</v>
      </c>
      <c r="E23" s="2" t="s">
        <v>169</v>
      </c>
      <c r="F23" s="2" t="s">
        <v>183</v>
      </c>
      <c r="G23" s="3" t="s">
        <v>21</v>
      </c>
      <c r="H23" s="2" t="s">
        <v>184</v>
      </c>
      <c r="I23" s="2" t="s">
        <v>185</v>
      </c>
      <c r="J23" s="2" t="s">
        <v>186</v>
      </c>
      <c r="K23" s="2" t="s">
        <v>187</v>
      </c>
      <c r="L23" s="2" t="s">
        <v>60</v>
      </c>
      <c r="M23" s="2" t="s">
        <v>188</v>
      </c>
      <c r="N23" s="2" t="s">
        <v>28</v>
      </c>
      <c r="O23" s="2"/>
    </row>
    <row r="24" spans="1:15" ht="51" x14ac:dyDescent="0.25">
      <c r="A24" s="2" t="s">
        <v>189</v>
      </c>
      <c r="B24" s="2" t="s">
        <v>16</v>
      </c>
      <c r="C24" s="2" t="s">
        <v>167</v>
      </c>
      <c r="D24" s="2" t="s">
        <v>190</v>
      </c>
      <c r="E24" s="2" t="s">
        <v>84</v>
      </c>
      <c r="F24" s="2" t="s">
        <v>183</v>
      </c>
      <c r="G24" s="3" t="s">
        <v>34</v>
      </c>
      <c r="H24" s="2" t="s">
        <v>191</v>
      </c>
      <c r="I24" s="2" t="s">
        <v>185</v>
      </c>
      <c r="J24" s="2" t="s">
        <v>186</v>
      </c>
      <c r="K24" s="2" t="s">
        <v>187</v>
      </c>
      <c r="L24" s="2" t="s">
        <v>60</v>
      </c>
      <c r="M24" s="2" t="s">
        <v>188</v>
      </c>
      <c r="N24" s="2" t="s">
        <v>41</v>
      </c>
      <c r="O24" s="2"/>
    </row>
    <row r="25" spans="1:15" ht="38.25" x14ac:dyDescent="0.25">
      <c r="A25" s="2" t="s">
        <v>192</v>
      </c>
      <c r="B25" s="2" t="s">
        <v>16</v>
      </c>
      <c r="C25" s="2" t="s">
        <v>167</v>
      </c>
      <c r="D25" s="2" t="s">
        <v>193</v>
      </c>
      <c r="E25" s="2" t="s">
        <v>84</v>
      </c>
      <c r="F25" s="2" t="s">
        <v>194</v>
      </c>
      <c r="G25" s="3" t="s">
        <v>21</v>
      </c>
      <c r="H25" s="2" t="s">
        <v>195</v>
      </c>
      <c r="I25" s="2" t="s">
        <v>185</v>
      </c>
      <c r="J25" s="2" t="s">
        <v>186</v>
      </c>
      <c r="K25" s="2" t="s">
        <v>187</v>
      </c>
      <c r="L25" s="2" t="s">
        <v>60</v>
      </c>
      <c r="M25" s="2" t="s">
        <v>188</v>
      </c>
      <c r="N25" s="2" t="s">
        <v>28</v>
      </c>
      <c r="O25" s="2"/>
    </row>
    <row r="26" spans="1:15" ht="51" x14ac:dyDescent="0.25">
      <c r="A26" s="2" t="s">
        <v>196</v>
      </c>
      <c r="B26" s="2" t="s">
        <v>16</v>
      </c>
      <c r="C26" s="2" t="s">
        <v>167</v>
      </c>
      <c r="D26" s="2" t="s">
        <v>197</v>
      </c>
      <c r="E26" s="2" t="s">
        <v>169</v>
      </c>
      <c r="F26" s="2" t="s">
        <v>198</v>
      </c>
      <c r="G26" s="3" t="s">
        <v>21</v>
      </c>
      <c r="H26" s="2" t="s">
        <v>199</v>
      </c>
      <c r="I26" s="2" t="s">
        <v>162</v>
      </c>
      <c r="J26" s="2" t="s">
        <v>163</v>
      </c>
      <c r="K26" s="2" t="s">
        <v>164</v>
      </c>
      <c r="L26" s="2" t="s">
        <v>165</v>
      </c>
      <c r="M26" s="2" t="s">
        <v>61</v>
      </c>
      <c r="N26" s="2" t="s">
        <v>28</v>
      </c>
      <c r="O26" s="2"/>
    </row>
    <row r="27" spans="1:15" ht="38.25" x14ac:dyDescent="0.25">
      <c r="A27" s="2" t="s">
        <v>200</v>
      </c>
      <c r="B27" s="2" t="s">
        <v>16</v>
      </c>
      <c r="C27" s="2" t="s">
        <v>167</v>
      </c>
      <c r="D27" s="2" t="s">
        <v>201</v>
      </c>
      <c r="E27" s="2" t="s">
        <v>202</v>
      </c>
      <c r="F27" s="2" t="s">
        <v>198</v>
      </c>
      <c r="G27" s="3" t="s">
        <v>34</v>
      </c>
      <c r="H27" s="2" t="s">
        <v>203</v>
      </c>
      <c r="I27" s="2" t="s">
        <v>162</v>
      </c>
      <c r="J27" s="2" t="s">
        <v>163</v>
      </c>
      <c r="K27" s="2" t="s">
        <v>164</v>
      </c>
      <c r="L27" s="2" t="s">
        <v>165</v>
      </c>
      <c r="M27" s="2" t="s">
        <v>61</v>
      </c>
      <c r="N27" s="2" t="s">
        <v>41</v>
      </c>
      <c r="O27" s="2"/>
    </row>
    <row r="28" spans="1:15" ht="63.75" x14ac:dyDescent="0.25">
      <c r="A28" s="2" t="s">
        <v>204</v>
      </c>
      <c r="B28" s="2" t="s">
        <v>16</v>
      </c>
      <c r="C28" s="2" t="s">
        <v>167</v>
      </c>
      <c r="D28" s="2" t="s">
        <v>205</v>
      </c>
      <c r="E28" s="2" t="s">
        <v>169</v>
      </c>
      <c r="F28" s="2" t="s">
        <v>206</v>
      </c>
      <c r="G28" s="3" t="s">
        <v>21</v>
      </c>
      <c r="H28" s="2" t="s">
        <v>207</v>
      </c>
      <c r="I28" s="2" t="s">
        <v>57</v>
      </c>
      <c r="J28" s="2" t="s">
        <v>58</v>
      </c>
      <c r="K28" s="2" t="s">
        <v>59</v>
      </c>
      <c r="L28" s="2" t="s">
        <v>60</v>
      </c>
      <c r="M28" s="2" t="s">
        <v>61</v>
      </c>
      <c r="N28" s="2" t="s">
        <v>28</v>
      </c>
      <c r="O28" s="2"/>
    </row>
    <row r="29" spans="1:15" ht="51" x14ac:dyDescent="0.25">
      <c r="A29" s="2" t="s">
        <v>208</v>
      </c>
      <c r="B29" s="2" t="s">
        <v>16</v>
      </c>
      <c r="C29" s="2" t="s">
        <v>167</v>
      </c>
      <c r="D29" s="2" t="s">
        <v>209</v>
      </c>
      <c r="E29" s="2" t="s">
        <v>169</v>
      </c>
      <c r="F29" s="2" t="s">
        <v>55</v>
      </c>
      <c r="G29" s="3" t="s">
        <v>21</v>
      </c>
      <c r="H29" s="2" t="s">
        <v>210</v>
      </c>
      <c r="I29" s="2" t="s">
        <v>57</v>
      </c>
      <c r="J29" s="2" t="s">
        <v>58</v>
      </c>
      <c r="K29" s="2" t="s">
        <v>59</v>
      </c>
      <c r="L29" s="2" t="s">
        <v>60</v>
      </c>
      <c r="M29" s="2" t="s">
        <v>61</v>
      </c>
      <c r="N29" s="2" t="s">
        <v>28</v>
      </c>
      <c r="O29" s="2"/>
    </row>
    <row r="30" spans="1:15" ht="38.25" x14ac:dyDescent="0.25">
      <c r="A30" s="2" t="s">
        <v>211</v>
      </c>
      <c r="B30" s="2" t="s">
        <v>16</v>
      </c>
      <c r="C30" s="2" t="s">
        <v>167</v>
      </c>
      <c r="D30" s="2" t="s">
        <v>212</v>
      </c>
      <c r="E30" s="2" t="s">
        <v>169</v>
      </c>
      <c r="F30" s="2" t="s">
        <v>55</v>
      </c>
      <c r="G30" s="3" t="s">
        <v>34</v>
      </c>
      <c r="H30" s="2" t="s">
        <v>213</v>
      </c>
      <c r="I30" s="2" t="s">
        <v>57</v>
      </c>
      <c r="J30" s="2" t="s">
        <v>58</v>
      </c>
      <c r="K30" s="2" t="s">
        <v>59</v>
      </c>
      <c r="L30" s="2" t="s">
        <v>60</v>
      </c>
      <c r="M30" s="2" t="s">
        <v>61</v>
      </c>
      <c r="N30" s="2" t="s">
        <v>41</v>
      </c>
      <c r="O30" s="2"/>
    </row>
    <row r="31" spans="1:15" ht="38.25" x14ac:dyDescent="0.25">
      <c r="A31" s="2" t="s">
        <v>214</v>
      </c>
      <c r="B31" s="2" t="s">
        <v>16</v>
      </c>
      <c r="C31" s="2" t="s">
        <v>215</v>
      </c>
      <c r="D31" s="2" t="s">
        <v>216</v>
      </c>
      <c r="E31" s="2" t="s">
        <v>202</v>
      </c>
      <c r="F31" s="2" t="s">
        <v>217</v>
      </c>
      <c r="G31" s="3" t="s">
        <v>93</v>
      </c>
      <c r="H31" s="2" t="s">
        <v>218</v>
      </c>
      <c r="I31" s="2" t="s">
        <v>219</v>
      </c>
      <c r="J31" s="2" t="s">
        <v>220</v>
      </c>
      <c r="K31" s="2" t="s">
        <v>221</v>
      </c>
      <c r="L31" s="2" t="s">
        <v>222</v>
      </c>
      <c r="M31" s="2" t="s">
        <v>223</v>
      </c>
      <c r="N31" s="2" t="s">
        <v>28</v>
      </c>
      <c r="O31" s="2"/>
    </row>
    <row r="32" spans="1:15" ht="38.25" x14ac:dyDescent="0.25">
      <c r="A32" s="2" t="s">
        <v>224</v>
      </c>
      <c r="B32" s="2" t="s">
        <v>16</v>
      </c>
      <c r="C32" s="2" t="s">
        <v>215</v>
      </c>
      <c r="D32" s="2" t="s">
        <v>225</v>
      </c>
      <c r="E32" s="2" t="s">
        <v>226</v>
      </c>
      <c r="F32" s="2" t="s">
        <v>217</v>
      </c>
      <c r="G32" s="3" t="s">
        <v>93</v>
      </c>
      <c r="H32" s="2" t="s">
        <v>227</v>
      </c>
      <c r="I32" s="2" t="s">
        <v>219</v>
      </c>
      <c r="J32" s="2" t="s">
        <v>220</v>
      </c>
      <c r="K32" s="2" t="s">
        <v>221</v>
      </c>
      <c r="L32" s="2" t="s">
        <v>222</v>
      </c>
      <c r="M32" s="2" t="s">
        <v>223</v>
      </c>
      <c r="N32" s="2" t="s">
        <v>28</v>
      </c>
      <c r="O32" s="2"/>
    </row>
    <row r="33" spans="1:15" ht="38.25" x14ac:dyDescent="0.25">
      <c r="A33" s="2" t="s">
        <v>228</v>
      </c>
      <c r="B33" s="2" t="s">
        <v>16</v>
      </c>
      <c r="C33" s="2" t="s">
        <v>215</v>
      </c>
      <c r="D33" s="2" t="s">
        <v>229</v>
      </c>
      <c r="E33" s="2" t="s">
        <v>230</v>
      </c>
      <c r="F33" s="2" t="s">
        <v>231</v>
      </c>
      <c r="G33" s="3" t="s">
        <v>67</v>
      </c>
      <c r="H33" s="2" t="s">
        <v>232</v>
      </c>
      <c r="I33" s="2" t="s">
        <v>219</v>
      </c>
      <c r="J33" s="2" t="s">
        <v>220</v>
      </c>
      <c r="K33" s="2" t="s">
        <v>221</v>
      </c>
      <c r="L33" s="2" t="s">
        <v>222</v>
      </c>
      <c r="M33" s="2" t="s">
        <v>223</v>
      </c>
      <c r="N33" s="2" t="s">
        <v>74</v>
      </c>
      <c r="O33" s="2" t="s">
        <v>233</v>
      </c>
    </row>
    <row r="34" spans="1:15" ht="38.25" x14ac:dyDescent="0.25">
      <c r="A34" s="2" t="s">
        <v>234</v>
      </c>
      <c r="B34" s="2" t="s">
        <v>16</v>
      </c>
      <c r="C34" s="2" t="s">
        <v>215</v>
      </c>
      <c r="D34" s="2" t="s">
        <v>235</v>
      </c>
      <c r="E34" s="2" t="s">
        <v>230</v>
      </c>
      <c r="F34" s="2" t="s">
        <v>236</v>
      </c>
      <c r="G34" s="3" t="s">
        <v>67</v>
      </c>
      <c r="H34" s="2" t="s">
        <v>237</v>
      </c>
      <c r="I34" s="2" t="s">
        <v>219</v>
      </c>
      <c r="J34" s="2" t="s">
        <v>220</v>
      </c>
      <c r="K34" s="2" t="s">
        <v>221</v>
      </c>
      <c r="L34" s="2" t="s">
        <v>222</v>
      </c>
      <c r="M34" s="2" t="s">
        <v>223</v>
      </c>
      <c r="N34" s="2" t="s">
        <v>74</v>
      </c>
      <c r="O34" s="2" t="s">
        <v>233</v>
      </c>
    </row>
    <row r="35" spans="1:15" ht="76.5" x14ac:dyDescent="0.25">
      <c r="A35" s="2" t="s">
        <v>238</v>
      </c>
      <c r="B35" s="2" t="s">
        <v>16</v>
      </c>
      <c r="C35" s="2" t="s">
        <v>215</v>
      </c>
      <c r="D35" s="2" t="s">
        <v>239</v>
      </c>
      <c r="E35" s="2" t="s">
        <v>230</v>
      </c>
      <c r="F35" s="2" t="s">
        <v>240</v>
      </c>
      <c r="G35" s="3" t="s">
        <v>93</v>
      </c>
      <c r="H35" s="2" t="s">
        <v>241</v>
      </c>
      <c r="I35" s="2" t="s">
        <v>219</v>
      </c>
      <c r="J35" s="2" t="s">
        <v>220</v>
      </c>
      <c r="K35" s="2" t="s">
        <v>221</v>
      </c>
      <c r="L35" s="2" t="s">
        <v>222</v>
      </c>
      <c r="M35" s="2" t="s">
        <v>223</v>
      </c>
      <c r="N35" s="2" t="s">
        <v>28</v>
      </c>
      <c r="O35" s="2" t="s">
        <v>242</v>
      </c>
    </row>
    <row r="36" spans="1:15" ht="38.25" x14ac:dyDescent="0.25">
      <c r="A36" s="2" t="s">
        <v>243</v>
      </c>
      <c r="B36" s="2" t="s">
        <v>16</v>
      </c>
      <c r="C36" s="2" t="s">
        <v>215</v>
      </c>
      <c r="D36" s="2" t="s">
        <v>244</v>
      </c>
      <c r="E36" s="2" t="s">
        <v>135</v>
      </c>
      <c r="F36" s="2" t="s">
        <v>154</v>
      </c>
      <c r="G36" s="3" t="s">
        <v>93</v>
      </c>
      <c r="H36" s="2" t="s">
        <v>245</v>
      </c>
      <c r="I36" s="2" t="s">
        <v>23</v>
      </c>
      <c r="J36" s="2" t="s">
        <v>24</v>
      </c>
      <c r="K36" s="2" t="s">
        <v>25</v>
      </c>
      <c r="L36" s="2" t="s">
        <v>26</v>
      </c>
      <c r="M36" s="2" t="s">
        <v>27</v>
      </c>
      <c r="N36" s="2" t="s">
        <v>28</v>
      </c>
      <c r="O36" s="2"/>
    </row>
    <row r="37" spans="1:15" ht="38.25" x14ac:dyDescent="0.25">
      <c r="A37" s="2" t="s">
        <v>246</v>
      </c>
      <c r="B37" s="2" t="s">
        <v>16</v>
      </c>
      <c r="C37" s="2" t="s">
        <v>215</v>
      </c>
      <c r="D37" s="2" t="s">
        <v>247</v>
      </c>
      <c r="E37" s="2" t="s">
        <v>248</v>
      </c>
      <c r="F37" s="2" t="s">
        <v>154</v>
      </c>
      <c r="G37" s="3" t="s">
        <v>21</v>
      </c>
      <c r="H37" s="2" t="s">
        <v>249</v>
      </c>
      <c r="I37" s="2" t="s">
        <v>23</v>
      </c>
      <c r="J37" s="2" t="s">
        <v>24</v>
      </c>
      <c r="K37" s="2" t="s">
        <v>25</v>
      </c>
      <c r="L37" s="2" t="s">
        <v>26</v>
      </c>
      <c r="M37" s="2" t="s">
        <v>27</v>
      </c>
      <c r="N37" s="2" t="s">
        <v>28</v>
      </c>
      <c r="O37" s="2"/>
    </row>
    <row r="38" spans="1:15" ht="38.25" x14ac:dyDescent="0.25">
      <c r="A38" s="2" t="s">
        <v>250</v>
      </c>
      <c r="B38" s="2" t="s">
        <v>16</v>
      </c>
      <c r="C38" s="2" t="s">
        <v>215</v>
      </c>
      <c r="D38" s="2" t="s">
        <v>251</v>
      </c>
      <c r="E38" s="2" t="s">
        <v>202</v>
      </c>
      <c r="F38" s="2" t="s">
        <v>252</v>
      </c>
      <c r="G38" s="3" t="s">
        <v>93</v>
      </c>
      <c r="H38" s="2" t="s">
        <v>253</v>
      </c>
      <c r="I38" s="2" t="s">
        <v>23</v>
      </c>
      <c r="J38" s="2" t="s">
        <v>24</v>
      </c>
      <c r="K38" s="2" t="s">
        <v>25</v>
      </c>
      <c r="L38" s="2" t="s">
        <v>26</v>
      </c>
      <c r="M38" s="2" t="s">
        <v>27</v>
      </c>
      <c r="N38" s="2" t="s">
        <v>28</v>
      </c>
      <c r="O38" s="2"/>
    </row>
    <row r="39" spans="1:15" ht="38.25" x14ac:dyDescent="0.25">
      <c r="A39" s="2" t="s">
        <v>254</v>
      </c>
      <c r="B39" s="2" t="s">
        <v>16</v>
      </c>
      <c r="C39" s="2" t="s">
        <v>215</v>
      </c>
      <c r="D39" s="2" t="s">
        <v>255</v>
      </c>
      <c r="E39" s="2" t="s">
        <v>202</v>
      </c>
      <c r="F39" s="2" t="s">
        <v>256</v>
      </c>
      <c r="G39" s="3" t="s">
        <v>34</v>
      </c>
      <c r="H39" s="2" t="s">
        <v>257</v>
      </c>
      <c r="I39" s="2" t="s">
        <v>185</v>
      </c>
      <c r="J39" s="2" t="s">
        <v>186</v>
      </c>
      <c r="K39" s="2" t="s">
        <v>187</v>
      </c>
      <c r="L39" s="2" t="s">
        <v>60</v>
      </c>
      <c r="M39" s="2" t="s">
        <v>188</v>
      </c>
      <c r="N39" s="2" t="s">
        <v>41</v>
      </c>
      <c r="O39" s="2"/>
    </row>
    <row r="40" spans="1:15" ht="51" x14ac:dyDescent="0.25">
      <c r="A40" s="2" t="s">
        <v>258</v>
      </c>
      <c r="B40" s="2" t="s">
        <v>16</v>
      </c>
      <c r="C40" s="2" t="s">
        <v>259</v>
      </c>
      <c r="D40" s="2" t="s">
        <v>260</v>
      </c>
      <c r="E40" s="2" t="s">
        <v>135</v>
      </c>
      <c r="F40" s="2" t="s">
        <v>261</v>
      </c>
      <c r="G40" s="3" t="s">
        <v>67</v>
      </c>
      <c r="H40" s="2" t="s">
        <v>262</v>
      </c>
      <c r="I40" s="2" t="s">
        <v>263</v>
      </c>
      <c r="J40" s="2" t="s">
        <v>264</v>
      </c>
      <c r="K40" s="2" t="s">
        <v>265</v>
      </c>
      <c r="L40" s="2" t="s">
        <v>266</v>
      </c>
      <c r="M40" s="2" t="s">
        <v>267</v>
      </c>
      <c r="N40" s="2" t="s">
        <v>74</v>
      </c>
      <c r="O40" s="2" t="s">
        <v>268</v>
      </c>
    </row>
    <row r="41" spans="1:15" ht="51" x14ac:dyDescent="0.25">
      <c r="A41" s="2" t="s">
        <v>269</v>
      </c>
      <c r="B41" s="2" t="s">
        <v>16</v>
      </c>
      <c r="C41" s="2" t="s">
        <v>259</v>
      </c>
      <c r="D41" s="2" t="s">
        <v>270</v>
      </c>
      <c r="E41" s="2" t="s">
        <v>135</v>
      </c>
      <c r="F41" s="2" t="s">
        <v>271</v>
      </c>
      <c r="G41" s="3" t="s">
        <v>67</v>
      </c>
      <c r="H41" s="2" t="s">
        <v>272</v>
      </c>
      <c r="I41" s="2" t="s">
        <v>263</v>
      </c>
      <c r="J41" s="2" t="s">
        <v>264</v>
      </c>
      <c r="K41" s="2" t="s">
        <v>265</v>
      </c>
      <c r="L41" s="2" t="s">
        <v>266</v>
      </c>
      <c r="M41" s="2" t="s">
        <v>267</v>
      </c>
      <c r="N41" s="2" t="s">
        <v>74</v>
      </c>
      <c r="O41" s="2" t="s">
        <v>268</v>
      </c>
    </row>
    <row r="42" spans="1:15" ht="51" x14ac:dyDescent="0.25">
      <c r="A42" s="2" t="s">
        <v>273</v>
      </c>
      <c r="B42" s="2" t="s">
        <v>16</v>
      </c>
      <c r="C42" s="2" t="s">
        <v>259</v>
      </c>
      <c r="D42" s="2" t="s">
        <v>274</v>
      </c>
      <c r="E42" s="2" t="s">
        <v>275</v>
      </c>
      <c r="F42" s="2" t="s">
        <v>276</v>
      </c>
      <c r="G42" s="3" t="s">
        <v>67</v>
      </c>
      <c r="H42" s="2" t="s">
        <v>277</v>
      </c>
      <c r="I42" s="2" t="s">
        <v>263</v>
      </c>
      <c r="J42" s="2" t="s">
        <v>264</v>
      </c>
      <c r="K42" s="2" t="s">
        <v>265</v>
      </c>
      <c r="L42" s="2" t="s">
        <v>266</v>
      </c>
      <c r="M42" s="2" t="s">
        <v>267</v>
      </c>
      <c r="N42" s="2" t="s">
        <v>74</v>
      </c>
      <c r="O42" s="2" t="s">
        <v>268</v>
      </c>
    </row>
    <row r="43" spans="1:15" ht="51" x14ac:dyDescent="0.25">
      <c r="A43" s="2" t="s">
        <v>278</v>
      </c>
      <c r="B43" s="2" t="s">
        <v>16</v>
      </c>
      <c r="C43" s="2" t="s">
        <v>259</v>
      </c>
      <c r="D43" s="2" t="s">
        <v>279</v>
      </c>
      <c r="E43" s="2" t="s">
        <v>275</v>
      </c>
      <c r="F43" s="2" t="s">
        <v>261</v>
      </c>
      <c r="G43" s="3" t="s">
        <v>67</v>
      </c>
      <c r="H43" s="2" t="s">
        <v>280</v>
      </c>
      <c r="I43" s="2" t="s">
        <v>263</v>
      </c>
      <c r="J43" s="2" t="s">
        <v>264</v>
      </c>
      <c r="K43" s="2" t="s">
        <v>265</v>
      </c>
      <c r="L43" s="2" t="s">
        <v>266</v>
      </c>
      <c r="M43" s="2" t="s">
        <v>267</v>
      </c>
      <c r="N43" s="2" t="s">
        <v>74</v>
      </c>
      <c r="O43" s="2" t="s">
        <v>268</v>
      </c>
    </row>
    <row r="44" spans="1:15" ht="51" x14ac:dyDescent="0.25">
      <c r="A44" s="2" t="s">
        <v>281</v>
      </c>
      <c r="B44" s="2" t="s">
        <v>16</v>
      </c>
      <c r="C44" s="2" t="s">
        <v>259</v>
      </c>
      <c r="D44" s="2" t="s">
        <v>282</v>
      </c>
      <c r="E44" s="2" t="s">
        <v>283</v>
      </c>
      <c r="F44" s="2" t="s">
        <v>261</v>
      </c>
      <c r="G44" s="3" t="s">
        <v>93</v>
      </c>
      <c r="H44" s="2" t="s">
        <v>284</v>
      </c>
      <c r="I44" s="2" t="s">
        <v>263</v>
      </c>
      <c r="J44" s="2" t="s">
        <v>264</v>
      </c>
      <c r="K44" s="2" t="s">
        <v>265</v>
      </c>
      <c r="L44" s="2" t="s">
        <v>266</v>
      </c>
      <c r="M44" s="2" t="s">
        <v>267</v>
      </c>
      <c r="N44" s="2" t="s">
        <v>28</v>
      </c>
      <c r="O44" s="2" t="s">
        <v>268</v>
      </c>
    </row>
    <row r="45" spans="1:15" ht="51" x14ac:dyDescent="0.25">
      <c r="A45" s="2" t="s">
        <v>285</v>
      </c>
      <c r="B45" s="2" t="s">
        <v>16</v>
      </c>
      <c r="C45" s="2" t="s">
        <v>259</v>
      </c>
      <c r="D45" s="2" t="s">
        <v>286</v>
      </c>
      <c r="E45" s="2" t="s">
        <v>275</v>
      </c>
      <c r="F45" s="2" t="s">
        <v>261</v>
      </c>
      <c r="G45" s="3" t="s">
        <v>67</v>
      </c>
      <c r="H45" s="2" t="s">
        <v>287</v>
      </c>
      <c r="I45" s="2" t="s">
        <v>263</v>
      </c>
      <c r="J45" s="2" t="s">
        <v>264</v>
      </c>
      <c r="K45" s="2" t="s">
        <v>265</v>
      </c>
      <c r="L45" s="2" t="s">
        <v>266</v>
      </c>
      <c r="M45" s="2" t="s">
        <v>267</v>
      </c>
      <c r="N45" s="2" t="s">
        <v>74</v>
      </c>
      <c r="O45" s="2" t="s">
        <v>268</v>
      </c>
    </row>
    <row r="46" spans="1:15" ht="51" x14ac:dyDescent="0.25">
      <c r="A46" s="2" t="s">
        <v>288</v>
      </c>
      <c r="B46" s="2" t="s">
        <v>16</v>
      </c>
      <c r="C46" s="2" t="s">
        <v>259</v>
      </c>
      <c r="D46" s="2" t="s">
        <v>289</v>
      </c>
      <c r="E46" s="2" t="s">
        <v>283</v>
      </c>
      <c r="F46" s="2" t="s">
        <v>261</v>
      </c>
      <c r="G46" s="3" t="s">
        <v>93</v>
      </c>
      <c r="H46" s="2" t="s">
        <v>290</v>
      </c>
      <c r="I46" s="2" t="s">
        <v>263</v>
      </c>
      <c r="J46" s="2" t="s">
        <v>264</v>
      </c>
      <c r="K46" s="2" t="s">
        <v>265</v>
      </c>
      <c r="L46" s="2" t="s">
        <v>266</v>
      </c>
      <c r="M46" s="2" t="s">
        <v>267</v>
      </c>
      <c r="N46" s="2" t="s">
        <v>28</v>
      </c>
      <c r="O46" s="2" t="s">
        <v>268</v>
      </c>
    </row>
    <row r="47" spans="1:15" ht="51" x14ac:dyDescent="0.25">
      <c r="A47" s="2" t="s">
        <v>291</v>
      </c>
      <c r="B47" s="2" t="s">
        <v>16</v>
      </c>
      <c r="C47" s="2" t="s">
        <v>259</v>
      </c>
      <c r="D47" s="2" t="s">
        <v>292</v>
      </c>
      <c r="E47" s="2" t="s">
        <v>283</v>
      </c>
      <c r="F47" s="2" t="s">
        <v>261</v>
      </c>
      <c r="G47" s="3" t="s">
        <v>21</v>
      </c>
      <c r="H47" s="2" t="s">
        <v>293</v>
      </c>
      <c r="I47" s="2" t="s">
        <v>263</v>
      </c>
      <c r="J47" s="2" t="s">
        <v>264</v>
      </c>
      <c r="K47" s="2" t="s">
        <v>265</v>
      </c>
      <c r="L47" s="2" t="s">
        <v>266</v>
      </c>
      <c r="M47" s="2" t="s">
        <v>267</v>
      </c>
      <c r="N47" s="2" t="s">
        <v>28</v>
      </c>
      <c r="O47" s="2" t="s">
        <v>268</v>
      </c>
    </row>
    <row r="48" spans="1:15" ht="76.5" x14ac:dyDescent="0.25">
      <c r="A48" s="2" t="s">
        <v>294</v>
      </c>
      <c r="B48" s="2" t="s">
        <v>16</v>
      </c>
      <c r="C48" s="2" t="s">
        <v>259</v>
      </c>
      <c r="D48" s="2" t="s">
        <v>295</v>
      </c>
      <c r="E48" s="2" t="s">
        <v>275</v>
      </c>
      <c r="F48" s="2" t="s">
        <v>261</v>
      </c>
      <c r="G48" s="3" t="s">
        <v>67</v>
      </c>
      <c r="H48" s="2" t="s">
        <v>296</v>
      </c>
      <c r="I48" s="2" t="s">
        <v>263</v>
      </c>
      <c r="J48" s="2" t="s">
        <v>264</v>
      </c>
      <c r="K48" s="2" t="s">
        <v>265</v>
      </c>
      <c r="L48" s="2" t="s">
        <v>266</v>
      </c>
      <c r="M48" s="2" t="s">
        <v>267</v>
      </c>
      <c r="N48" s="2" t="s">
        <v>74</v>
      </c>
      <c r="O48" s="2" t="s">
        <v>268</v>
      </c>
    </row>
    <row r="49" spans="1:15" ht="51" x14ac:dyDescent="0.25">
      <c r="A49" s="2" t="s">
        <v>297</v>
      </c>
      <c r="B49" s="2" t="s">
        <v>16</v>
      </c>
      <c r="C49" s="2" t="s">
        <v>259</v>
      </c>
      <c r="D49" s="2" t="s">
        <v>298</v>
      </c>
      <c r="E49" s="2" t="s">
        <v>299</v>
      </c>
      <c r="F49" s="2" t="s">
        <v>261</v>
      </c>
      <c r="G49" s="3" t="s">
        <v>21</v>
      </c>
      <c r="H49" s="2" t="s">
        <v>300</v>
      </c>
      <c r="I49" s="2" t="s">
        <v>263</v>
      </c>
      <c r="J49" s="2" t="s">
        <v>264</v>
      </c>
      <c r="K49" s="2" t="s">
        <v>265</v>
      </c>
      <c r="L49" s="2" t="s">
        <v>266</v>
      </c>
      <c r="M49" s="2" t="s">
        <v>267</v>
      </c>
      <c r="N49" s="2" t="s">
        <v>28</v>
      </c>
      <c r="O49" s="2" t="s">
        <v>268</v>
      </c>
    </row>
    <row r="50" spans="1:15" ht="51" x14ac:dyDescent="0.25">
      <c r="A50" s="2" t="s">
        <v>301</v>
      </c>
      <c r="B50" s="2" t="s">
        <v>16</v>
      </c>
      <c r="C50" s="2" t="s">
        <v>259</v>
      </c>
      <c r="D50" s="2" t="s">
        <v>302</v>
      </c>
      <c r="E50" s="2" t="s">
        <v>275</v>
      </c>
      <c r="F50" s="2" t="s">
        <v>271</v>
      </c>
      <c r="G50" s="3" t="s">
        <v>67</v>
      </c>
      <c r="H50" s="2" t="s">
        <v>303</v>
      </c>
      <c r="I50" s="2" t="s">
        <v>263</v>
      </c>
      <c r="J50" s="2" t="s">
        <v>264</v>
      </c>
      <c r="K50" s="2" t="s">
        <v>265</v>
      </c>
      <c r="L50" s="2" t="s">
        <v>266</v>
      </c>
      <c r="M50" s="2" t="s">
        <v>267</v>
      </c>
      <c r="N50" s="2" t="s">
        <v>74</v>
      </c>
      <c r="O50" s="2" t="s">
        <v>268</v>
      </c>
    </row>
    <row r="51" spans="1:15" ht="51" x14ac:dyDescent="0.25">
      <c r="A51" s="2" t="s">
        <v>304</v>
      </c>
      <c r="B51" s="2" t="s">
        <v>16</v>
      </c>
      <c r="C51" s="2" t="s">
        <v>259</v>
      </c>
      <c r="D51" s="2" t="s">
        <v>305</v>
      </c>
      <c r="E51" s="2" t="s">
        <v>306</v>
      </c>
      <c r="F51" s="2" t="s">
        <v>271</v>
      </c>
      <c r="G51" s="3" t="s">
        <v>93</v>
      </c>
      <c r="H51" s="2" t="s">
        <v>307</v>
      </c>
      <c r="I51" s="2" t="s">
        <v>263</v>
      </c>
      <c r="J51" s="2" t="s">
        <v>264</v>
      </c>
      <c r="K51" s="2" t="s">
        <v>265</v>
      </c>
      <c r="L51" s="2" t="s">
        <v>266</v>
      </c>
      <c r="M51" s="2" t="s">
        <v>267</v>
      </c>
      <c r="N51" s="2" t="s">
        <v>28</v>
      </c>
      <c r="O51" s="2" t="s">
        <v>268</v>
      </c>
    </row>
    <row r="52" spans="1:15" ht="51" x14ac:dyDescent="0.25">
      <c r="A52" s="2" t="s">
        <v>308</v>
      </c>
      <c r="B52" s="2" t="s">
        <v>16</v>
      </c>
      <c r="C52" s="2" t="s">
        <v>259</v>
      </c>
      <c r="D52" s="2" t="s">
        <v>309</v>
      </c>
      <c r="E52" s="2" t="s">
        <v>283</v>
      </c>
      <c r="F52" s="2" t="s">
        <v>271</v>
      </c>
      <c r="G52" s="3" t="s">
        <v>93</v>
      </c>
      <c r="H52" s="2" t="s">
        <v>310</v>
      </c>
      <c r="I52" s="2" t="s">
        <v>263</v>
      </c>
      <c r="J52" s="2" t="s">
        <v>264</v>
      </c>
      <c r="K52" s="2" t="s">
        <v>265</v>
      </c>
      <c r="L52" s="2" t="s">
        <v>266</v>
      </c>
      <c r="M52" s="2" t="s">
        <v>267</v>
      </c>
      <c r="N52" s="2" t="s">
        <v>28</v>
      </c>
      <c r="O52" s="2" t="s">
        <v>268</v>
      </c>
    </row>
    <row r="53" spans="1:15" ht="51" x14ac:dyDescent="0.25">
      <c r="A53" s="2" t="s">
        <v>311</v>
      </c>
      <c r="B53" s="2" t="s">
        <v>16</v>
      </c>
      <c r="C53" s="2" t="s">
        <v>259</v>
      </c>
      <c r="D53" s="2" t="s">
        <v>312</v>
      </c>
      <c r="E53" s="2" t="s">
        <v>275</v>
      </c>
      <c r="F53" s="2" t="s">
        <v>271</v>
      </c>
      <c r="G53" s="3" t="s">
        <v>67</v>
      </c>
      <c r="H53" s="2" t="s">
        <v>313</v>
      </c>
      <c r="I53" s="2" t="s">
        <v>263</v>
      </c>
      <c r="J53" s="2" t="s">
        <v>264</v>
      </c>
      <c r="K53" s="2" t="s">
        <v>265</v>
      </c>
      <c r="L53" s="2" t="s">
        <v>266</v>
      </c>
      <c r="M53" s="2" t="s">
        <v>267</v>
      </c>
      <c r="N53" s="2" t="s">
        <v>74</v>
      </c>
      <c r="O53" s="2" t="s">
        <v>268</v>
      </c>
    </row>
    <row r="54" spans="1:15" ht="51" x14ac:dyDescent="0.25">
      <c r="A54" s="2" t="s">
        <v>314</v>
      </c>
      <c r="B54" s="2" t="s">
        <v>16</v>
      </c>
      <c r="C54" s="2" t="s">
        <v>259</v>
      </c>
      <c r="D54" s="2" t="s">
        <v>315</v>
      </c>
      <c r="E54" s="2" t="s">
        <v>283</v>
      </c>
      <c r="F54" s="2" t="s">
        <v>271</v>
      </c>
      <c r="G54" s="3" t="s">
        <v>93</v>
      </c>
      <c r="H54" s="2" t="s">
        <v>316</v>
      </c>
      <c r="I54" s="2" t="s">
        <v>263</v>
      </c>
      <c r="J54" s="2" t="s">
        <v>264</v>
      </c>
      <c r="K54" s="2" t="s">
        <v>265</v>
      </c>
      <c r="L54" s="2" t="s">
        <v>266</v>
      </c>
      <c r="M54" s="2" t="s">
        <v>267</v>
      </c>
      <c r="N54" s="2" t="s">
        <v>28</v>
      </c>
      <c r="O54" s="2" t="s">
        <v>268</v>
      </c>
    </row>
    <row r="55" spans="1:15" ht="51" x14ac:dyDescent="0.25">
      <c r="A55" s="2" t="s">
        <v>317</v>
      </c>
      <c r="B55" s="2" t="s">
        <v>16</v>
      </c>
      <c r="C55" s="2" t="s">
        <v>259</v>
      </c>
      <c r="D55" s="2" t="s">
        <v>318</v>
      </c>
      <c r="E55" s="2" t="s">
        <v>283</v>
      </c>
      <c r="F55" s="2" t="s">
        <v>271</v>
      </c>
      <c r="G55" s="3" t="s">
        <v>21</v>
      </c>
      <c r="H55" s="2" t="s">
        <v>319</v>
      </c>
      <c r="I55" s="2" t="s">
        <v>263</v>
      </c>
      <c r="J55" s="2" t="s">
        <v>264</v>
      </c>
      <c r="K55" s="2" t="s">
        <v>265</v>
      </c>
      <c r="L55" s="2" t="s">
        <v>266</v>
      </c>
      <c r="M55" s="2" t="s">
        <v>267</v>
      </c>
      <c r="N55" s="2" t="s">
        <v>28</v>
      </c>
      <c r="O55" s="2" t="s">
        <v>268</v>
      </c>
    </row>
    <row r="56" spans="1:15" ht="51" x14ac:dyDescent="0.25">
      <c r="A56" s="2" t="s">
        <v>320</v>
      </c>
      <c r="B56" s="2" t="s">
        <v>16</v>
      </c>
      <c r="C56" s="2" t="s">
        <v>259</v>
      </c>
      <c r="D56" s="2" t="s">
        <v>321</v>
      </c>
      <c r="E56" s="2" t="s">
        <v>275</v>
      </c>
      <c r="F56" s="2" t="s">
        <v>271</v>
      </c>
      <c r="G56" s="3" t="s">
        <v>67</v>
      </c>
      <c r="H56" s="2" t="s">
        <v>322</v>
      </c>
      <c r="I56" s="2" t="s">
        <v>263</v>
      </c>
      <c r="J56" s="2" t="s">
        <v>264</v>
      </c>
      <c r="K56" s="2" t="s">
        <v>265</v>
      </c>
      <c r="L56" s="2" t="s">
        <v>266</v>
      </c>
      <c r="M56" s="2" t="s">
        <v>267</v>
      </c>
      <c r="N56" s="2" t="s">
        <v>74</v>
      </c>
      <c r="O56" s="2" t="s">
        <v>268</v>
      </c>
    </row>
    <row r="57" spans="1:15" ht="51" x14ac:dyDescent="0.25">
      <c r="A57" s="2" t="s">
        <v>323</v>
      </c>
      <c r="B57" s="2" t="s">
        <v>16</v>
      </c>
      <c r="C57" s="2" t="s">
        <v>259</v>
      </c>
      <c r="D57" s="2" t="s">
        <v>324</v>
      </c>
      <c r="E57" s="2" t="s">
        <v>325</v>
      </c>
      <c r="F57" s="2" t="s">
        <v>326</v>
      </c>
      <c r="G57" s="3" t="s">
        <v>93</v>
      </c>
      <c r="H57" s="2" t="s">
        <v>327</v>
      </c>
      <c r="I57" s="2" t="s">
        <v>263</v>
      </c>
      <c r="J57" s="2" t="s">
        <v>264</v>
      </c>
      <c r="K57" s="2" t="s">
        <v>265</v>
      </c>
      <c r="L57" s="2" t="s">
        <v>266</v>
      </c>
      <c r="M57" s="2" t="s">
        <v>267</v>
      </c>
      <c r="N57" s="2" t="s">
        <v>28</v>
      </c>
      <c r="O57" s="2" t="s">
        <v>268</v>
      </c>
    </row>
    <row r="58" spans="1:15" ht="51" x14ac:dyDescent="0.25">
      <c r="A58" s="2" t="s">
        <v>328</v>
      </c>
      <c r="B58" s="2" t="s">
        <v>16</v>
      </c>
      <c r="C58" s="2" t="s">
        <v>259</v>
      </c>
      <c r="D58" s="2" t="s">
        <v>329</v>
      </c>
      <c r="E58" s="2" t="s">
        <v>330</v>
      </c>
      <c r="F58" s="2" t="s">
        <v>331</v>
      </c>
      <c r="G58" s="3" t="s">
        <v>34</v>
      </c>
      <c r="H58" s="2" t="s">
        <v>332</v>
      </c>
      <c r="I58" s="2" t="s">
        <v>263</v>
      </c>
      <c r="J58" s="2" t="s">
        <v>264</v>
      </c>
      <c r="K58" s="2" t="s">
        <v>265</v>
      </c>
      <c r="L58" s="2" t="s">
        <v>266</v>
      </c>
      <c r="M58" s="2" t="s">
        <v>267</v>
      </c>
      <c r="N58" s="2" t="s">
        <v>41</v>
      </c>
      <c r="O58" s="2" t="s">
        <v>268</v>
      </c>
    </row>
    <row r="59" spans="1:15" ht="38.25" x14ac:dyDescent="0.25">
      <c r="A59" s="2" t="s">
        <v>333</v>
      </c>
      <c r="B59" s="2" t="s">
        <v>16</v>
      </c>
      <c r="C59" s="2" t="s">
        <v>259</v>
      </c>
      <c r="D59" s="2" t="s">
        <v>334</v>
      </c>
      <c r="E59" s="2" t="s">
        <v>335</v>
      </c>
      <c r="F59" s="2" t="s">
        <v>336</v>
      </c>
      <c r="G59" s="3" t="s">
        <v>34</v>
      </c>
      <c r="H59" s="2" t="s">
        <v>337</v>
      </c>
      <c r="I59" s="2" t="s">
        <v>338</v>
      </c>
      <c r="J59" s="2" t="s">
        <v>339</v>
      </c>
      <c r="K59" s="2" t="s">
        <v>340</v>
      </c>
      <c r="L59" s="2" t="s">
        <v>179</v>
      </c>
      <c r="M59" s="2" t="s">
        <v>341</v>
      </c>
      <c r="N59" s="2" t="s">
        <v>41</v>
      </c>
      <c r="O59" s="2"/>
    </row>
    <row r="60" spans="1:15" ht="38.25" x14ac:dyDescent="0.25">
      <c r="A60" s="2" t="s">
        <v>342</v>
      </c>
      <c r="B60" s="2" t="s">
        <v>16</v>
      </c>
      <c r="C60" s="2" t="s">
        <v>259</v>
      </c>
      <c r="D60" s="2" t="s">
        <v>343</v>
      </c>
      <c r="E60" s="2" t="s">
        <v>344</v>
      </c>
      <c r="F60" s="2" t="s">
        <v>336</v>
      </c>
      <c r="G60" s="3" t="s">
        <v>34</v>
      </c>
      <c r="H60" s="2" t="s">
        <v>345</v>
      </c>
      <c r="I60" s="2" t="s">
        <v>338</v>
      </c>
      <c r="J60" s="2" t="s">
        <v>339</v>
      </c>
      <c r="K60" s="2" t="s">
        <v>340</v>
      </c>
      <c r="L60" s="2" t="s">
        <v>179</v>
      </c>
      <c r="M60" s="2" t="s">
        <v>341</v>
      </c>
      <c r="N60" s="2" t="s">
        <v>41</v>
      </c>
      <c r="O60" s="2"/>
    </row>
    <row r="61" spans="1:15" ht="38.25" x14ac:dyDescent="0.25">
      <c r="A61" s="2" t="s">
        <v>346</v>
      </c>
      <c r="B61" s="2" t="s">
        <v>16</v>
      </c>
      <c r="C61" s="2" t="s">
        <v>259</v>
      </c>
      <c r="D61" s="2" t="s">
        <v>347</v>
      </c>
      <c r="E61" s="2" t="s">
        <v>348</v>
      </c>
      <c r="F61" s="2" t="s">
        <v>336</v>
      </c>
      <c r="G61" s="3" t="s">
        <v>45</v>
      </c>
      <c r="H61" s="2" t="s">
        <v>349</v>
      </c>
      <c r="I61" s="2" t="s">
        <v>47</v>
      </c>
      <c r="J61" s="2" t="s">
        <v>48</v>
      </c>
      <c r="K61" s="2" t="s">
        <v>49</v>
      </c>
      <c r="L61" s="2" t="s">
        <v>49</v>
      </c>
      <c r="M61" s="2" t="s">
        <v>350</v>
      </c>
      <c r="N61" s="2" t="s">
        <v>49</v>
      </c>
      <c r="O61" s="2"/>
    </row>
    <row r="62" spans="1:15" ht="51" x14ac:dyDescent="0.25">
      <c r="A62" s="2" t="s">
        <v>351</v>
      </c>
      <c r="B62" s="2" t="s">
        <v>16</v>
      </c>
      <c r="C62" s="2" t="s">
        <v>352</v>
      </c>
      <c r="D62" s="2" t="s">
        <v>353</v>
      </c>
      <c r="E62" s="2" t="s">
        <v>202</v>
      </c>
      <c r="F62" s="2" t="s">
        <v>354</v>
      </c>
      <c r="G62" s="3" t="s">
        <v>93</v>
      </c>
      <c r="H62" s="2" t="s">
        <v>355</v>
      </c>
      <c r="I62" s="2" t="s">
        <v>176</v>
      </c>
      <c r="J62" s="2" t="s">
        <v>177</v>
      </c>
      <c r="K62" s="2" t="s">
        <v>178</v>
      </c>
      <c r="L62" s="2" t="s">
        <v>179</v>
      </c>
      <c r="M62" s="2" t="s">
        <v>180</v>
      </c>
      <c r="N62" s="2" t="s">
        <v>28</v>
      </c>
      <c r="O62" s="2"/>
    </row>
    <row r="63" spans="1:15" ht="51" x14ac:dyDescent="0.25">
      <c r="A63" s="2" t="s">
        <v>356</v>
      </c>
      <c r="B63" s="2" t="s">
        <v>16</v>
      </c>
      <c r="C63" s="2" t="s">
        <v>352</v>
      </c>
      <c r="D63" s="2" t="s">
        <v>357</v>
      </c>
      <c r="E63" s="2" t="s">
        <v>202</v>
      </c>
      <c r="F63" s="2" t="s">
        <v>354</v>
      </c>
      <c r="G63" s="3" t="s">
        <v>21</v>
      </c>
      <c r="H63" s="2" t="s">
        <v>358</v>
      </c>
      <c r="I63" s="2" t="s">
        <v>176</v>
      </c>
      <c r="J63" s="2" t="s">
        <v>177</v>
      </c>
      <c r="K63" s="2" t="s">
        <v>178</v>
      </c>
      <c r="L63" s="2" t="s">
        <v>179</v>
      </c>
      <c r="M63" s="2" t="s">
        <v>180</v>
      </c>
      <c r="N63" s="2" t="s">
        <v>28</v>
      </c>
      <c r="O63" s="2"/>
    </row>
    <row r="64" spans="1:15" ht="51" x14ac:dyDescent="0.25">
      <c r="A64" s="2" t="s">
        <v>359</v>
      </c>
      <c r="B64" s="2" t="s">
        <v>16</v>
      </c>
      <c r="C64" s="2" t="s">
        <v>360</v>
      </c>
      <c r="D64" s="2" t="s">
        <v>361</v>
      </c>
      <c r="E64" s="2" t="s">
        <v>362</v>
      </c>
      <c r="F64" s="2" t="s">
        <v>363</v>
      </c>
      <c r="G64" s="3" t="s">
        <v>45</v>
      </c>
      <c r="H64" s="2" t="s">
        <v>364</v>
      </c>
      <c r="I64" s="2" t="s">
        <v>47</v>
      </c>
      <c r="J64" s="2" t="s">
        <v>48</v>
      </c>
      <c r="K64" s="2" t="s">
        <v>49</v>
      </c>
      <c r="L64" s="2" t="s">
        <v>49</v>
      </c>
      <c r="M64" s="2" t="s">
        <v>365</v>
      </c>
      <c r="N64" s="2" t="s">
        <v>49</v>
      </c>
      <c r="O64" s="2"/>
    </row>
    <row r="65" spans="1:15" ht="51" x14ac:dyDescent="0.25">
      <c r="A65" s="2" t="s">
        <v>366</v>
      </c>
      <c r="B65" s="2" t="s">
        <v>16</v>
      </c>
      <c r="C65" s="2" t="s">
        <v>360</v>
      </c>
      <c r="D65" s="2" t="s">
        <v>367</v>
      </c>
      <c r="E65" s="2" t="s">
        <v>362</v>
      </c>
      <c r="F65" s="2" t="s">
        <v>363</v>
      </c>
      <c r="G65" s="3" t="s">
        <v>45</v>
      </c>
      <c r="H65" s="2" t="s">
        <v>364</v>
      </c>
      <c r="I65" s="2" t="s">
        <v>47</v>
      </c>
      <c r="J65" s="2" t="s">
        <v>48</v>
      </c>
      <c r="K65" s="2" t="s">
        <v>49</v>
      </c>
      <c r="L65" s="2" t="s">
        <v>49</v>
      </c>
      <c r="M65" s="2" t="s">
        <v>365</v>
      </c>
      <c r="N65" s="2" t="s">
        <v>49</v>
      </c>
      <c r="O65" s="2"/>
    </row>
    <row r="66" spans="1:15" ht="51" x14ac:dyDescent="0.25">
      <c r="A66" s="2" t="s">
        <v>368</v>
      </c>
      <c r="B66" s="2" t="s">
        <v>16</v>
      </c>
      <c r="C66" s="2" t="s">
        <v>360</v>
      </c>
      <c r="D66" s="2" t="s">
        <v>369</v>
      </c>
      <c r="E66" s="2" t="s">
        <v>370</v>
      </c>
      <c r="F66" s="2" t="s">
        <v>363</v>
      </c>
      <c r="G66" s="3" t="s">
        <v>45</v>
      </c>
      <c r="H66" s="2" t="s">
        <v>364</v>
      </c>
      <c r="I66" s="2" t="s">
        <v>47</v>
      </c>
      <c r="J66" s="2" t="s">
        <v>48</v>
      </c>
      <c r="K66" s="2" t="s">
        <v>49</v>
      </c>
      <c r="L66" s="2" t="s">
        <v>49</v>
      </c>
      <c r="M66" s="2" t="s">
        <v>365</v>
      </c>
      <c r="N66" s="2" t="s">
        <v>49</v>
      </c>
      <c r="O66" s="2"/>
    </row>
    <row r="67" spans="1:15" ht="38.25" x14ac:dyDescent="0.25">
      <c r="A67" s="2" t="s">
        <v>371</v>
      </c>
      <c r="B67" s="2" t="s">
        <v>16</v>
      </c>
      <c r="C67" s="2" t="s">
        <v>360</v>
      </c>
      <c r="D67" s="2" t="s">
        <v>372</v>
      </c>
      <c r="E67" s="2" t="s">
        <v>373</v>
      </c>
      <c r="F67" s="2" t="s">
        <v>206</v>
      </c>
      <c r="G67" s="3" t="s">
        <v>45</v>
      </c>
      <c r="H67" s="2" t="s">
        <v>374</v>
      </c>
      <c r="I67" s="2" t="s">
        <v>47</v>
      </c>
      <c r="J67" s="2" t="s">
        <v>48</v>
      </c>
      <c r="K67" s="2" t="s">
        <v>49</v>
      </c>
      <c r="L67" s="2" t="s">
        <v>49</v>
      </c>
      <c r="M67" s="2" t="s">
        <v>365</v>
      </c>
      <c r="N67" s="2" t="s">
        <v>49</v>
      </c>
      <c r="O67" s="2" t="s">
        <v>375</v>
      </c>
    </row>
    <row r="68" spans="1:15" ht="38.25" x14ac:dyDescent="0.25">
      <c r="A68" s="2" t="s">
        <v>376</v>
      </c>
      <c r="B68" s="2" t="s">
        <v>16</v>
      </c>
      <c r="C68" s="2" t="s">
        <v>377</v>
      </c>
      <c r="D68" s="2" t="s">
        <v>378</v>
      </c>
      <c r="E68" s="2" t="s">
        <v>379</v>
      </c>
      <c r="F68" s="2" t="s">
        <v>206</v>
      </c>
      <c r="G68" s="3" t="s">
        <v>45</v>
      </c>
      <c r="H68" s="2" t="s">
        <v>380</v>
      </c>
      <c r="I68" s="2" t="s">
        <v>47</v>
      </c>
      <c r="J68" s="2" t="s">
        <v>48</v>
      </c>
      <c r="K68" s="2" t="s">
        <v>49</v>
      </c>
      <c r="L68" s="2" t="s">
        <v>49</v>
      </c>
      <c r="M68" s="2" t="s">
        <v>365</v>
      </c>
      <c r="N68" s="2" t="s">
        <v>49</v>
      </c>
      <c r="O68" s="2" t="s">
        <v>381</v>
      </c>
    </row>
    <row r="69" spans="1:15" ht="38.25" x14ac:dyDescent="0.25">
      <c r="A69" s="2" t="s">
        <v>382</v>
      </c>
      <c r="B69" s="2" t="s">
        <v>16</v>
      </c>
      <c r="C69" s="2" t="s">
        <v>377</v>
      </c>
      <c r="D69" s="2" t="s">
        <v>383</v>
      </c>
      <c r="E69" s="2" t="s">
        <v>384</v>
      </c>
      <c r="F69" s="2" t="s">
        <v>206</v>
      </c>
      <c r="G69" s="3" t="s">
        <v>45</v>
      </c>
      <c r="H69" s="2" t="s">
        <v>380</v>
      </c>
      <c r="I69" s="2" t="s">
        <v>47</v>
      </c>
      <c r="J69" s="2" t="s">
        <v>48</v>
      </c>
      <c r="K69" s="2" t="s">
        <v>49</v>
      </c>
      <c r="L69" s="2" t="s">
        <v>49</v>
      </c>
      <c r="M69" s="2" t="s">
        <v>365</v>
      </c>
      <c r="N69" s="2" t="s">
        <v>49</v>
      </c>
      <c r="O69" s="2"/>
    </row>
    <row r="70" spans="1:15" ht="38.25" x14ac:dyDescent="0.25">
      <c r="A70" s="2" t="s">
        <v>385</v>
      </c>
      <c r="B70" s="2" t="s">
        <v>16</v>
      </c>
      <c r="C70" s="2" t="s">
        <v>377</v>
      </c>
      <c r="D70" s="2" t="s">
        <v>386</v>
      </c>
      <c r="E70" s="2" t="s">
        <v>387</v>
      </c>
      <c r="F70" s="2" t="s">
        <v>206</v>
      </c>
      <c r="G70" s="3" t="s">
        <v>45</v>
      </c>
      <c r="H70" s="2" t="s">
        <v>380</v>
      </c>
      <c r="I70" s="2" t="s">
        <v>47</v>
      </c>
      <c r="J70" s="2" t="s">
        <v>48</v>
      </c>
      <c r="K70" s="2" t="s">
        <v>49</v>
      </c>
      <c r="L70" s="2" t="s">
        <v>49</v>
      </c>
      <c r="M70" s="2" t="s">
        <v>365</v>
      </c>
      <c r="N70" s="2" t="s">
        <v>49</v>
      </c>
      <c r="O70" s="2"/>
    </row>
    <row r="71" spans="1:15" ht="51" x14ac:dyDescent="0.25">
      <c r="A71" s="2" t="s">
        <v>388</v>
      </c>
      <c r="B71" s="2" t="s">
        <v>16</v>
      </c>
      <c r="C71" s="2" t="s">
        <v>389</v>
      </c>
      <c r="D71" s="2" t="s">
        <v>390</v>
      </c>
      <c r="E71" s="2" t="s">
        <v>391</v>
      </c>
      <c r="F71" s="2" t="s">
        <v>392</v>
      </c>
      <c r="G71" s="3" t="s">
        <v>45</v>
      </c>
      <c r="H71" s="2" t="s">
        <v>393</v>
      </c>
      <c r="I71" s="2" t="s">
        <v>47</v>
      </c>
      <c r="J71" s="2" t="s">
        <v>48</v>
      </c>
      <c r="K71" s="2" t="s">
        <v>49</v>
      </c>
      <c r="L71" s="2" t="s">
        <v>49</v>
      </c>
      <c r="M71" s="2" t="s">
        <v>394</v>
      </c>
      <c r="N71" s="2" t="s">
        <v>49</v>
      </c>
      <c r="O71" s="2"/>
    </row>
    <row r="72" spans="1:15" ht="51" x14ac:dyDescent="0.25">
      <c r="A72" s="2" t="s">
        <v>395</v>
      </c>
      <c r="B72" s="2" t="s">
        <v>16</v>
      </c>
      <c r="C72" s="2" t="s">
        <v>396</v>
      </c>
      <c r="D72" s="2" t="s">
        <v>397</v>
      </c>
      <c r="E72" s="2" t="s">
        <v>398</v>
      </c>
      <c r="F72" s="2" t="s">
        <v>392</v>
      </c>
      <c r="G72" s="3" t="s">
        <v>45</v>
      </c>
      <c r="H72" s="2" t="s">
        <v>393</v>
      </c>
      <c r="I72" s="2" t="s">
        <v>47</v>
      </c>
      <c r="J72" s="2" t="s">
        <v>48</v>
      </c>
      <c r="K72" s="2" t="s">
        <v>49</v>
      </c>
      <c r="L72" s="2" t="s">
        <v>49</v>
      </c>
      <c r="M72" s="2" t="s">
        <v>394</v>
      </c>
      <c r="N72" s="2" t="s">
        <v>49</v>
      </c>
      <c r="O72" s="2"/>
    </row>
    <row r="73" spans="1:15" ht="51" x14ac:dyDescent="0.25">
      <c r="A73" s="2" t="s">
        <v>399</v>
      </c>
      <c r="B73" s="2" t="s">
        <v>16</v>
      </c>
      <c r="C73" s="2" t="s">
        <v>396</v>
      </c>
      <c r="D73" s="2" t="s">
        <v>400</v>
      </c>
      <c r="E73" s="2" t="s">
        <v>202</v>
      </c>
      <c r="F73" s="2" t="s">
        <v>392</v>
      </c>
      <c r="G73" s="3" t="s">
        <v>45</v>
      </c>
      <c r="H73" s="2" t="s">
        <v>393</v>
      </c>
      <c r="I73" s="2" t="s">
        <v>47</v>
      </c>
      <c r="J73" s="2" t="s">
        <v>48</v>
      </c>
      <c r="K73" s="2" t="s">
        <v>49</v>
      </c>
      <c r="L73" s="2" t="s">
        <v>49</v>
      </c>
      <c r="M73" s="2" t="s">
        <v>394</v>
      </c>
      <c r="N73" s="2" t="s">
        <v>49</v>
      </c>
      <c r="O73" s="2"/>
    </row>
    <row r="74" spans="1:15" ht="38.25" x14ac:dyDescent="0.25">
      <c r="A74" s="2" t="s">
        <v>401</v>
      </c>
      <c r="B74" s="2" t="s">
        <v>16</v>
      </c>
      <c r="C74" s="2" t="s">
        <v>402</v>
      </c>
      <c r="D74" s="2" t="s">
        <v>403</v>
      </c>
      <c r="E74" s="2" t="s">
        <v>135</v>
      </c>
      <c r="F74" s="2" t="s">
        <v>33</v>
      </c>
      <c r="G74" s="3" t="s">
        <v>34</v>
      </c>
      <c r="H74" s="2" t="s">
        <v>404</v>
      </c>
      <c r="I74" s="2" t="s">
        <v>36</v>
      </c>
      <c r="J74" s="2" t="s">
        <v>37</v>
      </c>
      <c r="K74" s="2" t="s">
        <v>38</v>
      </c>
      <c r="L74" s="2" t="s">
        <v>39</v>
      </c>
      <c r="M74" s="2" t="s">
        <v>40</v>
      </c>
      <c r="N74" s="2" t="s">
        <v>41</v>
      </c>
      <c r="O74" s="2"/>
    </row>
    <row r="75" spans="1:15" ht="38.25" x14ac:dyDescent="0.25">
      <c r="A75" s="2" t="s">
        <v>405</v>
      </c>
      <c r="B75" s="2" t="s">
        <v>16</v>
      </c>
      <c r="C75" s="2" t="s">
        <v>402</v>
      </c>
      <c r="D75" s="2" t="s">
        <v>406</v>
      </c>
      <c r="E75" s="2" t="s">
        <v>135</v>
      </c>
      <c r="F75" s="2" t="s">
        <v>206</v>
      </c>
      <c r="G75" s="3" t="s">
        <v>45</v>
      </c>
      <c r="H75" s="2" t="s">
        <v>380</v>
      </c>
      <c r="I75" s="2" t="s">
        <v>47</v>
      </c>
      <c r="J75" s="2" t="s">
        <v>48</v>
      </c>
      <c r="K75" s="2" t="s">
        <v>49</v>
      </c>
      <c r="L75" s="2" t="s">
        <v>49</v>
      </c>
      <c r="M75" s="2" t="s">
        <v>365</v>
      </c>
      <c r="N75" s="2" t="s">
        <v>49</v>
      </c>
      <c r="O75" s="2"/>
    </row>
    <row r="76" spans="1:15" ht="38.25" x14ac:dyDescent="0.25">
      <c r="A76" s="2" t="s">
        <v>407</v>
      </c>
      <c r="B76" s="2" t="s">
        <v>16</v>
      </c>
      <c r="C76" s="2" t="s">
        <v>402</v>
      </c>
      <c r="D76" s="2" t="s">
        <v>408</v>
      </c>
      <c r="E76" s="2" t="s">
        <v>409</v>
      </c>
      <c r="F76" s="2" t="s">
        <v>206</v>
      </c>
      <c r="G76" s="3" t="s">
        <v>34</v>
      </c>
      <c r="H76" s="2" t="s">
        <v>410</v>
      </c>
      <c r="I76" s="2" t="s">
        <v>57</v>
      </c>
      <c r="J76" s="2" t="s">
        <v>58</v>
      </c>
      <c r="K76" s="2" t="s">
        <v>59</v>
      </c>
      <c r="L76" s="2" t="s">
        <v>60</v>
      </c>
      <c r="M76" s="2" t="s">
        <v>61</v>
      </c>
      <c r="N76" s="2" t="s">
        <v>41</v>
      </c>
      <c r="O76" s="2"/>
    </row>
    <row r="77" spans="1:15" ht="38.25" x14ac:dyDescent="0.25">
      <c r="A77" s="2" t="s">
        <v>411</v>
      </c>
      <c r="B77" s="2" t="s">
        <v>16</v>
      </c>
      <c r="C77" s="2" t="s">
        <v>402</v>
      </c>
      <c r="D77" s="2" t="s">
        <v>412</v>
      </c>
      <c r="E77" s="2" t="s">
        <v>202</v>
      </c>
      <c r="F77" s="2" t="s">
        <v>206</v>
      </c>
      <c r="G77" s="3" t="s">
        <v>45</v>
      </c>
      <c r="H77" s="2" t="s">
        <v>380</v>
      </c>
      <c r="I77" s="2" t="s">
        <v>47</v>
      </c>
      <c r="J77" s="2" t="s">
        <v>48</v>
      </c>
      <c r="K77" s="2" t="s">
        <v>49</v>
      </c>
      <c r="L77" s="2" t="s">
        <v>49</v>
      </c>
      <c r="M77" s="2" t="s">
        <v>365</v>
      </c>
      <c r="N77" s="2" t="s">
        <v>49</v>
      </c>
      <c r="O77" s="2"/>
    </row>
    <row r="78" spans="1:15" ht="25.5" x14ac:dyDescent="0.25">
      <c r="A78" s="2" t="s">
        <v>413</v>
      </c>
      <c r="B78" s="2" t="s">
        <v>16</v>
      </c>
      <c r="C78" s="2" t="s">
        <v>402</v>
      </c>
      <c r="D78" s="2" t="s">
        <v>414</v>
      </c>
      <c r="E78" s="2" t="s">
        <v>415</v>
      </c>
      <c r="F78" s="2" t="s">
        <v>20</v>
      </c>
      <c r="G78" s="3" t="s">
        <v>93</v>
      </c>
      <c r="H78" s="2" t="s">
        <v>416</v>
      </c>
      <c r="I78" s="2" t="s">
        <v>23</v>
      </c>
      <c r="J78" s="2" t="s">
        <v>24</v>
      </c>
      <c r="K78" s="2" t="s">
        <v>25</v>
      </c>
      <c r="L78" s="2" t="s">
        <v>26</v>
      </c>
      <c r="M78" s="2" t="s">
        <v>27</v>
      </c>
      <c r="N78" s="2" t="s">
        <v>28</v>
      </c>
      <c r="O78" s="2"/>
    </row>
    <row r="79" spans="1:15" ht="51" x14ac:dyDescent="0.25">
      <c r="A79" s="2" t="s">
        <v>417</v>
      </c>
      <c r="B79" s="2" t="s">
        <v>16</v>
      </c>
      <c r="C79" s="2" t="s">
        <v>402</v>
      </c>
      <c r="D79" s="2" t="s">
        <v>418</v>
      </c>
      <c r="E79" s="2" t="s">
        <v>124</v>
      </c>
      <c r="F79" s="2" t="s">
        <v>419</v>
      </c>
      <c r="G79" s="3" t="s">
        <v>93</v>
      </c>
      <c r="H79" s="2" t="s">
        <v>420</v>
      </c>
      <c r="I79" s="2" t="s">
        <v>419</v>
      </c>
      <c r="J79" s="2" t="s">
        <v>421</v>
      </c>
      <c r="K79" s="2" t="s">
        <v>422</v>
      </c>
      <c r="L79" s="2" t="s">
        <v>179</v>
      </c>
      <c r="M79" s="2" t="s">
        <v>423</v>
      </c>
      <c r="N79" s="2" t="s">
        <v>28</v>
      </c>
      <c r="O79" s="2"/>
    </row>
    <row r="80" spans="1:15" ht="25.5" x14ac:dyDescent="0.25">
      <c r="A80" s="2" t="s">
        <v>424</v>
      </c>
      <c r="B80" s="2" t="s">
        <v>16</v>
      </c>
      <c r="C80" s="2" t="s">
        <v>402</v>
      </c>
      <c r="D80" s="2" t="s">
        <v>425</v>
      </c>
      <c r="E80" s="2" t="s">
        <v>124</v>
      </c>
      <c r="F80" s="2" t="s">
        <v>419</v>
      </c>
      <c r="G80" s="3" t="s">
        <v>93</v>
      </c>
      <c r="H80" s="2" t="s">
        <v>426</v>
      </c>
      <c r="I80" s="2" t="s">
        <v>419</v>
      </c>
      <c r="J80" s="2" t="s">
        <v>427</v>
      </c>
      <c r="K80" s="2" t="s">
        <v>422</v>
      </c>
      <c r="L80" s="2" t="s">
        <v>179</v>
      </c>
      <c r="M80" s="2" t="s">
        <v>423</v>
      </c>
      <c r="N80" s="2" t="s">
        <v>28</v>
      </c>
      <c r="O80" s="2"/>
    </row>
    <row r="81" spans="1:15" ht="38.25" x14ac:dyDescent="0.25">
      <c r="A81" s="2" t="s">
        <v>428</v>
      </c>
      <c r="B81" s="2" t="s">
        <v>16</v>
      </c>
      <c r="C81" s="2" t="s">
        <v>402</v>
      </c>
      <c r="D81" s="2" t="s">
        <v>429</v>
      </c>
      <c r="E81" s="2" t="s">
        <v>124</v>
      </c>
      <c r="F81" s="2" t="s">
        <v>136</v>
      </c>
      <c r="G81" s="3" t="s">
        <v>34</v>
      </c>
      <c r="H81" s="2" t="s">
        <v>430</v>
      </c>
      <c r="I81" s="2" t="s">
        <v>138</v>
      </c>
      <c r="J81" s="2" t="s">
        <v>139</v>
      </c>
      <c r="K81" s="2" t="s">
        <v>140</v>
      </c>
      <c r="L81" s="2" t="s">
        <v>141</v>
      </c>
      <c r="M81" s="2" t="s">
        <v>142</v>
      </c>
      <c r="N81" s="2" t="s">
        <v>41</v>
      </c>
      <c r="O81" s="2"/>
    </row>
    <row r="82" spans="1:15" ht="38.25" x14ac:dyDescent="0.25">
      <c r="A82" s="2" t="s">
        <v>431</v>
      </c>
      <c r="B82" s="2" t="s">
        <v>16</v>
      </c>
      <c r="C82" s="2" t="s">
        <v>402</v>
      </c>
      <c r="D82" s="2" t="s">
        <v>432</v>
      </c>
      <c r="E82" s="2" t="s">
        <v>135</v>
      </c>
      <c r="F82" s="2" t="s">
        <v>170</v>
      </c>
      <c r="G82" s="3" t="s">
        <v>45</v>
      </c>
      <c r="H82" s="2" t="s">
        <v>433</v>
      </c>
      <c r="I82" s="2" t="s">
        <v>47</v>
      </c>
      <c r="J82" s="2" t="s">
        <v>48</v>
      </c>
      <c r="K82" s="2" t="s">
        <v>49</v>
      </c>
      <c r="L82" s="2" t="s">
        <v>49</v>
      </c>
      <c r="M82" s="2" t="s">
        <v>50</v>
      </c>
      <c r="N82" s="2" t="s">
        <v>49</v>
      </c>
      <c r="O82" s="2"/>
    </row>
    <row r="83" spans="1:15" ht="63.75" x14ac:dyDescent="0.25">
      <c r="A83" s="2" t="s">
        <v>434</v>
      </c>
      <c r="B83" s="2" t="s">
        <v>16</v>
      </c>
      <c r="C83" s="2" t="s">
        <v>435</v>
      </c>
      <c r="D83" s="2" t="s">
        <v>436</v>
      </c>
      <c r="E83" s="2" t="s">
        <v>437</v>
      </c>
      <c r="F83" s="2" t="s">
        <v>438</v>
      </c>
      <c r="G83" s="3" t="s">
        <v>21</v>
      </c>
      <c r="H83" s="2" t="s">
        <v>439</v>
      </c>
      <c r="I83" s="2" t="s">
        <v>440</v>
      </c>
      <c r="J83" s="2" t="s">
        <v>441</v>
      </c>
      <c r="K83" s="2" t="s">
        <v>442</v>
      </c>
      <c r="L83" s="2" t="s">
        <v>443</v>
      </c>
      <c r="M83" s="2" t="s">
        <v>444</v>
      </c>
      <c r="N83" s="2" t="s">
        <v>28</v>
      </c>
      <c r="O83" s="2"/>
    </row>
    <row r="84" spans="1:15" ht="38.25" x14ac:dyDescent="0.25">
      <c r="A84" s="2" t="s">
        <v>445</v>
      </c>
      <c r="B84" s="2" t="s">
        <v>16</v>
      </c>
      <c r="C84" s="2" t="s">
        <v>435</v>
      </c>
      <c r="D84" s="2" t="s">
        <v>446</v>
      </c>
      <c r="E84" s="2" t="s">
        <v>447</v>
      </c>
      <c r="F84" s="2" t="s">
        <v>438</v>
      </c>
      <c r="G84" s="3" t="s">
        <v>93</v>
      </c>
      <c r="H84" s="2" t="s">
        <v>448</v>
      </c>
      <c r="I84" s="2" t="s">
        <v>440</v>
      </c>
      <c r="J84" s="2" t="s">
        <v>441</v>
      </c>
      <c r="K84" s="2" t="s">
        <v>442</v>
      </c>
      <c r="L84" s="2" t="s">
        <v>443</v>
      </c>
      <c r="M84" s="2" t="s">
        <v>444</v>
      </c>
      <c r="N84" s="2" t="s">
        <v>28</v>
      </c>
      <c r="O84" s="2"/>
    </row>
    <row r="85" spans="1:15" ht="51" x14ac:dyDescent="0.25">
      <c r="A85" s="2" t="s">
        <v>449</v>
      </c>
      <c r="B85" s="2" t="s">
        <v>16</v>
      </c>
      <c r="C85" s="2" t="s">
        <v>450</v>
      </c>
      <c r="D85" s="2" t="s">
        <v>451</v>
      </c>
      <c r="E85" s="2" t="s">
        <v>452</v>
      </c>
      <c r="F85" s="2" t="s">
        <v>453</v>
      </c>
      <c r="G85" s="3" t="s">
        <v>45</v>
      </c>
      <c r="H85" s="2" t="s">
        <v>454</v>
      </c>
      <c r="I85" s="2" t="s">
        <v>47</v>
      </c>
      <c r="J85" s="2" t="s">
        <v>48</v>
      </c>
      <c r="K85" s="2" t="s">
        <v>49</v>
      </c>
      <c r="L85" s="2" t="s">
        <v>49</v>
      </c>
      <c r="M85" s="2" t="s">
        <v>50</v>
      </c>
      <c r="N85" s="2" t="s">
        <v>49</v>
      </c>
      <c r="O85" s="2"/>
    </row>
    <row r="86" spans="1:15" ht="51" x14ac:dyDescent="0.25">
      <c r="A86" s="2" t="s">
        <v>455</v>
      </c>
      <c r="B86" s="2" t="s">
        <v>16</v>
      </c>
      <c r="C86" s="2" t="s">
        <v>450</v>
      </c>
      <c r="D86" s="2" t="s">
        <v>456</v>
      </c>
      <c r="E86" s="2" t="s">
        <v>452</v>
      </c>
      <c r="F86" s="2" t="s">
        <v>453</v>
      </c>
      <c r="G86" s="3" t="s">
        <v>45</v>
      </c>
      <c r="H86" s="2" t="s">
        <v>454</v>
      </c>
      <c r="I86" s="2" t="s">
        <v>47</v>
      </c>
      <c r="J86" s="2" t="s">
        <v>48</v>
      </c>
      <c r="K86" s="2" t="s">
        <v>49</v>
      </c>
      <c r="L86" s="2" t="s">
        <v>49</v>
      </c>
      <c r="M86" s="2" t="s">
        <v>50</v>
      </c>
      <c r="N86" s="2" t="s">
        <v>49</v>
      </c>
      <c r="O86" s="2"/>
    </row>
    <row r="87" spans="1:15" ht="38.25" x14ac:dyDescent="0.25">
      <c r="A87" s="2" t="s">
        <v>457</v>
      </c>
      <c r="B87" s="2" t="s">
        <v>16</v>
      </c>
      <c r="C87" s="2" t="s">
        <v>450</v>
      </c>
      <c r="D87" s="2" t="s">
        <v>458</v>
      </c>
      <c r="E87" s="2" t="s">
        <v>452</v>
      </c>
      <c r="F87" s="2" t="s">
        <v>453</v>
      </c>
      <c r="G87" s="3" t="s">
        <v>34</v>
      </c>
      <c r="H87" s="2" t="s">
        <v>459</v>
      </c>
      <c r="I87" s="2" t="s">
        <v>69</v>
      </c>
      <c r="J87" s="2" t="s">
        <v>460</v>
      </c>
      <c r="K87" s="2" t="s">
        <v>88</v>
      </c>
      <c r="L87" s="2" t="s">
        <v>72</v>
      </c>
      <c r="M87" s="2" t="s">
        <v>73</v>
      </c>
      <c r="N87" s="2" t="s">
        <v>41</v>
      </c>
      <c r="O87" s="2"/>
    </row>
    <row r="88" spans="1:15" ht="38.25" x14ac:dyDescent="0.25">
      <c r="A88" s="2" t="s">
        <v>461</v>
      </c>
      <c r="B88" s="2" t="s">
        <v>16</v>
      </c>
      <c r="C88" s="2" t="s">
        <v>450</v>
      </c>
      <c r="D88" s="2" t="s">
        <v>462</v>
      </c>
      <c r="E88" s="2" t="s">
        <v>452</v>
      </c>
      <c r="F88" s="2" t="s">
        <v>453</v>
      </c>
      <c r="G88" s="3" t="s">
        <v>21</v>
      </c>
      <c r="H88" s="2" t="s">
        <v>463</v>
      </c>
      <c r="I88" s="2" t="s">
        <v>69</v>
      </c>
      <c r="J88" s="2" t="s">
        <v>464</v>
      </c>
      <c r="K88" s="2" t="s">
        <v>88</v>
      </c>
      <c r="L88" s="2" t="s">
        <v>72</v>
      </c>
      <c r="M88" s="2" t="s">
        <v>73</v>
      </c>
      <c r="N88" s="2" t="s">
        <v>28</v>
      </c>
      <c r="O88" s="2"/>
    </row>
    <row r="89" spans="1:15" ht="38.25" x14ac:dyDescent="0.25">
      <c r="A89" s="2" t="s">
        <v>465</v>
      </c>
      <c r="B89" s="2" t="s">
        <v>16</v>
      </c>
      <c r="C89" s="2" t="s">
        <v>450</v>
      </c>
      <c r="D89" s="2" t="s">
        <v>466</v>
      </c>
      <c r="E89" s="2" t="s">
        <v>452</v>
      </c>
      <c r="F89" s="2" t="s">
        <v>453</v>
      </c>
      <c r="G89" s="3" t="s">
        <v>21</v>
      </c>
      <c r="H89" s="2" t="s">
        <v>467</v>
      </c>
      <c r="I89" s="2" t="s">
        <v>69</v>
      </c>
      <c r="J89" s="2" t="s">
        <v>468</v>
      </c>
      <c r="K89" s="2" t="s">
        <v>88</v>
      </c>
      <c r="L89" s="2" t="s">
        <v>72</v>
      </c>
      <c r="M89" s="2" t="s">
        <v>73</v>
      </c>
      <c r="N89" s="2" t="s">
        <v>28</v>
      </c>
      <c r="O89" s="2"/>
    </row>
    <row r="90" spans="1:15" ht="38.25" x14ac:dyDescent="0.25">
      <c r="A90" s="2" t="s">
        <v>469</v>
      </c>
      <c r="B90" s="2" t="s">
        <v>16</v>
      </c>
      <c r="C90" s="2" t="s">
        <v>450</v>
      </c>
      <c r="D90" s="2" t="s">
        <v>470</v>
      </c>
      <c r="E90" s="2" t="s">
        <v>452</v>
      </c>
      <c r="F90" s="2" t="s">
        <v>453</v>
      </c>
      <c r="G90" s="3" t="s">
        <v>45</v>
      </c>
      <c r="H90" s="2" t="s">
        <v>454</v>
      </c>
      <c r="I90" s="2" t="s">
        <v>47</v>
      </c>
      <c r="J90" s="2" t="s">
        <v>48</v>
      </c>
      <c r="K90" s="2" t="s">
        <v>49</v>
      </c>
      <c r="L90" s="2" t="s">
        <v>49</v>
      </c>
      <c r="M90" s="2" t="s">
        <v>50</v>
      </c>
      <c r="N90" s="2" t="s">
        <v>49</v>
      </c>
      <c r="O90" s="2"/>
    </row>
    <row r="91" spans="1:15" ht="38.25" x14ac:dyDescent="0.25">
      <c r="A91" s="2" t="s">
        <v>471</v>
      </c>
      <c r="B91" s="2" t="s">
        <v>16</v>
      </c>
      <c r="C91" s="2" t="s">
        <v>472</v>
      </c>
      <c r="D91" s="2" t="s">
        <v>473</v>
      </c>
      <c r="E91" s="2" t="s">
        <v>135</v>
      </c>
      <c r="F91" s="2" t="s">
        <v>474</v>
      </c>
      <c r="G91" s="3" t="s">
        <v>45</v>
      </c>
      <c r="H91" s="2" t="s">
        <v>475</v>
      </c>
      <c r="I91" s="2" t="s">
        <v>47</v>
      </c>
      <c r="J91" s="2" t="s">
        <v>48</v>
      </c>
      <c r="K91" s="2" t="s">
        <v>49</v>
      </c>
      <c r="L91" s="2" t="s">
        <v>49</v>
      </c>
      <c r="M91" s="2" t="s">
        <v>365</v>
      </c>
      <c r="N91" s="2" t="s">
        <v>49</v>
      </c>
      <c r="O91" s="2"/>
    </row>
    <row r="92" spans="1:15" ht="38.25" x14ac:dyDescent="0.25">
      <c r="A92" s="2" t="s">
        <v>476</v>
      </c>
      <c r="B92" s="2" t="s">
        <v>16</v>
      </c>
      <c r="C92" s="2" t="s">
        <v>477</v>
      </c>
      <c r="D92" s="2" t="s">
        <v>478</v>
      </c>
      <c r="E92" s="2" t="s">
        <v>479</v>
      </c>
      <c r="F92" s="2" t="s">
        <v>474</v>
      </c>
      <c r="G92" s="3" t="s">
        <v>45</v>
      </c>
      <c r="H92" s="2" t="s">
        <v>475</v>
      </c>
      <c r="I92" s="2" t="s">
        <v>47</v>
      </c>
      <c r="J92" s="2" t="s">
        <v>48</v>
      </c>
      <c r="K92" s="2" t="s">
        <v>49</v>
      </c>
      <c r="L92" s="2" t="s">
        <v>49</v>
      </c>
      <c r="M92" s="2" t="s">
        <v>365</v>
      </c>
      <c r="N92" s="2" t="s">
        <v>49</v>
      </c>
      <c r="O92" s="2"/>
    </row>
    <row r="93" spans="1:15" ht="38.25" x14ac:dyDescent="0.25">
      <c r="A93" s="2" t="s">
        <v>480</v>
      </c>
      <c r="B93" s="2" t="s">
        <v>16</v>
      </c>
      <c r="C93" s="2" t="s">
        <v>477</v>
      </c>
      <c r="D93" s="2" t="s">
        <v>481</v>
      </c>
      <c r="E93" s="2" t="s">
        <v>482</v>
      </c>
      <c r="F93" s="2" t="s">
        <v>474</v>
      </c>
      <c r="G93" s="3" t="s">
        <v>45</v>
      </c>
      <c r="H93" s="2" t="s">
        <v>475</v>
      </c>
      <c r="I93" s="2" t="s">
        <v>47</v>
      </c>
      <c r="J93" s="2" t="s">
        <v>48</v>
      </c>
      <c r="K93" s="2" t="s">
        <v>49</v>
      </c>
      <c r="L93" s="2" t="s">
        <v>49</v>
      </c>
      <c r="M93" s="2" t="s">
        <v>365</v>
      </c>
      <c r="N93" s="2" t="s">
        <v>49</v>
      </c>
      <c r="O93" s="2"/>
    </row>
    <row r="94" spans="1:15" ht="38.25" x14ac:dyDescent="0.25">
      <c r="A94" s="2" t="s">
        <v>483</v>
      </c>
      <c r="B94" s="2" t="s">
        <v>16</v>
      </c>
      <c r="C94" s="2" t="s">
        <v>477</v>
      </c>
      <c r="D94" s="2" t="s">
        <v>484</v>
      </c>
      <c r="E94" s="2" t="s">
        <v>202</v>
      </c>
      <c r="F94" s="2" t="s">
        <v>474</v>
      </c>
      <c r="G94" s="3" t="s">
        <v>45</v>
      </c>
      <c r="H94" s="2" t="s">
        <v>475</v>
      </c>
      <c r="I94" s="2" t="s">
        <v>47</v>
      </c>
      <c r="J94" s="2" t="s">
        <v>48</v>
      </c>
      <c r="K94" s="2" t="s">
        <v>49</v>
      </c>
      <c r="L94" s="2" t="s">
        <v>49</v>
      </c>
      <c r="M94" s="2" t="s">
        <v>365</v>
      </c>
      <c r="N94" s="2" t="s">
        <v>49</v>
      </c>
      <c r="O94" s="2"/>
    </row>
    <row r="95" spans="1:15" ht="38.25" x14ac:dyDescent="0.25">
      <c r="A95" s="2" t="s">
        <v>485</v>
      </c>
      <c r="B95" s="2" t="s">
        <v>16</v>
      </c>
      <c r="C95" s="2" t="s">
        <v>477</v>
      </c>
      <c r="D95" s="2" t="s">
        <v>486</v>
      </c>
      <c r="E95" s="2" t="s">
        <v>283</v>
      </c>
      <c r="F95" s="2" t="s">
        <v>474</v>
      </c>
      <c r="G95" s="3" t="s">
        <v>45</v>
      </c>
      <c r="H95" s="2" t="s">
        <v>475</v>
      </c>
      <c r="I95" s="2" t="s">
        <v>47</v>
      </c>
      <c r="J95" s="2" t="s">
        <v>48</v>
      </c>
      <c r="K95" s="2" t="s">
        <v>49</v>
      </c>
      <c r="L95" s="2" t="s">
        <v>49</v>
      </c>
      <c r="M95" s="2" t="s">
        <v>365</v>
      </c>
      <c r="N95" s="2" t="s">
        <v>49</v>
      </c>
      <c r="O95" s="2"/>
    </row>
    <row r="96" spans="1:15" ht="38.25" x14ac:dyDescent="0.25">
      <c r="A96" s="2" t="s">
        <v>487</v>
      </c>
      <c r="B96" s="2" t="s">
        <v>16</v>
      </c>
      <c r="C96" s="2" t="s">
        <v>477</v>
      </c>
      <c r="D96" s="2" t="s">
        <v>488</v>
      </c>
      <c r="E96" s="2" t="s">
        <v>489</v>
      </c>
      <c r="F96" s="2" t="s">
        <v>474</v>
      </c>
      <c r="G96" s="3" t="s">
        <v>45</v>
      </c>
      <c r="H96" s="2" t="s">
        <v>475</v>
      </c>
      <c r="I96" s="2" t="s">
        <v>47</v>
      </c>
      <c r="J96" s="2" t="s">
        <v>48</v>
      </c>
      <c r="K96" s="2" t="s">
        <v>49</v>
      </c>
      <c r="L96" s="2" t="s">
        <v>49</v>
      </c>
      <c r="M96" s="2" t="s">
        <v>365</v>
      </c>
      <c r="N96" s="2" t="s">
        <v>49</v>
      </c>
      <c r="O96" s="2"/>
    </row>
    <row r="97" spans="1:15" ht="38.25" x14ac:dyDescent="0.25">
      <c r="A97" s="2" t="s">
        <v>490</v>
      </c>
      <c r="B97" s="2" t="s">
        <v>16</v>
      </c>
      <c r="C97" s="2" t="s">
        <v>491</v>
      </c>
      <c r="D97" s="2" t="s">
        <v>492</v>
      </c>
      <c r="E97" s="2" t="s">
        <v>493</v>
      </c>
      <c r="F97" s="2" t="s">
        <v>474</v>
      </c>
      <c r="G97" s="3" t="s">
        <v>45</v>
      </c>
      <c r="H97" s="2" t="s">
        <v>475</v>
      </c>
      <c r="I97" s="2" t="s">
        <v>47</v>
      </c>
      <c r="J97" s="2" t="s">
        <v>48</v>
      </c>
      <c r="K97" s="2" t="s">
        <v>49</v>
      </c>
      <c r="L97" s="2" t="s">
        <v>49</v>
      </c>
      <c r="M97" s="2" t="s">
        <v>365</v>
      </c>
      <c r="N97" s="2" t="s">
        <v>49</v>
      </c>
      <c r="O97" s="2"/>
    </row>
    <row r="98" spans="1:15" ht="25.5" x14ac:dyDescent="0.25">
      <c r="A98" s="2" t="s">
        <v>494</v>
      </c>
      <c r="B98" s="2" t="s">
        <v>16</v>
      </c>
      <c r="C98" s="2" t="s">
        <v>491</v>
      </c>
      <c r="D98" s="2" t="s">
        <v>495</v>
      </c>
      <c r="E98" s="2" t="s">
        <v>135</v>
      </c>
      <c r="F98" s="2" t="s">
        <v>496</v>
      </c>
      <c r="G98" s="3" t="s">
        <v>45</v>
      </c>
      <c r="H98" s="2" t="s">
        <v>497</v>
      </c>
      <c r="I98" s="2" t="s">
        <v>47</v>
      </c>
      <c r="J98" s="2" t="s">
        <v>48</v>
      </c>
      <c r="K98" s="2" t="s">
        <v>49</v>
      </c>
      <c r="L98" s="2" t="s">
        <v>49</v>
      </c>
      <c r="M98" s="2" t="s">
        <v>50</v>
      </c>
      <c r="N98" s="2" t="s">
        <v>49</v>
      </c>
      <c r="O98" s="2"/>
    </row>
    <row r="99" spans="1:15" ht="51" x14ac:dyDescent="0.25">
      <c r="A99" s="2" t="s">
        <v>498</v>
      </c>
      <c r="B99" s="2" t="s">
        <v>16</v>
      </c>
      <c r="C99" s="2" t="s">
        <v>491</v>
      </c>
      <c r="D99" s="2" t="s">
        <v>499</v>
      </c>
      <c r="E99" s="2" t="s">
        <v>135</v>
      </c>
      <c r="F99" s="2" t="s">
        <v>496</v>
      </c>
      <c r="G99" s="3" t="s">
        <v>45</v>
      </c>
      <c r="H99" s="2" t="s">
        <v>497</v>
      </c>
      <c r="I99" s="2" t="s">
        <v>47</v>
      </c>
      <c r="J99" s="2" t="s">
        <v>48</v>
      </c>
      <c r="K99" s="2" t="s">
        <v>49</v>
      </c>
      <c r="L99" s="2" t="s">
        <v>49</v>
      </c>
      <c r="M99" s="2" t="s">
        <v>50</v>
      </c>
      <c r="N99" s="2" t="s">
        <v>49</v>
      </c>
      <c r="O99" s="2"/>
    </row>
    <row r="100" spans="1:15" ht="38.25" x14ac:dyDescent="0.25">
      <c r="A100" s="2" t="s">
        <v>500</v>
      </c>
      <c r="B100" s="2" t="s">
        <v>16</v>
      </c>
      <c r="C100" s="2" t="s">
        <v>501</v>
      </c>
      <c r="D100" s="2" t="s">
        <v>502</v>
      </c>
      <c r="E100" s="2" t="s">
        <v>202</v>
      </c>
      <c r="F100" s="2" t="s">
        <v>474</v>
      </c>
      <c r="G100" s="3" t="s">
        <v>45</v>
      </c>
      <c r="H100" s="2" t="s">
        <v>475</v>
      </c>
      <c r="I100" s="2" t="s">
        <v>47</v>
      </c>
      <c r="J100" s="2" t="s">
        <v>48</v>
      </c>
      <c r="K100" s="2" t="s">
        <v>49</v>
      </c>
      <c r="L100" s="2" t="s">
        <v>49</v>
      </c>
      <c r="M100" s="2" t="s">
        <v>365</v>
      </c>
      <c r="N100" s="2" t="s">
        <v>49</v>
      </c>
      <c r="O100" s="2"/>
    </row>
    <row r="101" spans="1:15" ht="38.25" x14ac:dyDescent="0.25">
      <c r="A101" s="2" t="s">
        <v>503</v>
      </c>
      <c r="B101" s="2" t="s">
        <v>16</v>
      </c>
      <c r="C101" s="2" t="s">
        <v>504</v>
      </c>
      <c r="D101" s="2" t="s">
        <v>505</v>
      </c>
      <c r="E101" s="2" t="s">
        <v>283</v>
      </c>
      <c r="F101" s="2" t="s">
        <v>506</v>
      </c>
      <c r="G101" s="3" t="s">
        <v>45</v>
      </c>
      <c r="H101" s="2" t="s">
        <v>475</v>
      </c>
      <c r="I101" s="2" t="s">
        <v>47</v>
      </c>
      <c r="J101" s="2" t="s">
        <v>48</v>
      </c>
      <c r="K101" s="2" t="s">
        <v>49</v>
      </c>
      <c r="L101" s="2" t="s">
        <v>49</v>
      </c>
      <c r="M101" s="2" t="s">
        <v>365</v>
      </c>
      <c r="N101" s="2" t="s">
        <v>49</v>
      </c>
      <c r="O101" s="2"/>
    </row>
    <row r="102" spans="1:15" ht="38.25" x14ac:dyDescent="0.25">
      <c r="A102" s="2" t="s">
        <v>507</v>
      </c>
      <c r="B102" s="2" t="s">
        <v>16</v>
      </c>
      <c r="C102" s="2" t="s">
        <v>504</v>
      </c>
      <c r="D102" s="2" t="s">
        <v>508</v>
      </c>
      <c r="E102" s="2" t="s">
        <v>202</v>
      </c>
      <c r="F102" s="2" t="s">
        <v>474</v>
      </c>
      <c r="G102" s="3" t="s">
        <v>45</v>
      </c>
      <c r="H102" s="2" t="s">
        <v>475</v>
      </c>
      <c r="I102" s="2" t="s">
        <v>47</v>
      </c>
      <c r="J102" s="2" t="s">
        <v>48</v>
      </c>
      <c r="K102" s="2" t="s">
        <v>49</v>
      </c>
      <c r="L102" s="2" t="s">
        <v>49</v>
      </c>
      <c r="M102" s="2" t="s">
        <v>365</v>
      </c>
      <c r="N102" s="2" t="s">
        <v>49</v>
      </c>
      <c r="O102" s="2"/>
    </row>
    <row r="103" spans="1:15" ht="38.25" x14ac:dyDescent="0.25">
      <c r="A103" s="2" t="s">
        <v>509</v>
      </c>
      <c r="B103" s="2" t="s">
        <v>16</v>
      </c>
      <c r="C103" s="2" t="s">
        <v>504</v>
      </c>
      <c r="D103" s="2" t="s">
        <v>510</v>
      </c>
      <c r="E103" s="2" t="s">
        <v>135</v>
      </c>
      <c r="F103" s="2" t="s">
        <v>474</v>
      </c>
      <c r="G103" s="3" t="s">
        <v>45</v>
      </c>
      <c r="H103" s="2" t="s">
        <v>475</v>
      </c>
      <c r="I103" s="2" t="s">
        <v>47</v>
      </c>
      <c r="J103" s="2" t="s">
        <v>48</v>
      </c>
      <c r="K103" s="2" t="s">
        <v>49</v>
      </c>
      <c r="L103" s="2" t="s">
        <v>49</v>
      </c>
      <c r="M103" s="2" t="s">
        <v>365</v>
      </c>
      <c r="N103" s="2" t="s">
        <v>49</v>
      </c>
      <c r="O103" s="2"/>
    </row>
    <row r="104" spans="1:15" ht="38.25" x14ac:dyDescent="0.25">
      <c r="A104" s="2" t="s">
        <v>511</v>
      </c>
      <c r="B104" s="2" t="s">
        <v>16</v>
      </c>
      <c r="C104" s="2" t="s">
        <v>504</v>
      </c>
      <c r="D104" s="2" t="s">
        <v>512</v>
      </c>
      <c r="E104" s="2" t="s">
        <v>513</v>
      </c>
      <c r="F104" s="2" t="s">
        <v>514</v>
      </c>
      <c r="G104" s="3" t="s">
        <v>45</v>
      </c>
      <c r="H104" s="2" t="s">
        <v>515</v>
      </c>
      <c r="I104" s="2" t="s">
        <v>47</v>
      </c>
      <c r="J104" s="2" t="s">
        <v>48</v>
      </c>
      <c r="K104" s="2" t="s">
        <v>49</v>
      </c>
      <c r="L104" s="2" t="s">
        <v>49</v>
      </c>
      <c r="M104" s="2" t="s">
        <v>50</v>
      </c>
      <c r="N104" s="2" t="s">
        <v>49</v>
      </c>
      <c r="O104" s="2"/>
    </row>
    <row r="105" spans="1:15" ht="38.25" x14ac:dyDescent="0.25">
      <c r="A105" s="2" t="s">
        <v>516</v>
      </c>
      <c r="B105" s="2" t="s">
        <v>16</v>
      </c>
      <c r="C105" s="2" t="s">
        <v>504</v>
      </c>
      <c r="D105" s="2" t="s">
        <v>517</v>
      </c>
      <c r="E105" s="2" t="s">
        <v>518</v>
      </c>
      <c r="F105" s="2" t="s">
        <v>474</v>
      </c>
      <c r="G105" s="3" t="s">
        <v>45</v>
      </c>
      <c r="H105" s="2" t="s">
        <v>475</v>
      </c>
      <c r="I105" s="2" t="s">
        <v>47</v>
      </c>
      <c r="J105" s="2" t="s">
        <v>48</v>
      </c>
      <c r="K105" s="2" t="s">
        <v>49</v>
      </c>
      <c r="L105" s="2" t="s">
        <v>49</v>
      </c>
      <c r="M105" s="2" t="s">
        <v>365</v>
      </c>
      <c r="N105" s="2" t="s">
        <v>49</v>
      </c>
      <c r="O105" s="2"/>
    </row>
    <row r="106" spans="1:15" ht="38.25" x14ac:dyDescent="0.25">
      <c r="A106" s="2" t="s">
        <v>519</v>
      </c>
      <c r="B106" s="2" t="s">
        <v>16</v>
      </c>
      <c r="C106" s="2" t="s">
        <v>504</v>
      </c>
      <c r="D106" s="2" t="s">
        <v>520</v>
      </c>
      <c r="E106" s="2" t="s">
        <v>135</v>
      </c>
      <c r="F106" s="2" t="s">
        <v>474</v>
      </c>
      <c r="G106" s="3" t="s">
        <v>45</v>
      </c>
      <c r="H106" s="2" t="s">
        <v>475</v>
      </c>
      <c r="I106" s="2" t="s">
        <v>47</v>
      </c>
      <c r="J106" s="2" t="s">
        <v>48</v>
      </c>
      <c r="K106" s="2" t="s">
        <v>49</v>
      </c>
      <c r="L106" s="2" t="s">
        <v>49</v>
      </c>
      <c r="M106" s="2" t="s">
        <v>365</v>
      </c>
      <c r="N106" s="2" t="s">
        <v>49</v>
      </c>
      <c r="O106" s="2"/>
    </row>
    <row r="107" spans="1:15" ht="38.25" x14ac:dyDescent="0.25">
      <c r="A107" s="2" t="s">
        <v>521</v>
      </c>
      <c r="B107" s="2" t="s">
        <v>16</v>
      </c>
      <c r="C107" s="2" t="s">
        <v>504</v>
      </c>
      <c r="D107" s="2" t="s">
        <v>522</v>
      </c>
      <c r="E107" s="2" t="s">
        <v>523</v>
      </c>
      <c r="F107" s="2" t="s">
        <v>524</v>
      </c>
      <c r="G107" s="3" t="s">
        <v>45</v>
      </c>
      <c r="H107" s="2" t="s">
        <v>475</v>
      </c>
      <c r="I107" s="2" t="s">
        <v>47</v>
      </c>
      <c r="J107" s="2" t="s">
        <v>48</v>
      </c>
      <c r="K107" s="2" t="s">
        <v>49</v>
      </c>
      <c r="L107" s="2" t="s">
        <v>49</v>
      </c>
      <c r="M107" s="2" t="s">
        <v>365</v>
      </c>
      <c r="N107" s="2" t="s">
        <v>49</v>
      </c>
      <c r="O107" s="2"/>
    </row>
    <row r="108" spans="1:15" ht="38.25" x14ac:dyDescent="0.25">
      <c r="A108" s="2" t="s">
        <v>525</v>
      </c>
      <c r="B108" s="2" t="s">
        <v>16</v>
      </c>
      <c r="C108" s="2" t="s">
        <v>526</v>
      </c>
      <c r="D108" s="2" t="s">
        <v>527</v>
      </c>
      <c r="E108" s="2" t="s">
        <v>84</v>
      </c>
      <c r="F108" s="2" t="s">
        <v>183</v>
      </c>
      <c r="G108" s="3" t="s">
        <v>21</v>
      </c>
      <c r="H108" s="2" t="s">
        <v>528</v>
      </c>
      <c r="I108" s="2" t="s">
        <v>185</v>
      </c>
      <c r="J108" s="2" t="s">
        <v>186</v>
      </c>
      <c r="K108" s="2" t="s">
        <v>187</v>
      </c>
      <c r="L108" s="2" t="s">
        <v>60</v>
      </c>
      <c r="M108" s="2" t="s">
        <v>188</v>
      </c>
      <c r="N108" s="2" t="s">
        <v>28</v>
      </c>
      <c r="O108" s="2"/>
    </row>
    <row r="109" spans="1:15" ht="63.75" x14ac:dyDescent="0.25">
      <c r="A109" s="2" t="s">
        <v>529</v>
      </c>
      <c r="B109" s="2" t="s">
        <v>16</v>
      </c>
      <c r="C109" s="2" t="s">
        <v>530</v>
      </c>
      <c r="D109" s="2" t="s">
        <v>531</v>
      </c>
      <c r="E109" s="2" t="s">
        <v>532</v>
      </c>
      <c r="F109" s="2" t="s">
        <v>183</v>
      </c>
      <c r="G109" s="3" t="s">
        <v>45</v>
      </c>
      <c r="H109" s="2" t="s">
        <v>533</v>
      </c>
      <c r="I109" s="2" t="s">
        <v>47</v>
      </c>
      <c r="J109" s="2" t="s">
        <v>48</v>
      </c>
      <c r="K109" s="2" t="s">
        <v>49</v>
      </c>
      <c r="L109" s="2" t="s">
        <v>49</v>
      </c>
      <c r="M109" s="2" t="s">
        <v>365</v>
      </c>
      <c r="N109" s="2" t="s">
        <v>49</v>
      </c>
      <c r="O109" s="2"/>
    </row>
    <row r="110" spans="1:15" ht="38.25" x14ac:dyDescent="0.25">
      <c r="A110" s="2" t="s">
        <v>534</v>
      </c>
      <c r="B110" s="2" t="s">
        <v>16</v>
      </c>
      <c r="C110" s="2" t="s">
        <v>530</v>
      </c>
      <c r="D110" s="2" t="s">
        <v>535</v>
      </c>
      <c r="E110" s="2" t="s">
        <v>532</v>
      </c>
      <c r="F110" s="2" t="s">
        <v>183</v>
      </c>
      <c r="G110" s="3" t="s">
        <v>21</v>
      </c>
      <c r="H110" s="2" t="s">
        <v>536</v>
      </c>
      <c r="I110" s="2" t="s">
        <v>185</v>
      </c>
      <c r="J110" s="2" t="s">
        <v>186</v>
      </c>
      <c r="K110" s="2" t="s">
        <v>187</v>
      </c>
      <c r="L110" s="2" t="s">
        <v>60</v>
      </c>
      <c r="M110" s="2" t="s">
        <v>188</v>
      </c>
      <c r="N110" s="2" t="s">
        <v>28</v>
      </c>
      <c r="O110" s="2"/>
    </row>
    <row r="111" spans="1:15" ht="38.25" x14ac:dyDescent="0.25">
      <c r="A111" s="2" t="s">
        <v>537</v>
      </c>
      <c r="B111" s="2" t="s">
        <v>16</v>
      </c>
      <c r="C111" s="2" t="s">
        <v>530</v>
      </c>
      <c r="D111" s="2" t="s">
        <v>538</v>
      </c>
      <c r="E111" s="2" t="s">
        <v>532</v>
      </c>
      <c r="F111" s="2" t="s">
        <v>183</v>
      </c>
      <c r="G111" s="3" t="s">
        <v>21</v>
      </c>
      <c r="H111" s="2" t="s">
        <v>539</v>
      </c>
      <c r="I111" s="2" t="s">
        <v>185</v>
      </c>
      <c r="J111" s="2" t="s">
        <v>186</v>
      </c>
      <c r="K111" s="2" t="s">
        <v>187</v>
      </c>
      <c r="L111" s="2" t="s">
        <v>60</v>
      </c>
      <c r="M111" s="2" t="s">
        <v>188</v>
      </c>
      <c r="N111" s="2" t="s">
        <v>28</v>
      </c>
      <c r="O111" s="2"/>
    </row>
    <row r="112" spans="1:15" ht="51" x14ac:dyDescent="0.25">
      <c r="A112" s="2" t="s">
        <v>540</v>
      </c>
      <c r="B112" s="2" t="s">
        <v>16</v>
      </c>
      <c r="C112" s="2" t="s">
        <v>530</v>
      </c>
      <c r="D112" s="2" t="s">
        <v>541</v>
      </c>
      <c r="E112" s="2" t="s">
        <v>532</v>
      </c>
      <c r="F112" s="2" t="s">
        <v>183</v>
      </c>
      <c r="G112" s="3" t="s">
        <v>34</v>
      </c>
      <c r="H112" s="2" t="s">
        <v>542</v>
      </c>
      <c r="I112" s="2" t="s">
        <v>185</v>
      </c>
      <c r="J112" s="2" t="s">
        <v>186</v>
      </c>
      <c r="K112" s="2" t="s">
        <v>187</v>
      </c>
      <c r="L112" s="2" t="s">
        <v>60</v>
      </c>
      <c r="M112" s="2" t="s">
        <v>188</v>
      </c>
      <c r="N112" s="2" t="s">
        <v>41</v>
      </c>
      <c r="O112" s="2"/>
    </row>
    <row r="113" spans="1:15" ht="51" x14ac:dyDescent="0.25">
      <c r="A113" s="2" t="s">
        <v>543</v>
      </c>
      <c r="B113" s="2" t="s">
        <v>16</v>
      </c>
      <c r="C113" s="2" t="s">
        <v>530</v>
      </c>
      <c r="D113" s="2" t="s">
        <v>544</v>
      </c>
      <c r="E113" s="2" t="s">
        <v>532</v>
      </c>
      <c r="F113" s="2" t="s">
        <v>183</v>
      </c>
      <c r="G113" s="3" t="s">
        <v>21</v>
      </c>
      <c r="H113" s="2" t="s">
        <v>545</v>
      </c>
      <c r="I113" s="2" t="s">
        <v>185</v>
      </c>
      <c r="J113" s="2" t="s">
        <v>186</v>
      </c>
      <c r="K113" s="2" t="s">
        <v>187</v>
      </c>
      <c r="L113" s="2" t="s">
        <v>60</v>
      </c>
      <c r="M113" s="2" t="s">
        <v>188</v>
      </c>
      <c r="N113" s="2" t="s">
        <v>28</v>
      </c>
      <c r="O113" s="2"/>
    </row>
    <row r="114" spans="1:15" ht="38.25" x14ac:dyDescent="0.25">
      <c r="A114" s="2" t="s">
        <v>546</v>
      </c>
      <c r="B114" s="2" t="s">
        <v>16</v>
      </c>
      <c r="C114" s="2" t="s">
        <v>547</v>
      </c>
      <c r="D114" s="2" t="s">
        <v>548</v>
      </c>
      <c r="E114" s="2" t="s">
        <v>549</v>
      </c>
      <c r="F114" s="2" t="s">
        <v>506</v>
      </c>
      <c r="G114" s="3" t="s">
        <v>45</v>
      </c>
      <c r="H114" s="2" t="s">
        <v>475</v>
      </c>
      <c r="I114" s="2" t="s">
        <v>47</v>
      </c>
      <c r="J114" s="2" t="s">
        <v>48</v>
      </c>
      <c r="K114" s="2" t="s">
        <v>49</v>
      </c>
      <c r="L114" s="2" t="s">
        <v>49</v>
      </c>
      <c r="M114" s="2" t="s">
        <v>365</v>
      </c>
      <c r="N114" s="2" t="s">
        <v>49</v>
      </c>
      <c r="O114" s="2"/>
    </row>
    <row r="115" spans="1:15" ht="89.25" x14ac:dyDescent="0.25">
      <c r="A115" s="2" t="s">
        <v>550</v>
      </c>
      <c r="B115" s="2" t="s">
        <v>16</v>
      </c>
      <c r="C115" s="2" t="s">
        <v>547</v>
      </c>
      <c r="D115" s="2" t="s">
        <v>551</v>
      </c>
      <c r="E115" s="2" t="s">
        <v>549</v>
      </c>
      <c r="F115" s="2" t="s">
        <v>506</v>
      </c>
      <c r="G115" s="3" t="s">
        <v>45</v>
      </c>
      <c r="H115" s="2" t="s">
        <v>475</v>
      </c>
      <c r="I115" s="2" t="s">
        <v>47</v>
      </c>
      <c r="J115" s="2" t="s">
        <v>48</v>
      </c>
      <c r="K115" s="2" t="s">
        <v>49</v>
      </c>
      <c r="L115" s="2" t="s">
        <v>49</v>
      </c>
      <c r="M115" s="2" t="s">
        <v>365</v>
      </c>
      <c r="N115" s="2" t="s">
        <v>49</v>
      </c>
      <c r="O115" s="2"/>
    </row>
    <row r="116" spans="1:15" ht="38.25" x14ac:dyDescent="0.25">
      <c r="A116" s="2" t="s">
        <v>552</v>
      </c>
      <c r="B116" s="2" t="s">
        <v>16</v>
      </c>
      <c r="C116" s="2" t="s">
        <v>547</v>
      </c>
      <c r="D116" s="2" t="s">
        <v>553</v>
      </c>
      <c r="E116" s="2" t="s">
        <v>549</v>
      </c>
      <c r="F116" s="2" t="s">
        <v>506</v>
      </c>
      <c r="G116" s="3" t="s">
        <v>45</v>
      </c>
      <c r="H116" s="2" t="s">
        <v>475</v>
      </c>
      <c r="I116" s="2" t="s">
        <v>47</v>
      </c>
      <c r="J116" s="2" t="s">
        <v>48</v>
      </c>
      <c r="K116" s="2" t="s">
        <v>49</v>
      </c>
      <c r="L116" s="2" t="s">
        <v>49</v>
      </c>
      <c r="M116" s="2" t="s">
        <v>365</v>
      </c>
      <c r="N116" s="2" t="s">
        <v>49</v>
      </c>
      <c r="O116" s="2"/>
    </row>
    <row r="117" spans="1:15" ht="89.25" x14ac:dyDescent="0.25">
      <c r="A117" s="2" t="s">
        <v>554</v>
      </c>
      <c r="B117" s="2" t="s">
        <v>16</v>
      </c>
      <c r="C117" s="2" t="s">
        <v>547</v>
      </c>
      <c r="D117" s="2" t="s">
        <v>555</v>
      </c>
      <c r="E117" s="2" t="s">
        <v>549</v>
      </c>
      <c r="F117" s="2" t="s">
        <v>506</v>
      </c>
      <c r="G117" s="3" t="s">
        <v>45</v>
      </c>
      <c r="H117" s="2" t="s">
        <v>475</v>
      </c>
      <c r="I117" s="2" t="s">
        <v>47</v>
      </c>
      <c r="J117" s="2" t="s">
        <v>48</v>
      </c>
      <c r="K117" s="2" t="s">
        <v>49</v>
      </c>
      <c r="L117" s="2" t="s">
        <v>49</v>
      </c>
      <c r="M117" s="2" t="s">
        <v>365</v>
      </c>
      <c r="N117" s="2" t="s">
        <v>49</v>
      </c>
      <c r="O117" s="2"/>
    </row>
    <row r="118" spans="1:15" ht="38.25" x14ac:dyDescent="0.25">
      <c r="A118" s="2" t="s">
        <v>556</v>
      </c>
      <c r="B118" s="2" t="s">
        <v>16</v>
      </c>
      <c r="C118" s="2" t="s">
        <v>547</v>
      </c>
      <c r="D118" s="2" t="s">
        <v>557</v>
      </c>
      <c r="E118" s="2" t="s">
        <v>549</v>
      </c>
      <c r="F118" s="2" t="s">
        <v>506</v>
      </c>
      <c r="G118" s="3" t="s">
        <v>34</v>
      </c>
      <c r="H118" s="2" t="s">
        <v>558</v>
      </c>
      <c r="I118" s="2" t="s">
        <v>69</v>
      </c>
      <c r="J118" s="2" t="s">
        <v>559</v>
      </c>
      <c r="K118" s="2" t="s">
        <v>88</v>
      </c>
      <c r="L118" s="2" t="s">
        <v>72</v>
      </c>
      <c r="M118" s="2" t="s">
        <v>73</v>
      </c>
      <c r="N118" s="2" t="s">
        <v>41</v>
      </c>
      <c r="O118" s="2"/>
    </row>
    <row r="119" spans="1:15" ht="38.25" x14ac:dyDescent="0.25">
      <c r="A119" s="2" t="s">
        <v>560</v>
      </c>
      <c r="B119" s="2" t="s">
        <v>16</v>
      </c>
      <c r="C119" s="2" t="s">
        <v>547</v>
      </c>
      <c r="D119" s="2" t="s">
        <v>561</v>
      </c>
      <c r="E119" s="2" t="s">
        <v>549</v>
      </c>
      <c r="F119" s="2" t="s">
        <v>506</v>
      </c>
      <c r="G119" s="3" t="s">
        <v>34</v>
      </c>
      <c r="H119" s="2" t="s">
        <v>562</v>
      </c>
      <c r="I119" s="2" t="s">
        <v>69</v>
      </c>
      <c r="J119" s="2" t="s">
        <v>563</v>
      </c>
      <c r="K119" s="2" t="s">
        <v>88</v>
      </c>
      <c r="L119" s="2" t="s">
        <v>72</v>
      </c>
      <c r="M119" s="2" t="s">
        <v>73</v>
      </c>
      <c r="N119" s="2" t="s">
        <v>41</v>
      </c>
      <c r="O119" s="2"/>
    </row>
    <row r="120" spans="1:15" ht="38.25" x14ac:dyDescent="0.25">
      <c r="A120" s="2" t="s">
        <v>564</v>
      </c>
      <c r="B120" s="2" t="s">
        <v>16</v>
      </c>
      <c r="C120" s="2" t="s">
        <v>547</v>
      </c>
      <c r="D120" s="2" t="s">
        <v>565</v>
      </c>
      <c r="E120" s="2" t="s">
        <v>549</v>
      </c>
      <c r="F120" s="2" t="s">
        <v>506</v>
      </c>
      <c r="G120" s="3" t="s">
        <v>45</v>
      </c>
      <c r="H120" s="2" t="s">
        <v>475</v>
      </c>
      <c r="I120" s="2" t="s">
        <v>47</v>
      </c>
      <c r="J120" s="2" t="s">
        <v>48</v>
      </c>
      <c r="K120" s="2" t="s">
        <v>49</v>
      </c>
      <c r="L120" s="2" t="s">
        <v>49</v>
      </c>
      <c r="M120" s="2" t="s">
        <v>365</v>
      </c>
      <c r="N120" s="2" t="s">
        <v>49</v>
      </c>
      <c r="O120" s="2"/>
    </row>
    <row r="121" spans="1:15" ht="51" x14ac:dyDescent="0.25">
      <c r="A121" s="2" t="s">
        <v>566</v>
      </c>
      <c r="B121" s="2" t="s">
        <v>16</v>
      </c>
      <c r="C121" s="2" t="s">
        <v>567</v>
      </c>
      <c r="D121" s="2" t="s">
        <v>568</v>
      </c>
      <c r="E121" s="2" t="s">
        <v>437</v>
      </c>
      <c r="F121" s="2" t="s">
        <v>170</v>
      </c>
      <c r="G121" s="3" t="s">
        <v>34</v>
      </c>
      <c r="H121" s="2" t="s">
        <v>569</v>
      </c>
      <c r="I121" s="2" t="s">
        <v>127</v>
      </c>
      <c r="J121" s="2" t="s">
        <v>128</v>
      </c>
      <c r="K121" s="2" t="s">
        <v>129</v>
      </c>
      <c r="L121" s="2" t="s">
        <v>130</v>
      </c>
      <c r="M121" s="2" t="s">
        <v>131</v>
      </c>
      <c r="N121" s="2" t="s">
        <v>41</v>
      </c>
      <c r="O121" s="2"/>
    </row>
    <row r="122" spans="1:15" ht="38.25" x14ac:dyDescent="0.25">
      <c r="A122" s="2" t="s">
        <v>570</v>
      </c>
      <c r="B122" s="2" t="s">
        <v>16</v>
      </c>
      <c r="C122" s="2" t="s">
        <v>567</v>
      </c>
      <c r="D122" s="2" t="s">
        <v>571</v>
      </c>
      <c r="E122" s="2" t="s">
        <v>437</v>
      </c>
      <c r="F122" s="2" t="s">
        <v>136</v>
      </c>
      <c r="G122" s="3" t="s">
        <v>34</v>
      </c>
      <c r="H122" s="2" t="s">
        <v>572</v>
      </c>
      <c r="I122" s="2" t="s">
        <v>138</v>
      </c>
      <c r="J122" s="2" t="s">
        <v>139</v>
      </c>
      <c r="K122" s="2" t="s">
        <v>140</v>
      </c>
      <c r="L122" s="2" t="s">
        <v>141</v>
      </c>
      <c r="M122" s="2" t="s">
        <v>142</v>
      </c>
      <c r="N122" s="2" t="s">
        <v>41</v>
      </c>
      <c r="O122" s="2"/>
    </row>
    <row r="123" spans="1:15" ht="51" x14ac:dyDescent="0.25">
      <c r="A123" s="2" t="s">
        <v>573</v>
      </c>
      <c r="B123" s="2" t="s">
        <v>16</v>
      </c>
      <c r="C123" s="2" t="s">
        <v>567</v>
      </c>
      <c r="D123" s="2" t="s">
        <v>574</v>
      </c>
      <c r="E123" s="2" t="s">
        <v>437</v>
      </c>
      <c r="F123" s="2" t="s">
        <v>136</v>
      </c>
      <c r="G123" s="3" t="s">
        <v>21</v>
      </c>
      <c r="H123" s="2" t="s">
        <v>575</v>
      </c>
      <c r="I123" s="2" t="s">
        <v>138</v>
      </c>
      <c r="J123" s="2" t="s">
        <v>139</v>
      </c>
      <c r="K123" s="2" t="s">
        <v>140</v>
      </c>
      <c r="L123" s="2" t="s">
        <v>141</v>
      </c>
      <c r="M123" s="2" t="s">
        <v>142</v>
      </c>
      <c r="N123" s="2" t="s">
        <v>28</v>
      </c>
      <c r="O123" s="2"/>
    </row>
    <row r="124" spans="1:15" ht="51" x14ac:dyDescent="0.25">
      <c r="A124" s="2" t="s">
        <v>576</v>
      </c>
      <c r="B124" s="2" t="s">
        <v>16</v>
      </c>
      <c r="C124" s="2" t="s">
        <v>577</v>
      </c>
      <c r="D124" s="2" t="s">
        <v>578</v>
      </c>
      <c r="E124" s="2" t="s">
        <v>579</v>
      </c>
      <c r="F124" s="2" t="s">
        <v>580</v>
      </c>
      <c r="G124" s="3" t="s">
        <v>45</v>
      </c>
      <c r="H124" s="2" t="s">
        <v>497</v>
      </c>
      <c r="I124" s="2" t="s">
        <v>47</v>
      </c>
      <c r="J124" s="2" t="s">
        <v>48</v>
      </c>
      <c r="K124" s="2" t="s">
        <v>49</v>
      </c>
      <c r="L124" s="2" t="s">
        <v>49</v>
      </c>
      <c r="M124" s="2" t="s">
        <v>50</v>
      </c>
      <c r="N124" s="2" t="s">
        <v>49</v>
      </c>
      <c r="O124" s="2"/>
    </row>
    <row r="125" spans="1:15" ht="38.25" x14ac:dyDescent="0.25">
      <c r="A125" s="2" t="s">
        <v>581</v>
      </c>
      <c r="B125" s="2" t="s">
        <v>16</v>
      </c>
      <c r="C125" s="2" t="s">
        <v>577</v>
      </c>
      <c r="D125" s="2" t="s">
        <v>582</v>
      </c>
      <c r="E125" s="2" t="s">
        <v>583</v>
      </c>
      <c r="F125" s="2" t="s">
        <v>580</v>
      </c>
      <c r="G125" s="3" t="s">
        <v>45</v>
      </c>
      <c r="H125" s="2" t="s">
        <v>497</v>
      </c>
      <c r="I125" s="2" t="s">
        <v>47</v>
      </c>
      <c r="J125" s="2" t="s">
        <v>48</v>
      </c>
      <c r="K125" s="2" t="s">
        <v>49</v>
      </c>
      <c r="L125" s="2" t="s">
        <v>49</v>
      </c>
      <c r="M125" s="2" t="s">
        <v>50</v>
      </c>
      <c r="N125" s="2" t="s">
        <v>49</v>
      </c>
      <c r="O125" s="2"/>
    </row>
    <row r="126" spans="1:15" ht="63.75" x14ac:dyDescent="0.25">
      <c r="A126" s="2" t="s">
        <v>584</v>
      </c>
      <c r="B126" s="2" t="s">
        <v>16</v>
      </c>
      <c r="C126" s="2" t="s">
        <v>585</v>
      </c>
      <c r="D126" s="2" t="s">
        <v>586</v>
      </c>
      <c r="E126" s="2" t="s">
        <v>135</v>
      </c>
      <c r="F126" s="2" t="s">
        <v>580</v>
      </c>
      <c r="G126" s="3" t="s">
        <v>34</v>
      </c>
      <c r="H126" s="2" t="s">
        <v>587</v>
      </c>
      <c r="I126" s="2" t="s">
        <v>138</v>
      </c>
      <c r="J126" s="2" t="s">
        <v>139</v>
      </c>
      <c r="K126" s="2" t="s">
        <v>140</v>
      </c>
      <c r="L126" s="2" t="s">
        <v>141</v>
      </c>
      <c r="M126" s="2" t="s">
        <v>142</v>
      </c>
      <c r="N126" s="2" t="s">
        <v>41</v>
      </c>
      <c r="O126" s="2"/>
    </row>
    <row r="127" spans="1:15" ht="38.25" x14ac:dyDescent="0.25">
      <c r="A127" s="2" t="s">
        <v>588</v>
      </c>
      <c r="B127" s="2" t="s">
        <v>16</v>
      </c>
      <c r="C127" s="2" t="s">
        <v>585</v>
      </c>
      <c r="D127" s="2" t="s">
        <v>589</v>
      </c>
      <c r="E127" s="2" t="s">
        <v>590</v>
      </c>
      <c r="F127" s="2" t="s">
        <v>580</v>
      </c>
      <c r="G127" s="3" t="s">
        <v>34</v>
      </c>
      <c r="H127" s="2" t="s">
        <v>591</v>
      </c>
      <c r="I127" s="2" t="s">
        <v>138</v>
      </c>
      <c r="J127" s="2" t="s">
        <v>139</v>
      </c>
      <c r="K127" s="2" t="s">
        <v>140</v>
      </c>
      <c r="L127" s="2" t="s">
        <v>141</v>
      </c>
      <c r="M127" s="2" t="s">
        <v>142</v>
      </c>
      <c r="N127" s="2" t="s">
        <v>41</v>
      </c>
      <c r="O127" s="2"/>
    </row>
    <row r="128" spans="1:15" ht="38.25" x14ac:dyDescent="0.25">
      <c r="A128" s="2" t="s">
        <v>592</v>
      </c>
      <c r="B128" s="2" t="s">
        <v>16</v>
      </c>
      <c r="C128" s="2" t="s">
        <v>585</v>
      </c>
      <c r="D128" s="2" t="s">
        <v>593</v>
      </c>
      <c r="E128" s="2" t="s">
        <v>590</v>
      </c>
      <c r="F128" s="2" t="s">
        <v>594</v>
      </c>
      <c r="G128" s="3" t="s">
        <v>34</v>
      </c>
      <c r="H128" s="2" t="s">
        <v>595</v>
      </c>
      <c r="I128" s="2" t="s">
        <v>138</v>
      </c>
      <c r="J128" s="2" t="s">
        <v>139</v>
      </c>
      <c r="K128" s="2" t="s">
        <v>140</v>
      </c>
      <c r="L128" s="2" t="s">
        <v>141</v>
      </c>
      <c r="M128" s="2" t="s">
        <v>142</v>
      </c>
      <c r="N128" s="2" t="s">
        <v>41</v>
      </c>
      <c r="O128" s="2"/>
    </row>
    <row r="129" spans="1:15" ht="25.5" x14ac:dyDescent="0.25">
      <c r="A129" s="2" t="s">
        <v>596</v>
      </c>
      <c r="B129" s="2" t="s">
        <v>16</v>
      </c>
      <c r="C129" s="2" t="s">
        <v>597</v>
      </c>
      <c r="D129" s="2" t="s">
        <v>598</v>
      </c>
      <c r="E129" s="2" t="s">
        <v>202</v>
      </c>
      <c r="F129" s="2" t="s">
        <v>580</v>
      </c>
      <c r="G129" s="3" t="s">
        <v>45</v>
      </c>
      <c r="H129" s="2" t="s">
        <v>497</v>
      </c>
      <c r="I129" s="2" t="s">
        <v>47</v>
      </c>
      <c r="J129" s="2" t="s">
        <v>48</v>
      </c>
      <c r="K129" s="2" t="s">
        <v>49</v>
      </c>
      <c r="L129" s="2" t="s">
        <v>49</v>
      </c>
      <c r="M129" s="2" t="s">
        <v>50</v>
      </c>
      <c r="N129" s="2" t="s">
        <v>49</v>
      </c>
      <c r="O129" s="2"/>
    </row>
    <row r="130" spans="1:15" ht="25.5" x14ac:dyDescent="0.25">
      <c r="A130" s="2" t="s">
        <v>599</v>
      </c>
      <c r="B130" s="2" t="s">
        <v>16</v>
      </c>
      <c r="C130" s="2" t="s">
        <v>597</v>
      </c>
      <c r="D130" s="2" t="s">
        <v>600</v>
      </c>
      <c r="E130" s="2" t="s">
        <v>135</v>
      </c>
      <c r="F130" s="2" t="s">
        <v>580</v>
      </c>
      <c r="G130" s="3" t="s">
        <v>45</v>
      </c>
      <c r="H130" s="2" t="s">
        <v>497</v>
      </c>
      <c r="I130" s="2" t="s">
        <v>47</v>
      </c>
      <c r="J130" s="2" t="s">
        <v>48</v>
      </c>
      <c r="K130" s="2" t="s">
        <v>49</v>
      </c>
      <c r="L130" s="2" t="s">
        <v>49</v>
      </c>
      <c r="M130" s="2" t="s">
        <v>50</v>
      </c>
      <c r="N130" s="2" t="s">
        <v>49</v>
      </c>
      <c r="O130" s="2"/>
    </row>
    <row r="131" spans="1:15" ht="38.25" x14ac:dyDescent="0.25">
      <c r="A131" s="2" t="s">
        <v>601</v>
      </c>
      <c r="B131" s="2" t="s">
        <v>16</v>
      </c>
      <c r="C131" s="2" t="s">
        <v>602</v>
      </c>
      <c r="D131" s="2" t="s">
        <v>603</v>
      </c>
      <c r="E131" s="2" t="s">
        <v>604</v>
      </c>
      <c r="F131" s="2" t="s">
        <v>605</v>
      </c>
      <c r="G131" s="3" t="s">
        <v>34</v>
      </c>
      <c r="H131" s="2" t="s">
        <v>606</v>
      </c>
      <c r="I131" s="2" t="s">
        <v>138</v>
      </c>
      <c r="J131" s="2" t="s">
        <v>139</v>
      </c>
      <c r="K131" s="2" t="s">
        <v>140</v>
      </c>
      <c r="L131" s="2" t="s">
        <v>141</v>
      </c>
      <c r="M131" s="2" t="s">
        <v>142</v>
      </c>
      <c r="N131" s="2" t="s">
        <v>41</v>
      </c>
      <c r="O131" s="2"/>
    </row>
    <row r="132" spans="1:15" ht="63.75" x14ac:dyDescent="0.25">
      <c r="A132" s="2" t="s">
        <v>607</v>
      </c>
      <c r="B132" s="2" t="s">
        <v>16</v>
      </c>
      <c r="C132" s="2" t="s">
        <v>602</v>
      </c>
      <c r="D132" s="2" t="s">
        <v>608</v>
      </c>
      <c r="E132" s="2" t="s">
        <v>609</v>
      </c>
      <c r="F132" s="2" t="s">
        <v>170</v>
      </c>
      <c r="G132" s="3" t="s">
        <v>21</v>
      </c>
      <c r="H132" s="2" t="s">
        <v>610</v>
      </c>
      <c r="I132" s="2" t="s">
        <v>127</v>
      </c>
      <c r="J132" s="2" t="s">
        <v>128</v>
      </c>
      <c r="K132" s="2" t="s">
        <v>129</v>
      </c>
      <c r="L132" s="2" t="s">
        <v>130</v>
      </c>
      <c r="M132" s="2" t="s">
        <v>131</v>
      </c>
      <c r="N132" s="2" t="s">
        <v>28</v>
      </c>
      <c r="O132" s="2"/>
    </row>
    <row r="133" spans="1:15" ht="51" x14ac:dyDescent="0.25">
      <c r="A133" s="2" t="s">
        <v>611</v>
      </c>
      <c r="B133" s="2" t="s">
        <v>16</v>
      </c>
      <c r="C133" s="2" t="s">
        <v>602</v>
      </c>
      <c r="D133" s="2" t="s">
        <v>612</v>
      </c>
      <c r="E133" s="2" t="s">
        <v>609</v>
      </c>
      <c r="F133" s="2" t="s">
        <v>419</v>
      </c>
      <c r="G133" s="3" t="s">
        <v>93</v>
      </c>
      <c r="H133" s="2" t="s">
        <v>613</v>
      </c>
      <c r="I133" s="2" t="s">
        <v>419</v>
      </c>
      <c r="J133" s="2" t="s">
        <v>614</v>
      </c>
      <c r="K133" s="2" t="s">
        <v>422</v>
      </c>
      <c r="L133" s="2" t="s">
        <v>179</v>
      </c>
      <c r="M133" s="2" t="s">
        <v>423</v>
      </c>
      <c r="N133" s="2" t="s">
        <v>28</v>
      </c>
      <c r="O133" s="2" t="s">
        <v>615</v>
      </c>
    </row>
    <row r="134" spans="1:15" ht="38.25" x14ac:dyDescent="0.25">
      <c r="A134" s="2" t="s">
        <v>616</v>
      </c>
      <c r="B134" s="2" t="s">
        <v>16</v>
      </c>
      <c r="C134" s="2" t="s">
        <v>602</v>
      </c>
      <c r="D134" s="2" t="s">
        <v>617</v>
      </c>
      <c r="E134" s="2" t="s">
        <v>202</v>
      </c>
      <c r="F134" s="2" t="s">
        <v>198</v>
      </c>
      <c r="G134" s="3" t="s">
        <v>45</v>
      </c>
      <c r="H134" s="2" t="s">
        <v>618</v>
      </c>
      <c r="I134" s="2" t="s">
        <v>47</v>
      </c>
      <c r="J134" s="2" t="s">
        <v>48</v>
      </c>
      <c r="K134" s="2" t="s">
        <v>49</v>
      </c>
      <c r="L134" s="2" t="s">
        <v>49</v>
      </c>
      <c r="M134" s="2" t="s">
        <v>619</v>
      </c>
      <c r="N134" s="2" t="s">
        <v>49</v>
      </c>
      <c r="O134" s="2"/>
    </row>
    <row r="135" spans="1:15" ht="25.5" x14ac:dyDescent="0.25">
      <c r="A135" s="2" t="s">
        <v>620</v>
      </c>
      <c r="B135" s="2" t="s">
        <v>16</v>
      </c>
      <c r="C135" s="2" t="s">
        <v>621</v>
      </c>
      <c r="D135" s="2" t="s">
        <v>622</v>
      </c>
      <c r="E135" s="2" t="s">
        <v>623</v>
      </c>
      <c r="F135" s="2" t="s">
        <v>605</v>
      </c>
      <c r="G135" s="3" t="s">
        <v>45</v>
      </c>
      <c r="H135" s="2" t="s">
        <v>497</v>
      </c>
      <c r="I135" s="2" t="s">
        <v>47</v>
      </c>
      <c r="J135" s="2" t="s">
        <v>48</v>
      </c>
      <c r="K135" s="2" t="s">
        <v>49</v>
      </c>
      <c r="L135" s="2" t="s">
        <v>49</v>
      </c>
      <c r="M135" s="2" t="s">
        <v>50</v>
      </c>
      <c r="N135" s="2" t="s">
        <v>49</v>
      </c>
      <c r="O135" s="2"/>
    </row>
    <row r="136" spans="1:15" ht="38.25" x14ac:dyDescent="0.25">
      <c r="A136" s="2" t="s">
        <v>624</v>
      </c>
      <c r="B136" s="2" t="s">
        <v>16</v>
      </c>
      <c r="C136" s="2" t="s">
        <v>621</v>
      </c>
      <c r="D136" s="2" t="s">
        <v>625</v>
      </c>
      <c r="E136" s="2" t="s">
        <v>626</v>
      </c>
      <c r="F136" s="2" t="s">
        <v>605</v>
      </c>
      <c r="G136" s="3" t="s">
        <v>45</v>
      </c>
      <c r="H136" s="2" t="s">
        <v>497</v>
      </c>
      <c r="I136" s="2" t="s">
        <v>47</v>
      </c>
      <c r="J136" s="2" t="s">
        <v>48</v>
      </c>
      <c r="K136" s="2" t="s">
        <v>49</v>
      </c>
      <c r="L136" s="2" t="s">
        <v>49</v>
      </c>
      <c r="M136" s="2" t="s">
        <v>50</v>
      </c>
      <c r="N136" s="2" t="s">
        <v>49</v>
      </c>
      <c r="O136" s="2"/>
    </row>
    <row r="137" spans="1:15" ht="38.25" x14ac:dyDescent="0.25">
      <c r="A137" s="2" t="s">
        <v>627</v>
      </c>
      <c r="B137" s="2" t="s">
        <v>16</v>
      </c>
      <c r="C137" s="2" t="s">
        <v>621</v>
      </c>
      <c r="D137" s="2" t="s">
        <v>628</v>
      </c>
      <c r="E137" s="2" t="s">
        <v>626</v>
      </c>
      <c r="F137" s="2" t="s">
        <v>605</v>
      </c>
      <c r="G137" s="3" t="s">
        <v>45</v>
      </c>
      <c r="H137" s="2" t="s">
        <v>497</v>
      </c>
      <c r="I137" s="2" t="s">
        <v>47</v>
      </c>
      <c r="J137" s="2" t="s">
        <v>48</v>
      </c>
      <c r="K137" s="2" t="s">
        <v>49</v>
      </c>
      <c r="L137" s="2" t="s">
        <v>49</v>
      </c>
      <c r="M137" s="2" t="s">
        <v>50</v>
      </c>
      <c r="N137" s="2" t="s">
        <v>49</v>
      </c>
      <c r="O137" s="2"/>
    </row>
    <row r="138" spans="1:15" ht="38.25" x14ac:dyDescent="0.25">
      <c r="A138" s="2" t="s">
        <v>629</v>
      </c>
      <c r="B138" s="2" t="s">
        <v>16</v>
      </c>
      <c r="C138" s="2" t="s">
        <v>621</v>
      </c>
      <c r="D138" s="2" t="s">
        <v>630</v>
      </c>
      <c r="E138" s="2" t="s">
        <v>626</v>
      </c>
      <c r="F138" s="2" t="s">
        <v>605</v>
      </c>
      <c r="G138" s="3" t="s">
        <v>45</v>
      </c>
      <c r="H138" s="2" t="s">
        <v>497</v>
      </c>
      <c r="I138" s="2" t="s">
        <v>47</v>
      </c>
      <c r="J138" s="2" t="s">
        <v>48</v>
      </c>
      <c r="K138" s="2" t="s">
        <v>49</v>
      </c>
      <c r="L138" s="2" t="s">
        <v>49</v>
      </c>
      <c r="M138" s="2" t="s">
        <v>50</v>
      </c>
      <c r="N138" s="2" t="s">
        <v>49</v>
      </c>
      <c r="O138" s="2"/>
    </row>
    <row r="139" spans="1:15" ht="25.5" x14ac:dyDescent="0.25">
      <c r="A139" s="2" t="s">
        <v>631</v>
      </c>
      <c r="B139" s="2" t="s">
        <v>16</v>
      </c>
      <c r="C139" s="2" t="s">
        <v>621</v>
      </c>
      <c r="D139" s="2" t="s">
        <v>632</v>
      </c>
      <c r="E139" s="2" t="s">
        <v>626</v>
      </c>
      <c r="F139" s="2" t="s">
        <v>605</v>
      </c>
      <c r="G139" s="3" t="s">
        <v>45</v>
      </c>
      <c r="H139" s="2" t="s">
        <v>497</v>
      </c>
      <c r="I139" s="2" t="s">
        <v>47</v>
      </c>
      <c r="J139" s="2" t="s">
        <v>48</v>
      </c>
      <c r="K139" s="2" t="s">
        <v>49</v>
      </c>
      <c r="L139" s="2" t="s">
        <v>49</v>
      </c>
      <c r="M139" s="2" t="s">
        <v>50</v>
      </c>
      <c r="N139" s="2" t="s">
        <v>49</v>
      </c>
      <c r="O139" s="2"/>
    </row>
    <row r="140" spans="1:15" ht="38.25" x14ac:dyDescent="0.25">
      <c r="A140" s="2" t="s">
        <v>633</v>
      </c>
      <c r="B140" s="2" t="s">
        <v>16</v>
      </c>
      <c r="C140" s="2" t="s">
        <v>621</v>
      </c>
      <c r="D140" s="2" t="s">
        <v>634</v>
      </c>
      <c r="E140" s="2" t="s">
        <v>635</v>
      </c>
      <c r="F140" s="2" t="s">
        <v>174</v>
      </c>
      <c r="G140" s="3" t="s">
        <v>45</v>
      </c>
      <c r="H140" s="2" t="s">
        <v>636</v>
      </c>
      <c r="I140" s="2" t="s">
        <v>47</v>
      </c>
      <c r="J140" s="2" t="s">
        <v>48</v>
      </c>
      <c r="K140" s="2" t="s">
        <v>49</v>
      </c>
      <c r="L140" s="2" t="s">
        <v>49</v>
      </c>
      <c r="M140" s="2" t="s">
        <v>50</v>
      </c>
      <c r="N140" s="2" t="s">
        <v>49</v>
      </c>
      <c r="O140" s="2"/>
    </row>
    <row r="141" spans="1:15" ht="51" x14ac:dyDescent="0.25">
      <c r="A141" s="2" t="s">
        <v>637</v>
      </c>
      <c r="B141" s="2" t="s">
        <v>16</v>
      </c>
      <c r="C141" s="2" t="s">
        <v>621</v>
      </c>
      <c r="D141" s="2" t="s">
        <v>638</v>
      </c>
      <c r="E141" s="2" t="s">
        <v>639</v>
      </c>
      <c r="F141" s="2" t="s">
        <v>174</v>
      </c>
      <c r="G141" s="3" t="s">
        <v>34</v>
      </c>
      <c r="H141" s="2" t="s">
        <v>640</v>
      </c>
      <c r="I141" s="2" t="s">
        <v>176</v>
      </c>
      <c r="J141" s="2" t="s">
        <v>177</v>
      </c>
      <c r="K141" s="2" t="s">
        <v>178</v>
      </c>
      <c r="L141" s="2" t="s">
        <v>179</v>
      </c>
      <c r="M141" s="2" t="s">
        <v>180</v>
      </c>
      <c r="N141" s="2" t="s">
        <v>41</v>
      </c>
      <c r="O141" s="2"/>
    </row>
    <row r="142" spans="1:15" ht="38.25" x14ac:dyDescent="0.25">
      <c r="A142" s="2" t="s">
        <v>641</v>
      </c>
      <c r="B142" s="2" t="s">
        <v>16</v>
      </c>
      <c r="C142" s="2" t="s">
        <v>621</v>
      </c>
      <c r="D142" s="2" t="s">
        <v>642</v>
      </c>
      <c r="E142" s="2" t="s">
        <v>202</v>
      </c>
      <c r="F142" s="2" t="s">
        <v>174</v>
      </c>
      <c r="G142" s="3" t="s">
        <v>34</v>
      </c>
      <c r="H142" s="2" t="s">
        <v>643</v>
      </c>
      <c r="I142" s="2" t="s">
        <v>176</v>
      </c>
      <c r="J142" s="2" t="s">
        <v>177</v>
      </c>
      <c r="K142" s="2" t="s">
        <v>178</v>
      </c>
      <c r="L142" s="2" t="s">
        <v>179</v>
      </c>
      <c r="M142" s="2" t="s">
        <v>180</v>
      </c>
      <c r="N142" s="2" t="s">
        <v>41</v>
      </c>
      <c r="O142" s="2"/>
    </row>
    <row r="143" spans="1:15" ht="38.25" x14ac:dyDescent="0.25">
      <c r="A143" s="2" t="s">
        <v>644</v>
      </c>
      <c r="B143" s="2" t="s">
        <v>16</v>
      </c>
      <c r="C143" s="2" t="s">
        <v>645</v>
      </c>
      <c r="D143" s="2" t="s">
        <v>646</v>
      </c>
      <c r="E143" s="2" t="s">
        <v>135</v>
      </c>
      <c r="F143" s="2" t="s">
        <v>647</v>
      </c>
      <c r="G143" s="3" t="s">
        <v>45</v>
      </c>
      <c r="H143" s="2" t="s">
        <v>648</v>
      </c>
      <c r="I143" s="2" t="s">
        <v>47</v>
      </c>
      <c r="J143" s="2" t="s">
        <v>48</v>
      </c>
      <c r="K143" s="2" t="s">
        <v>49</v>
      </c>
      <c r="L143" s="2" t="s">
        <v>49</v>
      </c>
      <c r="M143" s="2" t="s">
        <v>50</v>
      </c>
      <c r="N143" s="2" t="s">
        <v>49</v>
      </c>
      <c r="O143" s="2"/>
    </row>
    <row r="144" spans="1:15" ht="25.5" x14ac:dyDescent="0.25">
      <c r="A144" s="2" t="s">
        <v>649</v>
      </c>
      <c r="B144" s="2" t="s">
        <v>16</v>
      </c>
      <c r="C144" s="2" t="s">
        <v>645</v>
      </c>
      <c r="D144" s="2" t="s">
        <v>650</v>
      </c>
      <c r="E144" s="2" t="s">
        <v>583</v>
      </c>
      <c r="F144" s="2" t="s">
        <v>647</v>
      </c>
      <c r="G144" s="3" t="s">
        <v>45</v>
      </c>
      <c r="H144" s="2" t="s">
        <v>497</v>
      </c>
      <c r="I144" s="2" t="s">
        <v>47</v>
      </c>
      <c r="J144" s="2" t="s">
        <v>48</v>
      </c>
      <c r="K144" s="2" t="s">
        <v>49</v>
      </c>
      <c r="L144" s="2" t="s">
        <v>49</v>
      </c>
      <c r="M144" s="2" t="s">
        <v>50</v>
      </c>
      <c r="N144" s="2" t="s">
        <v>49</v>
      </c>
      <c r="O144" s="2"/>
    </row>
    <row r="145" spans="1:15" ht="38.25" x14ac:dyDescent="0.25">
      <c r="A145" s="2" t="s">
        <v>651</v>
      </c>
      <c r="B145" s="2" t="s">
        <v>16</v>
      </c>
      <c r="C145" s="2" t="s">
        <v>645</v>
      </c>
      <c r="D145" s="2" t="s">
        <v>652</v>
      </c>
      <c r="E145" s="2" t="s">
        <v>653</v>
      </c>
      <c r="F145" s="2" t="s">
        <v>647</v>
      </c>
      <c r="G145" s="3" t="s">
        <v>45</v>
      </c>
      <c r="H145" s="2" t="s">
        <v>648</v>
      </c>
      <c r="I145" s="2" t="s">
        <v>47</v>
      </c>
      <c r="J145" s="2" t="s">
        <v>48</v>
      </c>
      <c r="K145" s="2" t="s">
        <v>49</v>
      </c>
      <c r="L145" s="2" t="s">
        <v>49</v>
      </c>
      <c r="M145" s="2" t="s">
        <v>50</v>
      </c>
      <c r="N145" s="2" t="s">
        <v>49</v>
      </c>
      <c r="O145" s="2"/>
    </row>
    <row r="146" spans="1:15" ht="25.5" x14ac:dyDescent="0.25">
      <c r="A146" s="2" t="s">
        <v>654</v>
      </c>
      <c r="B146" s="2" t="s">
        <v>16</v>
      </c>
      <c r="C146" s="2" t="s">
        <v>655</v>
      </c>
      <c r="D146" s="2" t="s">
        <v>656</v>
      </c>
      <c r="E146" s="2" t="s">
        <v>604</v>
      </c>
      <c r="F146" s="2" t="s">
        <v>657</v>
      </c>
      <c r="G146" s="3" t="s">
        <v>45</v>
      </c>
      <c r="H146" s="2" t="s">
        <v>497</v>
      </c>
      <c r="I146" s="2" t="s">
        <v>47</v>
      </c>
      <c r="J146" s="2" t="s">
        <v>48</v>
      </c>
      <c r="K146" s="2" t="s">
        <v>49</v>
      </c>
      <c r="L146" s="2" t="s">
        <v>49</v>
      </c>
      <c r="M146" s="2" t="s">
        <v>50</v>
      </c>
      <c r="N146" s="2" t="s">
        <v>49</v>
      </c>
      <c r="O146" s="2"/>
    </row>
    <row r="147" spans="1:15" ht="51" x14ac:dyDescent="0.25">
      <c r="A147" s="2" t="s">
        <v>658</v>
      </c>
      <c r="B147" s="2" t="s">
        <v>16</v>
      </c>
      <c r="C147" s="2" t="s">
        <v>655</v>
      </c>
      <c r="D147" s="2" t="s">
        <v>659</v>
      </c>
      <c r="E147" s="2" t="s">
        <v>660</v>
      </c>
      <c r="F147" s="2" t="s">
        <v>657</v>
      </c>
      <c r="G147" s="3" t="s">
        <v>45</v>
      </c>
      <c r="H147" s="2" t="s">
        <v>497</v>
      </c>
      <c r="I147" s="2" t="s">
        <v>47</v>
      </c>
      <c r="J147" s="2" t="s">
        <v>48</v>
      </c>
      <c r="K147" s="2" t="s">
        <v>49</v>
      </c>
      <c r="L147" s="2" t="s">
        <v>49</v>
      </c>
      <c r="M147" s="2" t="s">
        <v>50</v>
      </c>
      <c r="N147" s="2" t="s">
        <v>49</v>
      </c>
      <c r="O147" s="2"/>
    </row>
    <row r="148" spans="1:15" ht="38.25" x14ac:dyDescent="0.25">
      <c r="A148" s="2" t="s">
        <v>661</v>
      </c>
      <c r="B148" s="2" t="s">
        <v>16</v>
      </c>
      <c r="C148" s="2" t="s">
        <v>655</v>
      </c>
      <c r="D148" s="2" t="s">
        <v>662</v>
      </c>
      <c r="E148" s="2" t="s">
        <v>663</v>
      </c>
      <c r="F148" s="2" t="s">
        <v>657</v>
      </c>
      <c r="G148" s="3" t="s">
        <v>45</v>
      </c>
      <c r="H148" s="2" t="s">
        <v>497</v>
      </c>
      <c r="I148" s="2" t="s">
        <v>47</v>
      </c>
      <c r="J148" s="2" t="s">
        <v>48</v>
      </c>
      <c r="K148" s="2" t="s">
        <v>49</v>
      </c>
      <c r="L148" s="2" t="s">
        <v>49</v>
      </c>
      <c r="M148" s="2" t="s">
        <v>50</v>
      </c>
      <c r="N148" s="2" t="s">
        <v>49</v>
      </c>
      <c r="O148" s="2"/>
    </row>
    <row r="149" spans="1:15" ht="25.5" x14ac:dyDescent="0.25">
      <c r="A149" s="2" t="s">
        <v>664</v>
      </c>
      <c r="B149" s="2" t="s">
        <v>16</v>
      </c>
      <c r="C149" s="2" t="s">
        <v>655</v>
      </c>
      <c r="D149" s="2" t="s">
        <v>665</v>
      </c>
      <c r="E149" s="2" t="s">
        <v>330</v>
      </c>
      <c r="F149" s="2" t="s">
        <v>657</v>
      </c>
      <c r="G149" s="3" t="s">
        <v>45</v>
      </c>
      <c r="H149" s="2" t="s">
        <v>497</v>
      </c>
      <c r="I149" s="2" t="s">
        <v>47</v>
      </c>
      <c r="J149" s="2" t="s">
        <v>48</v>
      </c>
      <c r="K149" s="2" t="s">
        <v>49</v>
      </c>
      <c r="L149" s="2" t="s">
        <v>49</v>
      </c>
      <c r="M149" s="2" t="s">
        <v>50</v>
      </c>
      <c r="N149" s="2" t="s">
        <v>49</v>
      </c>
      <c r="O149" s="2"/>
    </row>
    <row r="150" spans="1:15" ht="51" x14ac:dyDescent="0.25">
      <c r="A150" s="2" t="s">
        <v>666</v>
      </c>
      <c r="B150" s="2" t="s">
        <v>16</v>
      </c>
      <c r="C150" s="2" t="s">
        <v>667</v>
      </c>
      <c r="D150" s="2" t="s">
        <v>668</v>
      </c>
      <c r="E150" s="2" t="s">
        <v>275</v>
      </c>
      <c r="F150" s="2" t="s">
        <v>657</v>
      </c>
      <c r="G150" s="3" t="s">
        <v>21</v>
      </c>
      <c r="H150" s="2" t="s">
        <v>669</v>
      </c>
      <c r="I150" s="2" t="s">
        <v>138</v>
      </c>
      <c r="J150" s="2" t="s">
        <v>139</v>
      </c>
      <c r="K150" s="2" t="s">
        <v>140</v>
      </c>
      <c r="L150" s="2" t="s">
        <v>141</v>
      </c>
      <c r="M150" s="2" t="s">
        <v>142</v>
      </c>
      <c r="N150" s="2" t="s">
        <v>28</v>
      </c>
      <c r="O150" s="2"/>
    </row>
    <row r="151" spans="1:15" ht="25.5" x14ac:dyDescent="0.25">
      <c r="A151" s="2" t="s">
        <v>670</v>
      </c>
      <c r="B151" s="2" t="s">
        <v>16</v>
      </c>
      <c r="C151" s="2" t="s">
        <v>671</v>
      </c>
      <c r="D151" s="2" t="s">
        <v>672</v>
      </c>
      <c r="E151" s="2" t="s">
        <v>583</v>
      </c>
      <c r="F151" s="2" t="s">
        <v>673</v>
      </c>
      <c r="G151" s="3" t="s">
        <v>45</v>
      </c>
      <c r="H151" s="2" t="s">
        <v>497</v>
      </c>
      <c r="I151" s="2" t="s">
        <v>47</v>
      </c>
      <c r="J151" s="2" t="s">
        <v>48</v>
      </c>
      <c r="K151" s="2" t="s">
        <v>49</v>
      </c>
      <c r="L151" s="2" t="s">
        <v>49</v>
      </c>
      <c r="M151" s="2" t="s">
        <v>50</v>
      </c>
      <c r="N151" s="2" t="s">
        <v>49</v>
      </c>
      <c r="O151" s="2"/>
    </row>
    <row r="152" spans="1:15" ht="51" x14ac:dyDescent="0.25">
      <c r="A152" s="2" t="s">
        <v>674</v>
      </c>
      <c r="B152" s="2" t="s">
        <v>16</v>
      </c>
      <c r="C152" s="2" t="s">
        <v>671</v>
      </c>
      <c r="D152" s="2" t="s">
        <v>675</v>
      </c>
      <c r="E152" s="2" t="s">
        <v>583</v>
      </c>
      <c r="F152" s="2" t="s">
        <v>673</v>
      </c>
      <c r="G152" s="3" t="s">
        <v>45</v>
      </c>
      <c r="H152" s="2" t="s">
        <v>497</v>
      </c>
      <c r="I152" s="2" t="s">
        <v>47</v>
      </c>
      <c r="J152" s="2" t="s">
        <v>48</v>
      </c>
      <c r="K152" s="2" t="s">
        <v>49</v>
      </c>
      <c r="L152" s="2" t="s">
        <v>49</v>
      </c>
      <c r="M152" s="2" t="s">
        <v>50</v>
      </c>
      <c r="N152" s="2" t="s">
        <v>49</v>
      </c>
      <c r="O152" s="2"/>
    </row>
    <row r="153" spans="1:15" ht="63.75" x14ac:dyDescent="0.25">
      <c r="A153" s="2" t="s">
        <v>676</v>
      </c>
      <c r="B153" s="2" t="s">
        <v>16</v>
      </c>
      <c r="C153" s="2" t="s">
        <v>677</v>
      </c>
      <c r="D153" s="2" t="s">
        <v>678</v>
      </c>
      <c r="E153" s="2" t="s">
        <v>275</v>
      </c>
      <c r="F153" s="2" t="s">
        <v>673</v>
      </c>
      <c r="G153" s="3" t="s">
        <v>21</v>
      </c>
      <c r="H153" s="2" t="s">
        <v>679</v>
      </c>
      <c r="I153" s="2" t="s">
        <v>138</v>
      </c>
      <c r="J153" s="2" t="s">
        <v>139</v>
      </c>
      <c r="K153" s="2" t="s">
        <v>140</v>
      </c>
      <c r="L153" s="2" t="s">
        <v>141</v>
      </c>
      <c r="M153" s="2" t="s">
        <v>142</v>
      </c>
      <c r="N153" s="2" t="s">
        <v>28</v>
      </c>
      <c r="O153" s="2"/>
    </row>
    <row r="154" spans="1:15" ht="38.25" x14ac:dyDescent="0.25">
      <c r="A154" s="2" t="s">
        <v>680</v>
      </c>
      <c r="B154" s="2" t="s">
        <v>16</v>
      </c>
      <c r="C154" s="2" t="s">
        <v>681</v>
      </c>
      <c r="D154" s="2" t="s">
        <v>682</v>
      </c>
      <c r="E154" s="2" t="s">
        <v>135</v>
      </c>
      <c r="F154" s="2" t="s">
        <v>647</v>
      </c>
      <c r="G154" s="3" t="s">
        <v>45</v>
      </c>
      <c r="H154" s="2" t="s">
        <v>648</v>
      </c>
      <c r="I154" s="2" t="s">
        <v>47</v>
      </c>
      <c r="J154" s="2" t="s">
        <v>48</v>
      </c>
      <c r="K154" s="2" t="s">
        <v>49</v>
      </c>
      <c r="L154" s="2" t="s">
        <v>49</v>
      </c>
      <c r="M154" s="2" t="s">
        <v>50</v>
      </c>
      <c r="N154" s="2" t="s">
        <v>49</v>
      </c>
      <c r="O154" s="2"/>
    </row>
    <row r="155" spans="1:15" ht="51" x14ac:dyDescent="0.25">
      <c r="A155" s="2" t="s">
        <v>683</v>
      </c>
      <c r="B155" s="2" t="s">
        <v>16</v>
      </c>
      <c r="C155" s="2" t="s">
        <v>681</v>
      </c>
      <c r="D155" s="2" t="s">
        <v>684</v>
      </c>
      <c r="E155" s="2" t="s">
        <v>283</v>
      </c>
      <c r="F155" s="2" t="s">
        <v>685</v>
      </c>
      <c r="G155" s="3" t="s">
        <v>45</v>
      </c>
      <c r="H155" s="2" t="s">
        <v>497</v>
      </c>
      <c r="I155" s="2" t="s">
        <v>47</v>
      </c>
      <c r="J155" s="2" t="s">
        <v>48</v>
      </c>
      <c r="K155" s="2" t="s">
        <v>49</v>
      </c>
      <c r="L155" s="2" t="s">
        <v>49</v>
      </c>
      <c r="M155" s="2" t="s">
        <v>50</v>
      </c>
      <c r="N155" s="2" t="s">
        <v>49</v>
      </c>
      <c r="O155" s="2"/>
    </row>
    <row r="156" spans="1:15" ht="38.25" x14ac:dyDescent="0.25">
      <c r="A156" s="2" t="s">
        <v>686</v>
      </c>
      <c r="B156" s="2" t="s">
        <v>16</v>
      </c>
      <c r="C156" s="2" t="s">
        <v>687</v>
      </c>
      <c r="D156" s="2" t="s">
        <v>688</v>
      </c>
      <c r="E156" s="2" t="s">
        <v>583</v>
      </c>
      <c r="F156" s="2" t="s">
        <v>580</v>
      </c>
      <c r="G156" s="3" t="s">
        <v>45</v>
      </c>
      <c r="H156" s="2" t="s">
        <v>497</v>
      </c>
      <c r="I156" s="2" t="s">
        <v>47</v>
      </c>
      <c r="J156" s="2" t="s">
        <v>48</v>
      </c>
      <c r="K156" s="2" t="s">
        <v>49</v>
      </c>
      <c r="L156" s="2" t="s">
        <v>49</v>
      </c>
      <c r="M156" s="2" t="s">
        <v>50</v>
      </c>
      <c r="N156" s="2" t="s">
        <v>49</v>
      </c>
      <c r="O156" s="2" t="s">
        <v>689</v>
      </c>
    </row>
    <row r="157" spans="1:15" ht="38.25" x14ac:dyDescent="0.25">
      <c r="A157" s="2" t="s">
        <v>690</v>
      </c>
      <c r="B157" s="2" t="s">
        <v>16</v>
      </c>
      <c r="C157" s="2" t="s">
        <v>687</v>
      </c>
      <c r="D157" s="2" t="s">
        <v>691</v>
      </c>
      <c r="E157" s="2" t="s">
        <v>283</v>
      </c>
      <c r="F157" s="2" t="s">
        <v>580</v>
      </c>
      <c r="G157" s="3" t="s">
        <v>45</v>
      </c>
      <c r="H157" s="2" t="s">
        <v>497</v>
      </c>
      <c r="I157" s="2" t="s">
        <v>47</v>
      </c>
      <c r="J157" s="2" t="s">
        <v>48</v>
      </c>
      <c r="K157" s="2" t="s">
        <v>49</v>
      </c>
      <c r="L157" s="2" t="s">
        <v>49</v>
      </c>
      <c r="M157" s="2" t="s">
        <v>50</v>
      </c>
      <c r="N157" s="2" t="s">
        <v>49</v>
      </c>
      <c r="O157" s="2" t="s">
        <v>689</v>
      </c>
    </row>
    <row r="158" spans="1:15" ht="38.25" x14ac:dyDescent="0.25">
      <c r="A158" s="2" t="s">
        <v>692</v>
      </c>
      <c r="B158" s="2" t="s">
        <v>16</v>
      </c>
      <c r="C158" s="2" t="s">
        <v>693</v>
      </c>
      <c r="D158" s="2" t="s">
        <v>694</v>
      </c>
      <c r="E158" s="2" t="s">
        <v>275</v>
      </c>
      <c r="F158" s="2" t="s">
        <v>685</v>
      </c>
      <c r="G158" s="3" t="s">
        <v>21</v>
      </c>
      <c r="H158" s="2" t="s">
        <v>695</v>
      </c>
      <c r="I158" s="2" t="s">
        <v>138</v>
      </c>
      <c r="J158" s="2" t="s">
        <v>139</v>
      </c>
      <c r="K158" s="2" t="s">
        <v>140</v>
      </c>
      <c r="L158" s="2" t="s">
        <v>141</v>
      </c>
      <c r="M158" s="2" t="s">
        <v>142</v>
      </c>
      <c r="N158" s="2" t="s">
        <v>28</v>
      </c>
      <c r="O158" s="2"/>
    </row>
    <row r="159" spans="1:15" ht="38.25" x14ac:dyDescent="0.25">
      <c r="A159" s="2" t="s">
        <v>696</v>
      </c>
      <c r="B159" s="2" t="s">
        <v>16</v>
      </c>
      <c r="C159" s="2" t="s">
        <v>697</v>
      </c>
      <c r="D159" s="2" t="s">
        <v>698</v>
      </c>
      <c r="E159" s="2" t="s">
        <v>699</v>
      </c>
      <c r="F159" s="2" t="s">
        <v>700</v>
      </c>
      <c r="G159" s="3" t="s">
        <v>34</v>
      </c>
      <c r="H159" s="2" t="s">
        <v>701</v>
      </c>
      <c r="I159" s="2" t="s">
        <v>138</v>
      </c>
      <c r="J159" s="2" t="s">
        <v>139</v>
      </c>
      <c r="K159" s="2" t="s">
        <v>140</v>
      </c>
      <c r="L159" s="2" t="s">
        <v>141</v>
      </c>
      <c r="M159" s="2" t="s">
        <v>142</v>
      </c>
      <c r="N159" s="2" t="s">
        <v>41</v>
      </c>
      <c r="O159" s="2"/>
    </row>
    <row r="160" spans="1:15" ht="38.25" x14ac:dyDescent="0.25">
      <c r="A160" s="2" t="s">
        <v>702</v>
      </c>
      <c r="B160" s="2" t="s">
        <v>16</v>
      </c>
      <c r="C160" s="2" t="s">
        <v>703</v>
      </c>
      <c r="D160" s="2" t="s">
        <v>704</v>
      </c>
      <c r="E160" s="2" t="s">
        <v>275</v>
      </c>
      <c r="F160" s="2" t="s">
        <v>700</v>
      </c>
      <c r="G160" s="3" t="s">
        <v>21</v>
      </c>
      <c r="H160" s="2" t="s">
        <v>705</v>
      </c>
      <c r="I160" s="2" t="s">
        <v>138</v>
      </c>
      <c r="J160" s="2" t="s">
        <v>139</v>
      </c>
      <c r="K160" s="2" t="s">
        <v>140</v>
      </c>
      <c r="L160" s="2" t="s">
        <v>141</v>
      </c>
      <c r="M160" s="2" t="s">
        <v>142</v>
      </c>
      <c r="N160" s="2" t="s">
        <v>28</v>
      </c>
      <c r="O160" s="2"/>
    </row>
    <row r="161" spans="1:15" ht="25.5" x14ac:dyDescent="0.25">
      <c r="A161" s="2" t="s">
        <v>706</v>
      </c>
      <c r="B161" s="2" t="s">
        <v>16</v>
      </c>
      <c r="C161" s="2" t="s">
        <v>707</v>
      </c>
      <c r="D161" s="2" t="s">
        <v>708</v>
      </c>
      <c r="E161" s="2" t="s">
        <v>135</v>
      </c>
      <c r="F161" s="2" t="s">
        <v>709</v>
      </c>
      <c r="G161" s="3" t="s">
        <v>34</v>
      </c>
      <c r="H161" s="2" t="s">
        <v>710</v>
      </c>
      <c r="I161" s="2" t="s">
        <v>711</v>
      </c>
      <c r="J161" s="2" t="s">
        <v>712</v>
      </c>
      <c r="K161" s="2" t="s">
        <v>713</v>
      </c>
      <c r="L161" s="2" t="s">
        <v>141</v>
      </c>
      <c r="M161" s="2" t="s">
        <v>714</v>
      </c>
      <c r="N161" s="2" t="s">
        <v>41</v>
      </c>
      <c r="O161" s="2"/>
    </row>
    <row r="162" spans="1:15" ht="25.5" x14ac:dyDescent="0.25">
      <c r="A162" s="2" t="s">
        <v>715</v>
      </c>
      <c r="B162" s="2" t="s">
        <v>16</v>
      </c>
      <c r="C162" s="2" t="s">
        <v>707</v>
      </c>
      <c r="D162" s="2" t="s">
        <v>716</v>
      </c>
      <c r="E162" s="2" t="s">
        <v>717</v>
      </c>
      <c r="F162" s="2" t="s">
        <v>709</v>
      </c>
      <c r="G162" s="3" t="s">
        <v>45</v>
      </c>
      <c r="H162" s="2" t="s">
        <v>497</v>
      </c>
      <c r="I162" s="2" t="s">
        <v>47</v>
      </c>
      <c r="J162" s="2" t="s">
        <v>48</v>
      </c>
      <c r="K162" s="2" t="s">
        <v>49</v>
      </c>
      <c r="L162" s="2" t="s">
        <v>49</v>
      </c>
      <c r="M162" s="2" t="s">
        <v>50</v>
      </c>
      <c r="N162" s="2" t="s">
        <v>49</v>
      </c>
      <c r="O162" s="2"/>
    </row>
    <row r="163" spans="1:15" ht="38.25" x14ac:dyDescent="0.25">
      <c r="A163" s="2" t="s">
        <v>718</v>
      </c>
      <c r="B163" s="2" t="s">
        <v>16</v>
      </c>
      <c r="C163" s="2" t="s">
        <v>719</v>
      </c>
      <c r="D163" s="2" t="s">
        <v>720</v>
      </c>
      <c r="E163" s="2" t="s">
        <v>202</v>
      </c>
      <c r="F163" s="2" t="s">
        <v>709</v>
      </c>
      <c r="G163" s="3" t="s">
        <v>45</v>
      </c>
      <c r="H163" s="2" t="s">
        <v>497</v>
      </c>
      <c r="I163" s="2" t="s">
        <v>47</v>
      </c>
      <c r="J163" s="2" t="s">
        <v>48</v>
      </c>
      <c r="K163" s="2" t="s">
        <v>49</v>
      </c>
      <c r="L163" s="2" t="s">
        <v>49</v>
      </c>
      <c r="M163" s="2" t="s">
        <v>50</v>
      </c>
      <c r="N163" s="2" t="s">
        <v>49</v>
      </c>
      <c r="O163" s="2"/>
    </row>
    <row r="164" spans="1:15" ht="25.5" x14ac:dyDescent="0.25">
      <c r="A164" s="2" t="s">
        <v>721</v>
      </c>
      <c r="B164" s="2" t="s">
        <v>16</v>
      </c>
      <c r="C164" s="2" t="s">
        <v>719</v>
      </c>
      <c r="D164" s="2" t="s">
        <v>722</v>
      </c>
      <c r="E164" s="2" t="s">
        <v>124</v>
      </c>
      <c r="F164" s="2" t="s">
        <v>709</v>
      </c>
      <c r="G164" s="3" t="s">
        <v>45</v>
      </c>
      <c r="H164" s="2" t="s">
        <v>497</v>
      </c>
      <c r="I164" s="2" t="s">
        <v>47</v>
      </c>
      <c r="J164" s="2" t="s">
        <v>48</v>
      </c>
      <c r="K164" s="2" t="s">
        <v>49</v>
      </c>
      <c r="L164" s="2" t="s">
        <v>49</v>
      </c>
      <c r="M164" s="2" t="s">
        <v>50</v>
      </c>
      <c r="N164" s="2" t="s">
        <v>49</v>
      </c>
      <c r="O164" s="2"/>
    </row>
    <row r="165" spans="1:15" ht="25.5" x14ac:dyDescent="0.25">
      <c r="A165" s="2" t="s">
        <v>723</v>
      </c>
      <c r="B165" s="2" t="s">
        <v>16</v>
      </c>
      <c r="C165" s="2" t="s">
        <v>719</v>
      </c>
      <c r="D165" s="2" t="s">
        <v>724</v>
      </c>
      <c r="E165" s="2" t="s">
        <v>725</v>
      </c>
      <c r="F165" s="2" t="s">
        <v>726</v>
      </c>
      <c r="G165" s="3" t="s">
        <v>45</v>
      </c>
      <c r="H165" s="2" t="s">
        <v>497</v>
      </c>
      <c r="I165" s="2" t="s">
        <v>47</v>
      </c>
      <c r="J165" s="2" t="s">
        <v>48</v>
      </c>
      <c r="K165" s="2" t="s">
        <v>49</v>
      </c>
      <c r="L165" s="2" t="s">
        <v>49</v>
      </c>
      <c r="M165" s="2" t="s">
        <v>50</v>
      </c>
      <c r="N165" s="2" t="s">
        <v>49</v>
      </c>
      <c r="O165" s="2"/>
    </row>
    <row r="166" spans="1:15" ht="38.25" x14ac:dyDescent="0.25">
      <c r="A166" s="2" t="s">
        <v>727</v>
      </c>
      <c r="B166" s="2" t="s">
        <v>16</v>
      </c>
      <c r="C166" s="2" t="s">
        <v>728</v>
      </c>
      <c r="D166" s="2" t="s">
        <v>729</v>
      </c>
      <c r="E166" s="2" t="s">
        <v>275</v>
      </c>
      <c r="F166" s="2" t="s">
        <v>709</v>
      </c>
      <c r="G166" s="3" t="s">
        <v>21</v>
      </c>
      <c r="H166" s="2" t="s">
        <v>730</v>
      </c>
      <c r="I166" s="2" t="s">
        <v>711</v>
      </c>
      <c r="J166" s="2" t="s">
        <v>712</v>
      </c>
      <c r="K166" s="2" t="s">
        <v>713</v>
      </c>
      <c r="L166" s="2" t="s">
        <v>141</v>
      </c>
      <c r="M166" s="2" t="s">
        <v>714</v>
      </c>
      <c r="N166" s="2" t="s">
        <v>28</v>
      </c>
      <c r="O166" s="2"/>
    </row>
    <row r="167" spans="1:15" ht="38.25" x14ac:dyDescent="0.25">
      <c r="A167" s="2" t="s">
        <v>731</v>
      </c>
      <c r="B167" s="2" t="s">
        <v>16</v>
      </c>
      <c r="C167" s="2" t="s">
        <v>728</v>
      </c>
      <c r="D167" s="2" t="s">
        <v>732</v>
      </c>
      <c r="E167" s="2" t="s">
        <v>275</v>
      </c>
      <c r="F167" s="2" t="s">
        <v>709</v>
      </c>
      <c r="G167" s="3" t="s">
        <v>45</v>
      </c>
      <c r="H167" s="2" t="s">
        <v>497</v>
      </c>
      <c r="I167" s="2" t="s">
        <v>47</v>
      </c>
      <c r="J167" s="2" t="s">
        <v>48</v>
      </c>
      <c r="K167" s="2" t="s">
        <v>49</v>
      </c>
      <c r="L167" s="2" t="s">
        <v>49</v>
      </c>
      <c r="M167" s="2" t="s">
        <v>50</v>
      </c>
      <c r="N167" s="2" t="s">
        <v>49</v>
      </c>
      <c r="O167" s="2"/>
    </row>
    <row r="168" spans="1:15" ht="38.25" x14ac:dyDescent="0.25">
      <c r="A168" s="2" t="s">
        <v>733</v>
      </c>
      <c r="B168" s="2" t="s">
        <v>16</v>
      </c>
      <c r="C168" s="2" t="s">
        <v>734</v>
      </c>
      <c r="D168" s="2" t="s">
        <v>735</v>
      </c>
      <c r="E168" s="2" t="s">
        <v>202</v>
      </c>
      <c r="F168" s="2" t="s">
        <v>736</v>
      </c>
      <c r="G168" s="3" t="s">
        <v>45</v>
      </c>
      <c r="H168" s="2" t="s">
        <v>497</v>
      </c>
      <c r="I168" s="2" t="s">
        <v>47</v>
      </c>
      <c r="J168" s="2" t="s">
        <v>48</v>
      </c>
      <c r="K168" s="2" t="s">
        <v>49</v>
      </c>
      <c r="L168" s="2" t="s">
        <v>49</v>
      </c>
      <c r="M168" s="2" t="s">
        <v>50</v>
      </c>
      <c r="N168" s="2" t="s">
        <v>49</v>
      </c>
      <c r="O168" s="2"/>
    </row>
    <row r="169" spans="1:15" ht="38.25" x14ac:dyDescent="0.25">
      <c r="A169" s="2" t="s">
        <v>737</v>
      </c>
      <c r="B169" s="2" t="s">
        <v>16</v>
      </c>
      <c r="C169" s="2" t="s">
        <v>734</v>
      </c>
      <c r="D169" s="2" t="s">
        <v>738</v>
      </c>
      <c r="E169" s="2" t="s">
        <v>202</v>
      </c>
      <c r="F169" s="2" t="s">
        <v>736</v>
      </c>
      <c r="G169" s="3" t="s">
        <v>45</v>
      </c>
      <c r="H169" s="2" t="s">
        <v>533</v>
      </c>
      <c r="I169" s="2" t="s">
        <v>47</v>
      </c>
      <c r="J169" s="2" t="s">
        <v>48</v>
      </c>
      <c r="K169" s="2" t="s">
        <v>49</v>
      </c>
      <c r="L169" s="2" t="s">
        <v>49</v>
      </c>
      <c r="M169" s="2" t="s">
        <v>365</v>
      </c>
      <c r="N169" s="2" t="s">
        <v>49</v>
      </c>
      <c r="O169" s="2"/>
    </row>
    <row r="170" spans="1:15" ht="38.25" x14ac:dyDescent="0.25">
      <c r="A170" s="2" t="s">
        <v>739</v>
      </c>
      <c r="B170" s="2" t="s">
        <v>16</v>
      </c>
      <c r="C170" s="2" t="s">
        <v>734</v>
      </c>
      <c r="D170" s="2" t="s">
        <v>740</v>
      </c>
      <c r="E170" s="2" t="s">
        <v>202</v>
      </c>
      <c r="F170" s="2" t="s">
        <v>736</v>
      </c>
      <c r="G170" s="3" t="s">
        <v>45</v>
      </c>
      <c r="H170" s="2" t="s">
        <v>497</v>
      </c>
      <c r="I170" s="2" t="s">
        <v>47</v>
      </c>
      <c r="J170" s="2" t="s">
        <v>48</v>
      </c>
      <c r="K170" s="2" t="s">
        <v>49</v>
      </c>
      <c r="L170" s="2" t="s">
        <v>49</v>
      </c>
      <c r="M170" s="2" t="s">
        <v>50</v>
      </c>
      <c r="N170" s="2" t="s">
        <v>49</v>
      </c>
      <c r="O170" s="2"/>
    </row>
    <row r="171" spans="1:15" ht="51" x14ac:dyDescent="0.25">
      <c r="A171" s="2" t="s">
        <v>741</v>
      </c>
      <c r="B171" s="2" t="s">
        <v>16</v>
      </c>
      <c r="C171" s="2" t="s">
        <v>742</v>
      </c>
      <c r="D171" s="2" t="s">
        <v>743</v>
      </c>
      <c r="E171" s="2" t="s">
        <v>275</v>
      </c>
      <c r="F171" s="2" t="s">
        <v>736</v>
      </c>
      <c r="G171" s="3" t="s">
        <v>34</v>
      </c>
      <c r="H171" s="2" t="s">
        <v>744</v>
      </c>
      <c r="I171" s="2" t="s">
        <v>711</v>
      </c>
      <c r="J171" s="2" t="s">
        <v>712</v>
      </c>
      <c r="K171" s="2" t="s">
        <v>713</v>
      </c>
      <c r="L171" s="2" t="s">
        <v>141</v>
      </c>
      <c r="M171" s="2" t="s">
        <v>714</v>
      </c>
      <c r="N171" s="2" t="s">
        <v>41</v>
      </c>
      <c r="O171" s="2"/>
    </row>
    <row r="172" spans="1:15" ht="51" x14ac:dyDescent="0.25">
      <c r="A172" s="2" t="s">
        <v>745</v>
      </c>
      <c r="B172" s="2" t="s">
        <v>16</v>
      </c>
      <c r="C172" s="2" t="s">
        <v>742</v>
      </c>
      <c r="D172" s="2" t="s">
        <v>746</v>
      </c>
      <c r="E172" s="2" t="s">
        <v>275</v>
      </c>
      <c r="F172" s="2" t="s">
        <v>736</v>
      </c>
      <c r="G172" s="3" t="s">
        <v>34</v>
      </c>
      <c r="H172" s="2" t="s">
        <v>747</v>
      </c>
      <c r="I172" s="2" t="s">
        <v>711</v>
      </c>
      <c r="J172" s="2" t="s">
        <v>712</v>
      </c>
      <c r="K172" s="2" t="s">
        <v>713</v>
      </c>
      <c r="L172" s="2" t="s">
        <v>141</v>
      </c>
      <c r="M172" s="2" t="s">
        <v>714</v>
      </c>
      <c r="N172" s="2" t="s">
        <v>41</v>
      </c>
      <c r="O172" s="2"/>
    </row>
    <row r="173" spans="1:15" ht="38.25" x14ac:dyDescent="0.25">
      <c r="A173" s="2" t="s">
        <v>748</v>
      </c>
      <c r="B173" s="2" t="s">
        <v>16</v>
      </c>
      <c r="C173" s="2" t="s">
        <v>749</v>
      </c>
      <c r="D173" s="2" t="s">
        <v>750</v>
      </c>
      <c r="E173" s="2" t="s">
        <v>751</v>
      </c>
      <c r="F173" s="2" t="s">
        <v>726</v>
      </c>
      <c r="G173" s="3" t="s">
        <v>45</v>
      </c>
      <c r="H173" s="2" t="s">
        <v>636</v>
      </c>
      <c r="I173" s="2" t="s">
        <v>47</v>
      </c>
      <c r="J173" s="2" t="s">
        <v>48</v>
      </c>
      <c r="K173" s="2" t="s">
        <v>49</v>
      </c>
      <c r="L173" s="2" t="s">
        <v>49</v>
      </c>
      <c r="M173" s="2" t="s">
        <v>50</v>
      </c>
      <c r="N173" s="2" t="s">
        <v>49</v>
      </c>
      <c r="O173" s="2"/>
    </row>
    <row r="174" spans="1:15" ht="38.25" x14ac:dyDescent="0.25">
      <c r="A174" s="2" t="s">
        <v>752</v>
      </c>
      <c r="B174" s="2" t="s">
        <v>16</v>
      </c>
      <c r="C174" s="2" t="s">
        <v>749</v>
      </c>
      <c r="D174" s="2" t="s">
        <v>753</v>
      </c>
      <c r="E174" s="2" t="s">
        <v>202</v>
      </c>
      <c r="F174" s="2" t="s">
        <v>174</v>
      </c>
      <c r="G174" s="3" t="s">
        <v>45</v>
      </c>
      <c r="H174" s="2" t="s">
        <v>636</v>
      </c>
      <c r="I174" s="2" t="s">
        <v>47</v>
      </c>
      <c r="J174" s="2" t="s">
        <v>48</v>
      </c>
      <c r="K174" s="2" t="s">
        <v>49</v>
      </c>
      <c r="L174" s="2" t="s">
        <v>49</v>
      </c>
      <c r="M174" s="2" t="s">
        <v>50</v>
      </c>
      <c r="N174" s="2" t="s">
        <v>49</v>
      </c>
      <c r="O174" s="2"/>
    </row>
    <row r="175" spans="1:15" ht="38.25" x14ac:dyDescent="0.25">
      <c r="A175" s="2" t="s">
        <v>754</v>
      </c>
      <c r="B175" s="2" t="s">
        <v>16</v>
      </c>
      <c r="C175" s="2" t="s">
        <v>749</v>
      </c>
      <c r="D175" s="2" t="s">
        <v>755</v>
      </c>
      <c r="E175" s="2" t="s">
        <v>756</v>
      </c>
      <c r="F175" s="2" t="s">
        <v>726</v>
      </c>
      <c r="G175" s="3" t="s">
        <v>45</v>
      </c>
      <c r="H175" s="2" t="s">
        <v>757</v>
      </c>
      <c r="I175" s="2" t="s">
        <v>47</v>
      </c>
      <c r="J175" s="2" t="s">
        <v>48</v>
      </c>
      <c r="K175" s="2" t="s">
        <v>49</v>
      </c>
      <c r="L175" s="2" t="s">
        <v>49</v>
      </c>
      <c r="M175" s="2" t="s">
        <v>394</v>
      </c>
      <c r="N175" s="2" t="s">
        <v>49</v>
      </c>
      <c r="O175" s="2"/>
    </row>
    <row r="176" spans="1:15" ht="38.25" x14ac:dyDescent="0.25">
      <c r="A176" s="2" t="s">
        <v>758</v>
      </c>
      <c r="B176" s="2" t="s">
        <v>16</v>
      </c>
      <c r="C176" s="2" t="s">
        <v>749</v>
      </c>
      <c r="D176" s="2" t="s">
        <v>759</v>
      </c>
      <c r="E176" s="2" t="s">
        <v>330</v>
      </c>
      <c r="F176" s="2" t="s">
        <v>174</v>
      </c>
      <c r="G176" s="3" t="s">
        <v>34</v>
      </c>
      <c r="H176" s="2" t="s">
        <v>760</v>
      </c>
      <c r="I176" s="2" t="s">
        <v>176</v>
      </c>
      <c r="J176" s="2" t="s">
        <v>177</v>
      </c>
      <c r="K176" s="2" t="s">
        <v>178</v>
      </c>
      <c r="L176" s="2" t="s">
        <v>179</v>
      </c>
      <c r="M176" s="2" t="s">
        <v>180</v>
      </c>
      <c r="N176" s="2" t="s">
        <v>41</v>
      </c>
      <c r="O176" s="2"/>
    </row>
    <row r="177" spans="1:15" ht="63.75" x14ac:dyDescent="0.25">
      <c r="A177" s="2" t="s">
        <v>761</v>
      </c>
      <c r="B177" s="2" t="s">
        <v>16</v>
      </c>
      <c r="C177" s="2" t="s">
        <v>762</v>
      </c>
      <c r="D177" s="2" t="s">
        <v>763</v>
      </c>
      <c r="E177" s="2" t="s">
        <v>275</v>
      </c>
      <c r="F177" s="2" t="s">
        <v>726</v>
      </c>
      <c r="G177" s="3" t="s">
        <v>21</v>
      </c>
      <c r="H177" s="2" t="s">
        <v>764</v>
      </c>
      <c r="I177" s="2" t="s">
        <v>176</v>
      </c>
      <c r="J177" s="2" t="s">
        <v>177</v>
      </c>
      <c r="K177" s="2" t="s">
        <v>178</v>
      </c>
      <c r="L177" s="2" t="s">
        <v>179</v>
      </c>
      <c r="M177" s="2" t="s">
        <v>180</v>
      </c>
      <c r="N177" s="2" t="s">
        <v>28</v>
      </c>
      <c r="O177" s="2"/>
    </row>
    <row r="178" spans="1:15" ht="25.5" x14ac:dyDescent="0.25">
      <c r="A178" s="2" t="s">
        <v>765</v>
      </c>
      <c r="B178" s="2" t="s">
        <v>16</v>
      </c>
      <c r="C178" s="2" t="s">
        <v>766</v>
      </c>
      <c r="D178" s="2" t="s">
        <v>767</v>
      </c>
      <c r="E178" s="2" t="s">
        <v>202</v>
      </c>
      <c r="F178" s="2" t="s">
        <v>726</v>
      </c>
      <c r="G178" s="3" t="s">
        <v>45</v>
      </c>
      <c r="H178" s="2" t="s">
        <v>497</v>
      </c>
      <c r="I178" s="2" t="s">
        <v>47</v>
      </c>
      <c r="J178" s="2" t="s">
        <v>48</v>
      </c>
      <c r="K178" s="2" t="s">
        <v>49</v>
      </c>
      <c r="L178" s="2" t="s">
        <v>49</v>
      </c>
      <c r="M178" s="2" t="s">
        <v>50</v>
      </c>
      <c r="N178" s="2" t="s">
        <v>49</v>
      </c>
      <c r="O178" s="2"/>
    </row>
    <row r="179" spans="1:15" ht="38.25" x14ac:dyDescent="0.25">
      <c r="A179" s="2" t="s">
        <v>768</v>
      </c>
      <c r="B179" s="2" t="s">
        <v>16</v>
      </c>
      <c r="C179" s="2" t="s">
        <v>766</v>
      </c>
      <c r="D179" s="2" t="s">
        <v>769</v>
      </c>
      <c r="E179" s="2" t="s">
        <v>202</v>
      </c>
      <c r="F179" s="2" t="s">
        <v>174</v>
      </c>
      <c r="G179" s="3" t="s">
        <v>45</v>
      </c>
      <c r="H179" s="2" t="s">
        <v>636</v>
      </c>
      <c r="I179" s="2" t="s">
        <v>47</v>
      </c>
      <c r="J179" s="2" t="s">
        <v>48</v>
      </c>
      <c r="K179" s="2" t="s">
        <v>49</v>
      </c>
      <c r="L179" s="2" t="s">
        <v>49</v>
      </c>
      <c r="M179" s="2" t="s">
        <v>50</v>
      </c>
      <c r="N179" s="2" t="s">
        <v>49</v>
      </c>
      <c r="O179" s="2"/>
    </row>
    <row r="180" spans="1:15" ht="25.5" x14ac:dyDescent="0.25">
      <c r="A180" s="2" t="s">
        <v>770</v>
      </c>
      <c r="B180" s="2" t="s">
        <v>16</v>
      </c>
      <c r="C180" s="2" t="s">
        <v>771</v>
      </c>
      <c r="D180" s="2" t="s">
        <v>772</v>
      </c>
      <c r="E180" s="2" t="s">
        <v>275</v>
      </c>
      <c r="F180" s="2" t="s">
        <v>726</v>
      </c>
      <c r="G180" s="3" t="s">
        <v>45</v>
      </c>
      <c r="H180" s="2" t="s">
        <v>497</v>
      </c>
      <c r="I180" s="2" t="s">
        <v>47</v>
      </c>
      <c r="J180" s="2" t="s">
        <v>48</v>
      </c>
      <c r="K180" s="2" t="s">
        <v>49</v>
      </c>
      <c r="L180" s="2" t="s">
        <v>49</v>
      </c>
      <c r="M180" s="2" t="s">
        <v>50</v>
      </c>
      <c r="N180" s="2" t="s">
        <v>49</v>
      </c>
      <c r="O180" s="2"/>
    </row>
    <row r="181" spans="1:15" ht="51" x14ac:dyDescent="0.25">
      <c r="A181" s="2" t="s">
        <v>773</v>
      </c>
      <c r="B181" s="2" t="s">
        <v>16</v>
      </c>
      <c r="C181" s="2" t="s">
        <v>771</v>
      </c>
      <c r="D181" s="2" t="s">
        <v>774</v>
      </c>
      <c r="E181" s="2" t="s">
        <v>275</v>
      </c>
      <c r="F181" s="2" t="s">
        <v>198</v>
      </c>
      <c r="G181" s="3" t="s">
        <v>34</v>
      </c>
      <c r="H181" s="2" t="s">
        <v>775</v>
      </c>
      <c r="I181" s="2" t="s">
        <v>162</v>
      </c>
      <c r="J181" s="2" t="s">
        <v>163</v>
      </c>
      <c r="K181" s="2" t="s">
        <v>164</v>
      </c>
      <c r="L181" s="2" t="s">
        <v>165</v>
      </c>
      <c r="M181" s="2" t="s">
        <v>61</v>
      </c>
      <c r="N181" s="2" t="s">
        <v>41</v>
      </c>
      <c r="O181" s="2"/>
    </row>
    <row r="182" spans="1:15" ht="25.5" x14ac:dyDescent="0.25">
      <c r="A182" s="2" t="s">
        <v>776</v>
      </c>
      <c r="B182" s="2" t="s">
        <v>16</v>
      </c>
      <c r="C182" s="2" t="s">
        <v>777</v>
      </c>
      <c r="D182" s="2" t="s">
        <v>778</v>
      </c>
      <c r="E182" s="2" t="s">
        <v>135</v>
      </c>
      <c r="F182" s="2" t="s">
        <v>709</v>
      </c>
      <c r="G182" s="3" t="s">
        <v>45</v>
      </c>
      <c r="H182" s="2" t="s">
        <v>497</v>
      </c>
      <c r="I182" s="2" t="s">
        <v>47</v>
      </c>
      <c r="J182" s="2" t="s">
        <v>48</v>
      </c>
      <c r="K182" s="2" t="s">
        <v>49</v>
      </c>
      <c r="L182" s="2" t="s">
        <v>49</v>
      </c>
      <c r="M182" s="2" t="s">
        <v>50</v>
      </c>
      <c r="N182" s="2" t="s">
        <v>49</v>
      </c>
      <c r="O182" s="2"/>
    </row>
    <row r="183" spans="1:15" ht="38.25" x14ac:dyDescent="0.25">
      <c r="A183" s="2" t="s">
        <v>779</v>
      </c>
      <c r="B183" s="2" t="s">
        <v>16</v>
      </c>
      <c r="C183" s="2" t="s">
        <v>777</v>
      </c>
      <c r="D183" s="2" t="s">
        <v>780</v>
      </c>
      <c r="E183" s="2" t="s">
        <v>283</v>
      </c>
      <c r="F183" s="2" t="s">
        <v>709</v>
      </c>
      <c r="G183" s="3" t="s">
        <v>45</v>
      </c>
      <c r="H183" s="2" t="s">
        <v>497</v>
      </c>
      <c r="I183" s="2" t="s">
        <v>47</v>
      </c>
      <c r="J183" s="2" t="s">
        <v>48</v>
      </c>
      <c r="K183" s="2" t="s">
        <v>49</v>
      </c>
      <c r="L183" s="2" t="s">
        <v>49</v>
      </c>
      <c r="M183" s="2" t="s">
        <v>50</v>
      </c>
      <c r="N183" s="2" t="s">
        <v>49</v>
      </c>
      <c r="O183" s="2"/>
    </row>
    <row r="184" spans="1:15" ht="38.25" x14ac:dyDescent="0.25">
      <c r="A184" s="2" t="s">
        <v>781</v>
      </c>
      <c r="B184" s="2" t="s">
        <v>16</v>
      </c>
      <c r="C184" s="2" t="s">
        <v>782</v>
      </c>
      <c r="D184" s="2" t="s">
        <v>783</v>
      </c>
      <c r="E184" s="2" t="s">
        <v>275</v>
      </c>
      <c r="F184" s="2" t="s">
        <v>709</v>
      </c>
      <c r="G184" s="3" t="s">
        <v>45</v>
      </c>
      <c r="H184" s="2" t="s">
        <v>497</v>
      </c>
      <c r="I184" s="2" t="s">
        <v>47</v>
      </c>
      <c r="J184" s="2" t="s">
        <v>48</v>
      </c>
      <c r="K184" s="2" t="s">
        <v>49</v>
      </c>
      <c r="L184" s="2" t="s">
        <v>49</v>
      </c>
      <c r="M184" s="2" t="s">
        <v>50</v>
      </c>
      <c r="N184" s="2" t="s">
        <v>49</v>
      </c>
      <c r="O184" s="2"/>
    </row>
    <row r="185" spans="1:15" ht="38.25" x14ac:dyDescent="0.25">
      <c r="A185" s="2" t="s">
        <v>784</v>
      </c>
      <c r="B185" s="2" t="s">
        <v>16</v>
      </c>
      <c r="C185" s="2" t="s">
        <v>782</v>
      </c>
      <c r="D185" s="2" t="s">
        <v>785</v>
      </c>
      <c r="E185" s="2" t="s">
        <v>275</v>
      </c>
      <c r="F185" s="2" t="s">
        <v>514</v>
      </c>
      <c r="G185" s="3" t="s">
        <v>34</v>
      </c>
      <c r="H185" s="2" t="s">
        <v>786</v>
      </c>
      <c r="I185" s="2" t="s">
        <v>711</v>
      </c>
      <c r="J185" s="2" t="s">
        <v>712</v>
      </c>
      <c r="K185" s="2" t="s">
        <v>713</v>
      </c>
      <c r="L185" s="2" t="s">
        <v>141</v>
      </c>
      <c r="M185" s="2" t="s">
        <v>714</v>
      </c>
      <c r="N185" s="2" t="s">
        <v>41</v>
      </c>
      <c r="O185" s="2"/>
    </row>
    <row r="186" spans="1:15" ht="38.25" x14ac:dyDescent="0.25">
      <c r="A186" s="2" t="s">
        <v>787</v>
      </c>
      <c r="B186" s="2" t="s">
        <v>16</v>
      </c>
      <c r="C186" s="2" t="s">
        <v>788</v>
      </c>
      <c r="D186" s="2" t="s">
        <v>789</v>
      </c>
      <c r="E186" s="2" t="s">
        <v>437</v>
      </c>
      <c r="F186" s="2" t="s">
        <v>790</v>
      </c>
      <c r="G186" s="3" t="s">
        <v>45</v>
      </c>
      <c r="H186" s="2" t="s">
        <v>454</v>
      </c>
      <c r="I186" s="2" t="s">
        <v>47</v>
      </c>
      <c r="J186" s="2" t="s">
        <v>48</v>
      </c>
      <c r="K186" s="2" t="s">
        <v>49</v>
      </c>
      <c r="L186" s="2" t="s">
        <v>49</v>
      </c>
      <c r="M186" s="2" t="s">
        <v>50</v>
      </c>
      <c r="N186" s="2" t="s">
        <v>49</v>
      </c>
      <c r="O186" s="2"/>
    </row>
    <row r="187" spans="1:15" ht="38.25" x14ac:dyDescent="0.25">
      <c r="A187" s="2" t="s">
        <v>791</v>
      </c>
      <c r="B187" s="2" t="s">
        <v>16</v>
      </c>
      <c r="C187" s="2" t="s">
        <v>788</v>
      </c>
      <c r="D187" s="2" t="s">
        <v>792</v>
      </c>
      <c r="E187" s="2" t="s">
        <v>437</v>
      </c>
      <c r="F187" s="2" t="s">
        <v>790</v>
      </c>
      <c r="G187" s="3" t="s">
        <v>45</v>
      </c>
      <c r="H187" s="2" t="s">
        <v>533</v>
      </c>
      <c r="I187" s="2" t="s">
        <v>47</v>
      </c>
      <c r="J187" s="2" t="s">
        <v>48</v>
      </c>
      <c r="K187" s="2" t="s">
        <v>49</v>
      </c>
      <c r="L187" s="2" t="s">
        <v>49</v>
      </c>
      <c r="M187" s="2" t="s">
        <v>365</v>
      </c>
      <c r="N187" s="2" t="s">
        <v>49</v>
      </c>
      <c r="O187" s="2"/>
    </row>
    <row r="188" spans="1:15" ht="25.5" x14ac:dyDescent="0.25">
      <c r="A188" s="2" t="s">
        <v>793</v>
      </c>
      <c r="B188" s="2" t="s">
        <v>16</v>
      </c>
      <c r="C188" s="2" t="s">
        <v>788</v>
      </c>
      <c r="D188" s="2" t="s">
        <v>794</v>
      </c>
      <c r="E188" s="2" t="s">
        <v>663</v>
      </c>
      <c r="F188" s="2" t="s">
        <v>790</v>
      </c>
      <c r="G188" s="3" t="s">
        <v>45</v>
      </c>
      <c r="H188" s="2" t="s">
        <v>497</v>
      </c>
      <c r="I188" s="2" t="s">
        <v>47</v>
      </c>
      <c r="J188" s="2" t="s">
        <v>48</v>
      </c>
      <c r="K188" s="2" t="s">
        <v>49</v>
      </c>
      <c r="L188" s="2" t="s">
        <v>49</v>
      </c>
      <c r="M188" s="2" t="s">
        <v>50</v>
      </c>
      <c r="N188" s="2" t="s">
        <v>49</v>
      </c>
      <c r="O188" s="2"/>
    </row>
    <row r="189" spans="1:15" ht="38.25" x14ac:dyDescent="0.25">
      <c r="A189" s="2" t="s">
        <v>795</v>
      </c>
      <c r="B189" s="2" t="s">
        <v>16</v>
      </c>
      <c r="C189" s="2" t="s">
        <v>796</v>
      </c>
      <c r="D189" s="2" t="s">
        <v>797</v>
      </c>
      <c r="E189" s="2" t="s">
        <v>275</v>
      </c>
      <c r="F189" s="2" t="s">
        <v>790</v>
      </c>
      <c r="G189" s="3" t="s">
        <v>34</v>
      </c>
      <c r="H189" s="2" t="s">
        <v>798</v>
      </c>
      <c r="I189" s="2" t="s">
        <v>138</v>
      </c>
      <c r="J189" s="2" t="s">
        <v>139</v>
      </c>
      <c r="K189" s="2" t="s">
        <v>140</v>
      </c>
      <c r="L189" s="2" t="s">
        <v>141</v>
      </c>
      <c r="M189" s="2" t="s">
        <v>142</v>
      </c>
      <c r="N189" s="2" t="s">
        <v>41</v>
      </c>
      <c r="O189" s="2"/>
    </row>
    <row r="190" spans="1:15" ht="38.25" x14ac:dyDescent="0.25">
      <c r="A190" s="2" t="s">
        <v>799</v>
      </c>
      <c r="B190" s="2" t="s">
        <v>16</v>
      </c>
      <c r="C190" s="2" t="s">
        <v>796</v>
      </c>
      <c r="D190" s="2" t="s">
        <v>800</v>
      </c>
      <c r="E190" s="2" t="s">
        <v>801</v>
      </c>
      <c r="F190" s="2" t="s">
        <v>790</v>
      </c>
      <c r="G190" s="3" t="s">
        <v>45</v>
      </c>
      <c r="H190" s="2" t="s">
        <v>497</v>
      </c>
      <c r="I190" s="2" t="s">
        <v>47</v>
      </c>
      <c r="J190" s="2" t="s">
        <v>48</v>
      </c>
      <c r="K190" s="2" t="s">
        <v>49</v>
      </c>
      <c r="L190" s="2" t="s">
        <v>49</v>
      </c>
      <c r="M190" s="2" t="s">
        <v>50</v>
      </c>
      <c r="N190" s="2" t="s">
        <v>49</v>
      </c>
      <c r="O190" s="2"/>
    </row>
    <row r="191" spans="1:15" ht="25.5" x14ac:dyDescent="0.25">
      <c r="A191" s="2" t="s">
        <v>802</v>
      </c>
      <c r="B191" s="2" t="s">
        <v>16</v>
      </c>
      <c r="C191" s="2" t="s">
        <v>803</v>
      </c>
      <c r="D191" s="2" t="s">
        <v>804</v>
      </c>
      <c r="E191" s="2" t="s">
        <v>202</v>
      </c>
      <c r="F191" s="2" t="s">
        <v>805</v>
      </c>
      <c r="G191" s="3" t="s">
        <v>93</v>
      </c>
      <c r="H191" s="2" t="s">
        <v>806</v>
      </c>
      <c r="I191" s="2" t="s">
        <v>219</v>
      </c>
      <c r="J191" s="2" t="s">
        <v>220</v>
      </c>
      <c r="K191" s="2" t="s">
        <v>221</v>
      </c>
      <c r="L191" s="2" t="s">
        <v>222</v>
      </c>
      <c r="M191" s="2" t="s">
        <v>223</v>
      </c>
      <c r="N191" s="2" t="s">
        <v>28</v>
      </c>
      <c r="O191" s="2"/>
    </row>
    <row r="192" spans="1:15" ht="38.25" x14ac:dyDescent="0.25">
      <c r="A192" s="2" t="s">
        <v>807</v>
      </c>
      <c r="B192" s="2" t="s">
        <v>16</v>
      </c>
      <c r="C192" s="2" t="s">
        <v>808</v>
      </c>
      <c r="D192" s="2" t="s">
        <v>809</v>
      </c>
      <c r="E192" s="2" t="s">
        <v>810</v>
      </c>
      <c r="F192" s="2" t="s">
        <v>805</v>
      </c>
      <c r="G192" s="3" t="s">
        <v>21</v>
      </c>
      <c r="H192" s="2" t="s">
        <v>811</v>
      </c>
      <c r="I192" s="2" t="s">
        <v>219</v>
      </c>
      <c r="J192" s="2" t="s">
        <v>220</v>
      </c>
      <c r="K192" s="2" t="s">
        <v>221</v>
      </c>
      <c r="L192" s="2" t="s">
        <v>222</v>
      </c>
      <c r="M192" s="2" t="s">
        <v>223</v>
      </c>
      <c r="N192" s="2" t="s">
        <v>28</v>
      </c>
      <c r="O192" s="2"/>
    </row>
    <row r="193" spans="1:15" ht="38.25" x14ac:dyDescent="0.25">
      <c r="A193" s="2" t="s">
        <v>812</v>
      </c>
      <c r="B193" s="2" t="s">
        <v>16</v>
      </c>
      <c r="C193" s="2" t="s">
        <v>808</v>
      </c>
      <c r="D193" s="2" t="s">
        <v>813</v>
      </c>
      <c r="E193" s="2" t="s">
        <v>810</v>
      </c>
      <c r="F193" s="2" t="s">
        <v>805</v>
      </c>
      <c r="G193" s="3" t="s">
        <v>93</v>
      </c>
      <c r="H193" s="2" t="s">
        <v>814</v>
      </c>
      <c r="I193" s="2" t="s">
        <v>219</v>
      </c>
      <c r="J193" s="2" t="s">
        <v>220</v>
      </c>
      <c r="K193" s="2" t="s">
        <v>221</v>
      </c>
      <c r="L193" s="2" t="s">
        <v>222</v>
      </c>
      <c r="M193" s="2" t="s">
        <v>223</v>
      </c>
      <c r="N193" s="2" t="s">
        <v>28</v>
      </c>
      <c r="O193" s="2"/>
    </row>
    <row r="194" spans="1:15" ht="51" x14ac:dyDescent="0.25">
      <c r="A194" s="2" t="s">
        <v>815</v>
      </c>
      <c r="B194" s="2" t="s">
        <v>16</v>
      </c>
      <c r="C194" s="2" t="s">
        <v>808</v>
      </c>
      <c r="D194" s="2" t="s">
        <v>816</v>
      </c>
      <c r="E194" s="2" t="s">
        <v>810</v>
      </c>
      <c r="F194" s="2" t="s">
        <v>805</v>
      </c>
      <c r="G194" s="3" t="s">
        <v>21</v>
      </c>
      <c r="H194" s="2" t="s">
        <v>817</v>
      </c>
      <c r="I194" s="2" t="s">
        <v>219</v>
      </c>
      <c r="J194" s="2" t="s">
        <v>220</v>
      </c>
      <c r="K194" s="2" t="s">
        <v>221</v>
      </c>
      <c r="L194" s="2" t="s">
        <v>222</v>
      </c>
      <c r="M194" s="2" t="s">
        <v>223</v>
      </c>
      <c r="N194" s="2" t="s">
        <v>28</v>
      </c>
      <c r="O194" s="2"/>
    </row>
    <row r="195" spans="1:15" ht="25.5" x14ac:dyDescent="0.25">
      <c r="A195" s="2" t="s">
        <v>818</v>
      </c>
      <c r="B195" s="2" t="s">
        <v>16</v>
      </c>
      <c r="C195" s="2" t="s">
        <v>803</v>
      </c>
      <c r="D195" s="2" t="s">
        <v>819</v>
      </c>
      <c r="E195" s="2" t="s">
        <v>583</v>
      </c>
      <c r="F195" s="2" t="s">
        <v>805</v>
      </c>
      <c r="G195" s="3" t="s">
        <v>21</v>
      </c>
      <c r="H195" s="2" t="s">
        <v>820</v>
      </c>
      <c r="I195" s="2" t="s">
        <v>219</v>
      </c>
      <c r="J195" s="2" t="s">
        <v>220</v>
      </c>
      <c r="K195" s="2" t="s">
        <v>221</v>
      </c>
      <c r="L195" s="2" t="s">
        <v>222</v>
      </c>
      <c r="M195" s="2" t="s">
        <v>223</v>
      </c>
      <c r="N195" s="2" t="s">
        <v>28</v>
      </c>
      <c r="O195" s="2"/>
    </row>
    <row r="196" spans="1:15" ht="38.25" x14ac:dyDescent="0.25">
      <c r="A196" s="2" t="s">
        <v>821</v>
      </c>
      <c r="B196" s="2" t="s">
        <v>16</v>
      </c>
      <c r="C196" s="2" t="s">
        <v>822</v>
      </c>
      <c r="D196" s="2" t="s">
        <v>823</v>
      </c>
      <c r="E196" s="2" t="s">
        <v>275</v>
      </c>
      <c r="F196" s="2" t="s">
        <v>805</v>
      </c>
      <c r="G196" s="3" t="s">
        <v>93</v>
      </c>
      <c r="H196" s="2" t="s">
        <v>824</v>
      </c>
      <c r="I196" s="2" t="s">
        <v>138</v>
      </c>
      <c r="J196" s="2" t="s">
        <v>139</v>
      </c>
      <c r="K196" s="2" t="s">
        <v>140</v>
      </c>
      <c r="L196" s="2" t="s">
        <v>141</v>
      </c>
      <c r="M196" s="2" t="s">
        <v>142</v>
      </c>
      <c r="N196" s="2" t="s">
        <v>28</v>
      </c>
      <c r="O196" s="2"/>
    </row>
    <row r="197" spans="1:15" ht="38.25" x14ac:dyDescent="0.25">
      <c r="A197" s="2" t="s">
        <v>825</v>
      </c>
      <c r="B197" s="2" t="s">
        <v>16</v>
      </c>
      <c r="C197" s="2" t="s">
        <v>822</v>
      </c>
      <c r="D197" s="2" t="s">
        <v>826</v>
      </c>
      <c r="E197" s="2" t="s">
        <v>275</v>
      </c>
      <c r="F197" s="2" t="s">
        <v>709</v>
      </c>
      <c r="G197" s="3" t="s">
        <v>93</v>
      </c>
      <c r="H197" s="2" t="s">
        <v>827</v>
      </c>
      <c r="I197" s="2" t="s">
        <v>711</v>
      </c>
      <c r="J197" s="2" t="s">
        <v>712</v>
      </c>
      <c r="K197" s="2" t="s">
        <v>713</v>
      </c>
      <c r="L197" s="2" t="s">
        <v>141</v>
      </c>
      <c r="M197" s="2" t="s">
        <v>714</v>
      </c>
      <c r="N197" s="2" t="s">
        <v>28</v>
      </c>
      <c r="O197" s="2"/>
    </row>
    <row r="198" spans="1:15" ht="38.25" x14ac:dyDescent="0.25">
      <c r="A198" s="2" t="s">
        <v>828</v>
      </c>
      <c r="B198" s="2" t="s">
        <v>16</v>
      </c>
      <c r="C198" s="2" t="s">
        <v>829</v>
      </c>
      <c r="D198" s="2" t="s">
        <v>830</v>
      </c>
      <c r="E198" s="2" t="s">
        <v>283</v>
      </c>
      <c r="F198" s="2" t="s">
        <v>647</v>
      </c>
      <c r="G198" s="3" t="s">
        <v>45</v>
      </c>
      <c r="H198" s="2" t="s">
        <v>648</v>
      </c>
      <c r="I198" s="2" t="s">
        <v>47</v>
      </c>
      <c r="J198" s="2" t="s">
        <v>48</v>
      </c>
      <c r="K198" s="2" t="s">
        <v>49</v>
      </c>
      <c r="L198" s="2" t="s">
        <v>49</v>
      </c>
      <c r="M198" s="2" t="s">
        <v>50</v>
      </c>
      <c r="N198" s="2" t="s">
        <v>49</v>
      </c>
      <c r="O198" s="2"/>
    </row>
    <row r="199" spans="1:15" ht="38.25" x14ac:dyDescent="0.25">
      <c r="A199" s="2" t="s">
        <v>831</v>
      </c>
      <c r="B199" s="2" t="s">
        <v>16</v>
      </c>
      <c r="C199" s="2" t="s">
        <v>832</v>
      </c>
      <c r="D199" s="2" t="s">
        <v>833</v>
      </c>
      <c r="E199" s="2" t="s">
        <v>653</v>
      </c>
      <c r="F199" s="2" t="s">
        <v>647</v>
      </c>
      <c r="G199" s="3" t="s">
        <v>45</v>
      </c>
      <c r="H199" s="2" t="s">
        <v>648</v>
      </c>
      <c r="I199" s="2" t="s">
        <v>47</v>
      </c>
      <c r="J199" s="2" t="s">
        <v>48</v>
      </c>
      <c r="K199" s="2" t="s">
        <v>49</v>
      </c>
      <c r="L199" s="2" t="s">
        <v>49</v>
      </c>
      <c r="M199" s="2" t="s">
        <v>50</v>
      </c>
      <c r="N199" s="2" t="s">
        <v>49</v>
      </c>
      <c r="O199" s="2"/>
    </row>
    <row r="200" spans="1:15" ht="51" x14ac:dyDescent="0.25">
      <c r="A200" s="2" t="s">
        <v>834</v>
      </c>
      <c r="B200" s="2" t="s">
        <v>16</v>
      </c>
      <c r="C200" s="2" t="s">
        <v>835</v>
      </c>
      <c r="D200" s="2" t="s">
        <v>836</v>
      </c>
      <c r="E200" s="2" t="s">
        <v>837</v>
      </c>
      <c r="F200" s="2" t="s">
        <v>838</v>
      </c>
      <c r="G200" s="3" t="s">
        <v>45</v>
      </c>
      <c r="H200" s="2" t="s">
        <v>648</v>
      </c>
      <c r="I200" s="2" t="s">
        <v>47</v>
      </c>
      <c r="J200" s="2" t="s">
        <v>48</v>
      </c>
      <c r="K200" s="2" t="s">
        <v>49</v>
      </c>
      <c r="L200" s="2" t="s">
        <v>49</v>
      </c>
      <c r="M200" s="2" t="s">
        <v>50</v>
      </c>
      <c r="N200" s="2" t="s">
        <v>49</v>
      </c>
      <c r="O200" s="2"/>
    </row>
    <row r="201" spans="1:15" ht="51" x14ac:dyDescent="0.25">
      <c r="A201" s="2" t="s">
        <v>839</v>
      </c>
      <c r="B201" s="2" t="s">
        <v>16</v>
      </c>
      <c r="C201" s="2" t="s">
        <v>835</v>
      </c>
      <c r="D201" s="2" t="s">
        <v>840</v>
      </c>
      <c r="E201" s="2" t="s">
        <v>837</v>
      </c>
      <c r="F201" s="2" t="s">
        <v>838</v>
      </c>
      <c r="G201" s="3" t="s">
        <v>45</v>
      </c>
      <c r="H201" s="2" t="s">
        <v>648</v>
      </c>
      <c r="I201" s="2" t="s">
        <v>47</v>
      </c>
      <c r="J201" s="2" t="s">
        <v>48</v>
      </c>
      <c r="K201" s="2" t="s">
        <v>49</v>
      </c>
      <c r="L201" s="2" t="s">
        <v>49</v>
      </c>
      <c r="M201" s="2" t="s">
        <v>50</v>
      </c>
      <c r="N201" s="2" t="s">
        <v>49</v>
      </c>
      <c r="O201" s="2"/>
    </row>
    <row r="202" spans="1:15" ht="51" x14ac:dyDescent="0.25">
      <c r="A202" s="2" t="s">
        <v>841</v>
      </c>
      <c r="B202" s="2" t="s">
        <v>16</v>
      </c>
      <c r="C202" s="2" t="s">
        <v>835</v>
      </c>
      <c r="D202" s="2" t="s">
        <v>842</v>
      </c>
      <c r="E202" s="2" t="s">
        <v>837</v>
      </c>
      <c r="F202" s="2" t="s">
        <v>838</v>
      </c>
      <c r="G202" s="3" t="s">
        <v>45</v>
      </c>
      <c r="H202" s="2" t="s">
        <v>648</v>
      </c>
      <c r="I202" s="2" t="s">
        <v>47</v>
      </c>
      <c r="J202" s="2" t="s">
        <v>48</v>
      </c>
      <c r="K202" s="2" t="s">
        <v>49</v>
      </c>
      <c r="L202" s="2" t="s">
        <v>49</v>
      </c>
      <c r="M202" s="2" t="s">
        <v>50</v>
      </c>
      <c r="N202" s="2" t="s">
        <v>49</v>
      </c>
      <c r="O202" s="2"/>
    </row>
    <row r="203" spans="1:15" ht="51" x14ac:dyDescent="0.25">
      <c r="A203" s="2" t="s">
        <v>843</v>
      </c>
      <c r="B203" s="2" t="s">
        <v>16</v>
      </c>
      <c r="C203" s="2" t="s">
        <v>835</v>
      </c>
      <c r="D203" s="2" t="s">
        <v>844</v>
      </c>
      <c r="E203" s="2" t="s">
        <v>837</v>
      </c>
      <c r="F203" s="2" t="s">
        <v>838</v>
      </c>
      <c r="G203" s="3" t="s">
        <v>45</v>
      </c>
      <c r="H203" s="2" t="s">
        <v>648</v>
      </c>
      <c r="I203" s="2" t="s">
        <v>47</v>
      </c>
      <c r="J203" s="2" t="s">
        <v>48</v>
      </c>
      <c r="K203" s="2" t="s">
        <v>49</v>
      </c>
      <c r="L203" s="2" t="s">
        <v>49</v>
      </c>
      <c r="M203" s="2" t="s">
        <v>50</v>
      </c>
      <c r="N203" s="2" t="s">
        <v>49</v>
      </c>
      <c r="O203" s="2"/>
    </row>
    <row r="204" spans="1:15" ht="38.25" x14ac:dyDescent="0.25">
      <c r="A204" s="2" t="s">
        <v>845</v>
      </c>
      <c r="B204" s="2" t="s">
        <v>16</v>
      </c>
      <c r="C204" s="2" t="s">
        <v>835</v>
      </c>
      <c r="D204" s="2" t="s">
        <v>846</v>
      </c>
      <c r="E204" s="2" t="s">
        <v>837</v>
      </c>
      <c r="F204" s="2" t="s">
        <v>838</v>
      </c>
      <c r="G204" s="3" t="s">
        <v>45</v>
      </c>
      <c r="H204" s="2" t="s">
        <v>648</v>
      </c>
      <c r="I204" s="2" t="s">
        <v>47</v>
      </c>
      <c r="J204" s="2" t="s">
        <v>48</v>
      </c>
      <c r="K204" s="2" t="s">
        <v>49</v>
      </c>
      <c r="L204" s="2" t="s">
        <v>49</v>
      </c>
      <c r="M204" s="2" t="s">
        <v>50</v>
      </c>
      <c r="N204" s="2" t="s">
        <v>49</v>
      </c>
      <c r="O204" s="2" t="s">
        <v>847</v>
      </c>
    </row>
    <row r="205" spans="1:15" ht="38.25" x14ac:dyDescent="0.25">
      <c r="A205" s="2" t="s">
        <v>848</v>
      </c>
      <c r="B205" s="2" t="s">
        <v>16</v>
      </c>
      <c r="C205" s="2" t="s">
        <v>835</v>
      </c>
      <c r="D205" s="2" t="s">
        <v>849</v>
      </c>
      <c r="E205" s="2" t="s">
        <v>837</v>
      </c>
      <c r="F205" s="2" t="s">
        <v>838</v>
      </c>
      <c r="G205" s="3" t="s">
        <v>45</v>
      </c>
      <c r="H205" s="2" t="s">
        <v>648</v>
      </c>
      <c r="I205" s="2" t="s">
        <v>47</v>
      </c>
      <c r="J205" s="2" t="s">
        <v>48</v>
      </c>
      <c r="K205" s="2" t="s">
        <v>49</v>
      </c>
      <c r="L205" s="2" t="s">
        <v>49</v>
      </c>
      <c r="M205" s="2" t="s">
        <v>50</v>
      </c>
      <c r="N205" s="2" t="s">
        <v>49</v>
      </c>
      <c r="O205" s="2"/>
    </row>
    <row r="206" spans="1:15" ht="38.25" x14ac:dyDescent="0.25">
      <c r="A206" s="2" t="s">
        <v>850</v>
      </c>
      <c r="B206" s="2" t="s">
        <v>16</v>
      </c>
      <c r="C206" s="2" t="s">
        <v>835</v>
      </c>
      <c r="D206" s="2" t="s">
        <v>851</v>
      </c>
      <c r="E206" s="2" t="s">
        <v>135</v>
      </c>
      <c r="F206" s="2" t="s">
        <v>838</v>
      </c>
      <c r="G206" s="3" t="s">
        <v>45</v>
      </c>
      <c r="H206" s="2" t="s">
        <v>648</v>
      </c>
      <c r="I206" s="2" t="s">
        <v>47</v>
      </c>
      <c r="J206" s="2" t="s">
        <v>48</v>
      </c>
      <c r="K206" s="2" t="s">
        <v>49</v>
      </c>
      <c r="L206" s="2" t="s">
        <v>49</v>
      </c>
      <c r="M206" s="2" t="s">
        <v>50</v>
      </c>
      <c r="N206" s="2" t="s">
        <v>49</v>
      </c>
      <c r="O206" s="2"/>
    </row>
    <row r="207" spans="1:15" ht="38.25" x14ac:dyDescent="0.25">
      <c r="A207" s="2" t="s">
        <v>852</v>
      </c>
      <c r="B207" s="2" t="s">
        <v>16</v>
      </c>
      <c r="C207" s="2" t="s">
        <v>853</v>
      </c>
      <c r="D207" s="2" t="s">
        <v>854</v>
      </c>
      <c r="E207" s="2" t="s">
        <v>855</v>
      </c>
      <c r="F207" s="2" t="s">
        <v>856</v>
      </c>
      <c r="G207" s="3" t="s">
        <v>45</v>
      </c>
      <c r="H207" s="2" t="s">
        <v>497</v>
      </c>
      <c r="I207" s="2" t="s">
        <v>47</v>
      </c>
      <c r="J207" s="2" t="s">
        <v>48</v>
      </c>
      <c r="K207" s="2" t="s">
        <v>49</v>
      </c>
      <c r="L207" s="2" t="s">
        <v>49</v>
      </c>
      <c r="M207" s="2" t="s">
        <v>50</v>
      </c>
      <c r="N207" s="2" t="s">
        <v>49</v>
      </c>
      <c r="O207" s="2"/>
    </row>
    <row r="208" spans="1:15" ht="63.75" x14ac:dyDescent="0.25">
      <c r="A208" s="2" t="s">
        <v>857</v>
      </c>
      <c r="B208" s="2" t="s">
        <v>16</v>
      </c>
      <c r="C208" s="2" t="s">
        <v>858</v>
      </c>
      <c r="D208" s="2" t="s">
        <v>859</v>
      </c>
      <c r="E208" s="2" t="s">
        <v>855</v>
      </c>
      <c r="F208" s="2" t="s">
        <v>856</v>
      </c>
      <c r="G208" s="3" t="s">
        <v>45</v>
      </c>
      <c r="H208" s="2" t="s">
        <v>497</v>
      </c>
      <c r="I208" s="2" t="s">
        <v>47</v>
      </c>
      <c r="J208" s="2" t="s">
        <v>48</v>
      </c>
      <c r="K208" s="2" t="s">
        <v>49</v>
      </c>
      <c r="L208" s="2" t="s">
        <v>49</v>
      </c>
      <c r="M208" s="2" t="s">
        <v>50</v>
      </c>
      <c r="N208" s="2" t="s">
        <v>49</v>
      </c>
      <c r="O208" s="2"/>
    </row>
    <row r="209" spans="1:15" ht="63.75" x14ac:dyDescent="0.25">
      <c r="A209" s="2" t="s">
        <v>860</v>
      </c>
      <c r="B209" s="2" t="s">
        <v>16</v>
      </c>
      <c r="C209" s="2" t="s">
        <v>861</v>
      </c>
      <c r="D209" s="2" t="s">
        <v>862</v>
      </c>
      <c r="E209" s="2" t="s">
        <v>855</v>
      </c>
      <c r="F209" s="2" t="s">
        <v>856</v>
      </c>
      <c r="G209" s="3" t="s">
        <v>45</v>
      </c>
      <c r="H209" s="2" t="s">
        <v>497</v>
      </c>
      <c r="I209" s="2" t="s">
        <v>47</v>
      </c>
      <c r="J209" s="2" t="s">
        <v>48</v>
      </c>
      <c r="K209" s="2" t="s">
        <v>49</v>
      </c>
      <c r="L209" s="2" t="s">
        <v>49</v>
      </c>
      <c r="M209" s="2" t="s">
        <v>50</v>
      </c>
      <c r="N209" s="2" t="s">
        <v>49</v>
      </c>
      <c r="O209" s="2"/>
    </row>
    <row r="210" spans="1:15" ht="38.25" x14ac:dyDescent="0.25">
      <c r="A210" s="2" t="s">
        <v>863</v>
      </c>
      <c r="B210" s="2" t="s">
        <v>16</v>
      </c>
      <c r="C210" s="2" t="s">
        <v>861</v>
      </c>
      <c r="D210" s="2" t="s">
        <v>864</v>
      </c>
      <c r="E210" s="2" t="s">
        <v>865</v>
      </c>
      <c r="F210" s="2" t="s">
        <v>856</v>
      </c>
      <c r="G210" s="3" t="s">
        <v>34</v>
      </c>
      <c r="H210" s="2" t="s">
        <v>866</v>
      </c>
      <c r="I210" s="2" t="s">
        <v>867</v>
      </c>
      <c r="J210" s="2" t="s">
        <v>868</v>
      </c>
      <c r="K210" s="2" t="s">
        <v>869</v>
      </c>
      <c r="L210" s="2" t="s">
        <v>165</v>
      </c>
      <c r="M210" s="2" t="s">
        <v>341</v>
      </c>
      <c r="N210" s="2" t="s">
        <v>41</v>
      </c>
      <c r="O210" s="2"/>
    </row>
    <row r="211" spans="1:15" ht="38.25" x14ac:dyDescent="0.25">
      <c r="A211" s="2" t="s">
        <v>870</v>
      </c>
      <c r="B211" s="2" t="s">
        <v>16</v>
      </c>
      <c r="C211" s="2" t="s">
        <v>871</v>
      </c>
      <c r="D211" s="2" t="s">
        <v>872</v>
      </c>
      <c r="E211" s="2" t="s">
        <v>855</v>
      </c>
      <c r="F211" s="2" t="s">
        <v>856</v>
      </c>
      <c r="G211" s="3" t="s">
        <v>45</v>
      </c>
      <c r="H211" s="2" t="s">
        <v>497</v>
      </c>
      <c r="I211" s="2" t="s">
        <v>47</v>
      </c>
      <c r="J211" s="2" t="s">
        <v>48</v>
      </c>
      <c r="K211" s="2" t="s">
        <v>49</v>
      </c>
      <c r="L211" s="2" t="s">
        <v>49</v>
      </c>
      <c r="M211" s="2" t="s">
        <v>50</v>
      </c>
      <c r="N211" s="2" t="s">
        <v>49</v>
      </c>
      <c r="O211" s="2"/>
    </row>
    <row r="212" spans="1:15" ht="38.25" x14ac:dyDescent="0.25">
      <c r="A212" s="2" t="s">
        <v>873</v>
      </c>
      <c r="B212" s="2" t="s">
        <v>16</v>
      </c>
      <c r="C212" s="2" t="s">
        <v>871</v>
      </c>
      <c r="D212" s="2" t="s">
        <v>874</v>
      </c>
      <c r="E212" s="2" t="s">
        <v>84</v>
      </c>
      <c r="F212" s="2" t="s">
        <v>856</v>
      </c>
      <c r="G212" s="3" t="s">
        <v>45</v>
      </c>
      <c r="H212" s="2" t="s">
        <v>497</v>
      </c>
      <c r="I212" s="2" t="s">
        <v>47</v>
      </c>
      <c r="J212" s="2" t="s">
        <v>48</v>
      </c>
      <c r="K212" s="2" t="s">
        <v>49</v>
      </c>
      <c r="L212" s="2" t="s">
        <v>49</v>
      </c>
      <c r="M212" s="2" t="s">
        <v>50</v>
      </c>
      <c r="N212" s="2" t="s">
        <v>49</v>
      </c>
      <c r="O212" s="2"/>
    </row>
    <row r="213" spans="1:15" ht="38.25" x14ac:dyDescent="0.25">
      <c r="A213" s="2" t="s">
        <v>875</v>
      </c>
      <c r="B213" s="2" t="s">
        <v>16</v>
      </c>
      <c r="C213" s="2" t="s">
        <v>876</v>
      </c>
      <c r="D213" s="2" t="s">
        <v>877</v>
      </c>
      <c r="E213" s="2" t="s">
        <v>878</v>
      </c>
      <c r="F213" s="2" t="s">
        <v>856</v>
      </c>
      <c r="G213" s="3" t="s">
        <v>45</v>
      </c>
      <c r="H213" s="2" t="s">
        <v>497</v>
      </c>
      <c r="I213" s="2" t="s">
        <v>47</v>
      </c>
      <c r="J213" s="2" t="s">
        <v>48</v>
      </c>
      <c r="K213" s="2" t="s">
        <v>49</v>
      </c>
      <c r="L213" s="2" t="s">
        <v>49</v>
      </c>
      <c r="M213" s="2" t="s">
        <v>50</v>
      </c>
      <c r="N213" s="2" t="s">
        <v>49</v>
      </c>
      <c r="O213" s="2"/>
    </row>
    <row r="214" spans="1:15" ht="63.75" x14ac:dyDescent="0.25">
      <c r="A214" s="2" t="s">
        <v>879</v>
      </c>
      <c r="B214" s="2" t="s">
        <v>16</v>
      </c>
      <c r="C214" s="2" t="s">
        <v>880</v>
      </c>
      <c r="D214" s="2" t="s">
        <v>881</v>
      </c>
      <c r="E214" s="2" t="s">
        <v>882</v>
      </c>
      <c r="F214" s="2" t="s">
        <v>856</v>
      </c>
      <c r="G214" s="3" t="s">
        <v>45</v>
      </c>
      <c r="H214" s="2" t="s">
        <v>497</v>
      </c>
      <c r="I214" s="2" t="s">
        <v>47</v>
      </c>
      <c r="J214" s="2" t="s">
        <v>48</v>
      </c>
      <c r="K214" s="2" t="s">
        <v>49</v>
      </c>
      <c r="L214" s="2" t="s">
        <v>49</v>
      </c>
      <c r="M214" s="2" t="s">
        <v>50</v>
      </c>
      <c r="N214" s="2" t="s">
        <v>49</v>
      </c>
      <c r="O214" s="2"/>
    </row>
    <row r="215" spans="1:15" ht="25.5" x14ac:dyDescent="0.25">
      <c r="A215" s="2" t="s">
        <v>883</v>
      </c>
      <c r="B215" s="2" t="s">
        <v>16</v>
      </c>
      <c r="C215" s="2" t="s">
        <v>884</v>
      </c>
      <c r="D215" s="2" t="s">
        <v>885</v>
      </c>
      <c r="E215" s="2" t="s">
        <v>882</v>
      </c>
      <c r="F215" s="2" t="s">
        <v>856</v>
      </c>
      <c r="G215" s="3" t="s">
        <v>45</v>
      </c>
      <c r="H215" s="2" t="s">
        <v>497</v>
      </c>
      <c r="I215" s="2" t="s">
        <v>47</v>
      </c>
      <c r="J215" s="2" t="s">
        <v>48</v>
      </c>
      <c r="K215" s="2" t="s">
        <v>49</v>
      </c>
      <c r="L215" s="2" t="s">
        <v>49</v>
      </c>
      <c r="M215" s="2" t="s">
        <v>50</v>
      </c>
      <c r="N215" s="2" t="s">
        <v>49</v>
      </c>
      <c r="O215" s="2"/>
    </row>
    <row r="216" spans="1:15" ht="25.5" x14ac:dyDescent="0.25">
      <c r="A216" s="2" t="s">
        <v>886</v>
      </c>
      <c r="B216" s="2" t="s">
        <v>16</v>
      </c>
      <c r="C216" s="2" t="s">
        <v>887</v>
      </c>
      <c r="D216" s="2" t="s">
        <v>888</v>
      </c>
      <c r="E216" s="2" t="s">
        <v>882</v>
      </c>
      <c r="F216" s="2" t="s">
        <v>856</v>
      </c>
      <c r="G216" s="3" t="s">
        <v>45</v>
      </c>
      <c r="H216" s="2" t="s">
        <v>497</v>
      </c>
      <c r="I216" s="2" t="s">
        <v>47</v>
      </c>
      <c r="J216" s="2" t="s">
        <v>48</v>
      </c>
      <c r="K216" s="2" t="s">
        <v>49</v>
      </c>
      <c r="L216" s="2" t="s">
        <v>49</v>
      </c>
      <c r="M216" s="2" t="s">
        <v>50</v>
      </c>
      <c r="N216" s="2" t="s">
        <v>49</v>
      </c>
      <c r="O216" s="2"/>
    </row>
    <row r="217" spans="1:15" ht="76.5" x14ac:dyDescent="0.25">
      <c r="A217" s="2" t="s">
        <v>889</v>
      </c>
      <c r="B217" s="2" t="s">
        <v>16</v>
      </c>
      <c r="C217" s="2" t="s">
        <v>890</v>
      </c>
      <c r="D217" s="2" t="s">
        <v>891</v>
      </c>
      <c r="E217" s="2" t="s">
        <v>882</v>
      </c>
      <c r="F217" s="2" t="s">
        <v>856</v>
      </c>
      <c r="G217" s="3" t="s">
        <v>45</v>
      </c>
      <c r="H217" s="2" t="s">
        <v>497</v>
      </c>
      <c r="I217" s="2" t="s">
        <v>47</v>
      </c>
      <c r="J217" s="2" t="s">
        <v>48</v>
      </c>
      <c r="K217" s="2" t="s">
        <v>49</v>
      </c>
      <c r="L217" s="2" t="s">
        <v>49</v>
      </c>
      <c r="M217" s="2" t="s">
        <v>50</v>
      </c>
      <c r="N217" s="2" t="s">
        <v>49</v>
      </c>
      <c r="O217" s="2"/>
    </row>
    <row r="218" spans="1:15" ht="25.5" x14ac:dyDescent="0.25">
      <c r="A218" s="2" t="s">
        <v>892</v>
      </c>
      <c r="B218" s="2" t="s">
        <v>16</v>
      </c>
      <c r="C218" s="2" t="s">
        <v>893</v>
      </c>
      <c r="D218" s="2" t="s">
        <v>894</v>
      </c>
      <c r="E218" s="2" t="s">
        <v>882</v>
      </c>
      <c r="F218" s="2" t="s">
        <v>856</v>
      </c>
      <c r="G218" s="3" t="s">
        <v>45</v>
      </c>
      <c r="H218" s="2" t="s">
        <v>497</v>
      </c>
      <c r="I218" s="2" t="s">
        <v>47</v>
      </c>
      <c r="J218" s="2" t="s">
        <v>48</v>
      </c>
      <c r="K218" s="2" t="s">
        <v>49</v>
      </c>
      <c r="L218" s="2" t="s">
        <v>49</v>
      </c>
      <c r="M218" s="2" t="s">
        <v>50</v>
      </c>
      <c r="N218" s="2" t="s">
        <v>49</v>
      </c>
      <c r="O218" s="2"/>
    </row>
    <row r="219" spans="1:15" ht="25.5" x14ac:dyDescent="0.25">
      <c r="A219" s="2" t="s">
        <v>895</v>
      </c>
      <c r="B219" s="2" t="s">
        <v>16</v>
      </c>
      <c r="C219" s="2" t="s">
        <v>896</v>
      </c>
      <c r="D219" s="2" t="s">
        <v>897</v>
      </c>
      <c r="E219" s="2" t="s">
        <v>898</v>
      </c>
      <c r="F219" s="2" t="s">
        <v>856</v>
      </c>
      <c r="G219" s="3" t="s">
        <v>45</v>
      </c>
      <c r="H219" s="2" t="s">
        <v>497</v>
      </c>
      <c r="I219" s="2" t="s">
        <v>47</v>
      </c>
      <c r="J219" s="2" t="s">
        <v>48</v>
      </c>
      <c r="K219" s="2" t="s">
        <v>49</v>
      </c>
      <c r="L219" s="2" t="s">
        <v>49</v>
      </c>
      <c r="M219" s="2" t="s">
        <v>50</v>
      </c>
      <c r="N219" s="2" t="s">
        <v>49</v>
      </c>
      <c r="O219" s="2"/>
    </row>
    <row r="220" spans="1:15" ht="51" x14ac:dyDescent="0.25">
      <c r="A220" s="2" t="s">
        <v>899</v>
      </c>
      <c r="B220" s="2" t="s">
        <v>16</v>
      </c>
      <c r="C220" s="2" t="s">
        <v>896</v>
      </c>
      <c r="D220" s="2" t="s">
        <v>900</v>
      </c>
      <c r="E220" s="2" t="s">
        <v>202</v>
      </c>
      <c r="F220" s="2" t="s">
        <v>856</v>
      </c>
      <c r="G220" s="3" t="s">
        <v>45</v>
      </c>
      <c r="H220" s="2" t="s">
        <v>497</v>
      </c>
      <c r="I220" s="2" t="s">
        <v>47</v>
      </c>
      <c r="J220" s="2" t="s">
        <v>48</v>
      </c>
      <c r="K220" s="2" t="s">
        <v>49</v>
      </c>
      <c r="L220" s="2" t="s">
        <v>49</v>
      </c>
      <c r="M220" s="2" t="s">
        <v>50</v>
      </c>
      <c r="N220" s="2" t="s">
        <v>49</v>
      </c>
      <c r="O220" s="2"/>
    </row>
    <row r="221" spans="1:15" ht="38.25" x14ac:dyDescent="0.25">
      <c r="A221" s="2" t="s">
        <v>901</v>
      </c>
      <c r="B221" s="2" t="s">
        <v>16</v>
      </c>
      <c r="C221" s="2" t="s">
        <v>902</v>
      </c>
      <c r="D221" s="2" t="s">
        <v>903</v>
      </c>
      <c r="E221" s="2" t="s">
        <v>904</v>
      </c>
      <c r="F221" s="2" t="s">
        <v>856</v>
      </c>
      <c r="G221" s="3" t="s">
        <v>45</v>
      </c>
      <c r="H221" s="2" t="s">
        <v>497</v>
      </c>
      <c r="I221" s="2" t="s">
        <v>47</v>
      </c>
      <c r="J221" s="2" t="s">
        <v>48</v>
      </c>
      <c r="K221" s="2" t="s">
        <v>49</v>
      </c>
      <c r="L221" s="2" t="s">
        <v>49</v>
      </c>
      <c r="M221" s="2" t="s">
        <v>50</v>
      </c>
      <c r="N221" s="2" t="s">
        <v>49</v>
      </c>
      <c r="O221" s="2"/>
    </row>
    <row r="222" spans="1:15" ht="38.25" x14ac:dyDescent="0.25">
      <c r="A222" s="2" t="s">
        <v>905</v>
      </c>
      <c r="B222" s="2" t="s">
        <v>16</v>
      </c>
      <c r="C222" s="2" t="s">
        <v>906</v>
      </c>
      <c r="D222" s="2" t="s">
        <v>907</v>
      </c>
      <c r="E222" s="2" t="s">
        <v>904</v>
      </c>
      <c r="F222" s="2" t="s">
        <v>856</v>
      </c>
      <c r="G222" s="3" t="s">
        <v>45</v>
      </c>
      <c r="H222" s="2" t="s">
        <v>497</v>
      </c>
      <c r="I222" s="2" t="s">
        <v>47</v>
      </c>
      <c r="J222" s="2" t="s">
        <v>48</v>
      </c>
      <c r="K222" s="2" t="s">
        <v>49</v>
      </c>
      <c r="L222" s="2" t="s">
        <v>49</v>
      </c>
      <c r="M222" s="2" t="s">
        <v>50</v>
      </c>
      <c r="N222" s="2" t="s">
        <v>49</v>
      </c>
      <c r="O222" s="2"/>
    </row>
    <row r="223" spans="1:15" ht="38.25" x14ac:dyDescent="0.25">
      <c r="A223" s="2" t="s">
        <v>908</v>
      </c>
      <c r="B223" s="2" t="s">
        <v>16</v>
      </c>
      <c r="C223" s="2" t="s">
        <v>909</v>
      </c>
      <c r="D223" s="2" t="s">
        <v>910</v>
      </c>
      <c r="E223" s="2" t="s">
        <v>904</v>
      </c>
      <c r="F223" s="2" t="s">
        <v>856</v>
      </c>
      <c r="G223" s="3" t="s">
        <v>45</v>
      </c>
      <c r="H223" s="2" t="s">
        <v>497</v>
      </c>
      <c r="I223" s="2" t="s">
        <v>47</v>
      </c>
      <c r="J223" s="2" t="s">
        <v>48</v>
      </c>
      <c r="K223" s="2" t="s">
        <v>49</v>
      </c>
      <c r="L223" s="2" t="s">
        <v>49</v>
      </c>
      <c r="M223" s="2" t="s">
        <v>50</v>
      </c>
      <c r="N223" s="2" t="s">
        <v>49</v>
      </c>
      <c r="O223" s="2"/>
    </row>
    <row r="224" spans="1:15" ht="38.25" x14ac:dyDescent="0.25">
      <c r="A224" s="2" t="s">
        <v>911</v>
      </c>
      <c r="B224" s="2" t="s">
        <v>16</v>
      </c>
      <c r="C224" s="2" t="s">
        <v>912</v>
      </c>
      <c r="D224" s="2" t="s">
        <v>913</v>
      </c>
      <c r="E224" s="2" t="s">
        <v>904</v>
      </c>
      <c r="F224" s="2" t="s">
        <v>856</v>
      </c>
      <c r="G224" s="3" t="s">
        <v>45</v>
      </c>
      <c r="H224" s="2" t="s">
        <v>497</v>
      </c>
      <c r="I224" s="2" t="s">
        <v>47</v>
      </c>
      <c r="J224" s="2" t="s">
        <v>48</v>
      </c>
      <c r="K224" s="2" t="s">
        <v>49</v>
      </c>
      <c r="L224" s="2" t="s">
        <v>49</v>
      </c>
      <c r="M224" s="2" t="s">
        <v>50</v>
      </c>
      <c r="N224" s="2" t="s">
        <v>49</v>
      </c>
      <c r="O224" s="2"/>
    </row>
    <row r="225" spans="1:15" ht="89.25" x14ac:dyDescent="0.25">
      <c r="A225" s="2" t="s">
        <v>914</v>
      </c>
      <c r="B225" s="2" t="s">
        <v>16</v>
      </c>
      <c r="C225" s="2" t="s">
        <v>915</v>
      </c>
      <c r="D225" s="2" t="s">
        <v>916</v>
      </c>
      <c r="E225" s="2" t="s">
        <v>917</v>
      </c>
      <c r="F225" s="2" t="s">
        <v>918</v>
      </c>
      <c r="G225" s="3" t="s">
        <v>45</v>
      </c>
      <c r="H225" s="2" t="s">
        <v>919</v>
      </c>
      <c r="I225" s="2" t="s">
        <v>47</v>
      </c>
      <c r="J225" s="2" t="s">
        <v>48</v>
      </c>
      <c r="K225" s="2" t="s">
        <v>49</v>
      </c>
      <c r="L225" s="2" t="s">
        <v>49</v>
      </c>
      <c r="M225" s="2" t="s">
        <v>50</v>
      </c>
      <c r="N225" s="2" t="s">
        <v>49</v>
      </c>
      <c r="O225" s="2" t="s">
        <v>920</v>
      </c>
    </row>
    <row r="226" spans="1:15" ht="38.25" x14ac:dyDescent="0.25">
      <c r="A226" s="2" t="s">
        <v>921</v>
      </c>
      <c r="B226" s="2" t="s">
        <v>16</v>
      </c>
      <c r="C226" s="2" t="s">
        <v>922</v>
      </c>
      <c r="D226" s="2" t="s">
        <v>923</v>
      </c>
      <c r="E226" s="2" t="s">
        <v>202</v>
      </c>
      <c r="F226" s="2" t="s">
        <v>924</v>
      </c>
      <c r="G226" s="3" t="s">
        <v>34</v>
      </c>
      <c r="H226" s="2" t="s">
        <v>925</v>
      </c>
      <c r="I226" s="2" t="s">
        <v>711</v>
      </c>
      <c r="J226" s="2" t="s">
        <v>712</v>
      </c>
      <c r="K226" s="2" t="s">
        <v>713</v>
      </c>
      <c r="L226" s="2" t="s">
        <v>141</v>
      </c>
      <c r="M226" s="2" t="s">
        <v>714</v>
      </c>
      <c r="N226" s="2" t="s">
        <v>41</v>
      </c>
      <c r="O226" s="2"/>
    </row>
    <row r="227" spans="1:15" ht="25.5" x14ac:dyDescent="0.25">
      <c r="A227" s="2" t="s">
        <v>926</v>
      </c>
      <c r="B227" s="2" t="s">
        <v>16</v>
      </c>
      <c r="C227" s="2" t="s">
        <v>922</v>
      </c>
      <c r="D227" s="2" t="s">
        <v>927</v>
      </c>
      <c r="E227" s="2" t="s">
        <v>928</v>
      </c>
      <c r="F227" s="2" t="s">
        <v>924</v>
      </c>
      <c r="G227" s="3" t="s">
        <v>45</v>
      </c>
      <c r="H227" s="2" t="s">
        <v>757</v>
      </c>
      <c r="I227" s="2" t="s">
        <v>47</v>
      </c>
      <c r="J227" s="2" t="s">
        <v>48</v>
      </c>
      <c r="K227" s="2" t="s">
        <v>49</v>
      </c>
      <c r="L227" s="2" t="s">
        <v>49</v>
      </c>
      <c r="M227" s="2" t="s">
        <v>394</v>
      </c>
      <c r="N227" s="2" t="s">
        <v>49</v>
      </c>
      <c r="O227" s="2"/>
    </row>
    <row r="228" spans="1:15" ht="25.5" x14ac:dyDescent="0.25">
      <c r="A228" s="2" t="s">
        <v>929</v>
      </c>
      <c r="B228" s="2" t="s">
        <v>16</v>
      </c>
      <c r="C228" s="2" t="s">
        <v>922</v>
      </c>
      <c r="D228" s="2" t="s">
        <v>930</v>
      </c>
      <c r="E228" s="2" t="s">
        <v>202</v>
      </c>
      <c r="F228" s="2" t="s">
        <v>924</v>
      </c>
      <c r="G228" s="3" t="s">
        <v>45</v>
      </c>
      <c r="H228" s="2" t="s">
        <v>618</v>
      </c>
      <c r="I228" s="2" t="s">
        <v>47</v>
      </c>
      <c r="J228" s="2" t="s">
        <v>48</v>
      </c>
      <c r="K228" s="2" t="s">
        <v>49</v>
      </c>
      <c r="L228" s="2" t="s">
        <v>49</v>
      </c>
      <c r="M228" s="2" t="s">
        <v>619</v>
      </c>
      <c r="N228" s="2" t="s">
        <v>49</v>
      </c>
      <c r="O228" s="2"/>
    </row>
    <row r="229" spans="1:15" ht="38.25" x14ac:dyDescent="0.25">
      <c r="A229" s="2" t="s">
        <v>931</v>
      </c>
      <c r="B229" s="2" t="s">
        <v>16</v>
      </c>
      <c r="C229" s="2" t="s">
        <v>922</v>
      </c>
      <c r="D229" s="2" t="s">
        <v>932</v>
      </c>
      <c r="E229" s="2" t="s">
        <v>933</v>
      </c>
      <c r="F229" s="2" t="s">
        <v>924</v>
      </c>
      <c r="G229" s="3" t="s">
        <v>45</v>
      </c>
      <c r="H229" s="2" t="s">
        <v>618</v>
      </c>
      <c r="I229" s="2" t="s">
        <v>47</v>
      </c>
      <c r="J229" s="2" t="s">
        <v>48</v>
      </c>
      <c r="K229" s="2" t="s">
        <v>49</v>
      </c>
      <c r="L229" s="2" t="s">
        <v>49</v>
      </c>
      <c r="M229" s="2" t="s">
        <v>619</v>
      </c>
      <c r="N229" s="2" t="s">
        <v>49</v>
      </c>
      <c r="O229" s="2"/>
    </row>
    <row r="230" spans="1:15" ht="25.5" x14ac:dyDescent="0.25">
      <c r="A230" s="2" t="s">
        <v>934</v>
      </c>
      <c r="B230" s="2" t="s">
        <v>16</v>
      </c>
      <c r="C230" s="2" t="s">
        <v>935</v>
      </c>
      <c r="D230" s="2" t="s">
        <v>936</v>
      </c>
      <c r="E230" s="2" t="s">
        <v>937</v>
      </c>
      <c r="F230" s="2" t="s">
        <v>938</v>
      </c>
      <c r="G230" s="3" t="s">
        <v>21</v>
      </c>
      <c r="H230" s="2" t="s">
        <v>939</v>
      </c>
      <c r="I230" s="2" t="s">
        <v>127</v>
      </c>
      <c r="J230" s="2" t="s">
        <v>128</v>
      </c>
      <c r="K230" s="2" t="s">
        <v>129</v>
      </c>
      <c r="L230" s="2" t="s">
        <v>130</v>
      </c>
      <c r="M230" s="2" t="s">
        <v>131</v>
      </c>
      <c r="N230" s="2" t="s">
        <v>28</v>
      </c>
      <c r="O230" s="2"/>
    </row>
    <row r="231" spans="1:15" ht="38.25" x14ac:dyDescent="0.25">
      <c r="A231" s="2" t="s">
        <v>940</v>
      </c>
      <c r="B231" s="2" t="s">
        <v>16</v>
      </c>
      <c r="C231" s="2" t="s">
        <v>941</v>
      </c>
      <c r="D231" s="2" t="s">
        <v>942</v>
      </c>
      <c r="E231" s="2" t="s">
        <v>937</v>
      </c>
      <c r="F231" s="2" t="s">
        <v>943</v>
      </c>
      <c r="G231" s="3" t="s">
        <v>93</v>
      </c>
      <c r="H231" s="2" t="s">
        <v>944</v>
      </c>
      <c r="I231" s="2" t="s">
        <v>127</v>
      </c>
      <c r="J231" s="2" t="s">
        <v>128</v>
      </c>
      <c r="K231" s="2" t="s">
        <v>129</v>
      </c>
      <c r="L231" s="2" t="s">
        <v>130</v>
      </c>
      <c r="M231" s="2" t="s">
        <v>131</v>
      </c>
      <c r="N231" s="2" t="s">
        <v>28</v>
      </c>
      <c r="O231" s="2"/>
    </row>
    <row r="232" spans="1:15" ht="63.75" x14ac:dyDescent="0.25">
      <c r="A232" s="2" t="s">
        <v>945</v>
      </c>
      <c r="B232" s="2" t="s">
        <v>16</v>
      </c>
      <c r="C232" s="2" t="s">
        <v>946</v>
      </c>
      <c r="D232" s="2" t="s">
        <v>947</v>
      </c>
      <c r="E232" s="2" t="s">
        <v>937</v>
      </c>
      <c r="F232" s="2" t="s">
        <v>948</v>
      </c>
      <c r="G232" s="3" t="s">
        <v>21</v>
      </c>
      <c r="H232" s="2" t="s">
        <v>949</v>
      </c>
      <c r="I232" s="2" t="s">
        <v>127</v>
      </c>
      <c r="J232" s="2" t="s">
        <v>128</v>
      </c>
      <c r="K232" s="2" t="s">
        <v>129</v>
      </c>
      <c r="L232" s="2" t="s">
        <v>130</v>
      </c>
      <c r="M232" s="2" t="s">
        <v>131</v>
      </c>
      <c r="N232" s="2" t="s">
        <v>28</v>
      </c>
      <c r="O232" s="2"/>
    </row>
    <row r="233" spans="1:15" ht="63.75" x14ac:dyDescent="0.25">
      <c r="A233" s="2" t="s">
        <v>950</v>
      </c>
      <c r="B233" s="2" t="s">
        <v>16</v>
      </c>
      <c r="C233" s="2" t="s">
        <v>946</v>
      </c>
      <c r="D233" s="2" t="s">
        <v>951</v>
      </c>
      <c r="E233" s="2" t="s">
        <v>937</v>
      </c>
      <c r="F233" s="2" t="s">
        <v>952</v>
      </c>
      <c r="G233" s="3" t="s">
        <v>34</v>
      </c>
      <c r="H233" s="2" t="s">
        <v>953</v>
      </c>
      <c r="I233" s="2" t="s">
        <v>127</v>
      </c>
      <c r="J233" s="2" t="s">
        <v>128</v>
      </c>
      <c r="K233" s="2" t="s">
        <v>129</v>
      </c>
      <c r="L233" s="2" t="s">
        <v>130</v>
      </c>
      <c r="M233" s="2" t="s">
        <v>131</v>
      </c>
      <c r="N233" s="2" t="s">
        <v>41</v>
      </c>
      <c r="O233" s="2" t="s">
        <v>954</v>
      </c>
    </row>
    <row r="234" spans="1:15" ht="38.25" x14ac:dyDescent="0.25">
      <c r="A234" s="2" t="s">
        <v>955</v>
      </c>
      <c r="B234" s="2" t="s">
        <v>16</v>
      </c>
      <c r="C234" s="2" t="s">
        <v>956</v>
      </c>
      <c r="D234" s="2" t="s">
        <v>957</v>
      </c>
      <c r="E234" s="2" t="s">
        <v>937</v>
      </c>
      <c r="F234" s="2" t="s">
        <v>958</v>
      </c>
      <c r="G234" s="3" t="s">
        <v>93</v>
      </c>
      <c r="H234" s="2" t="s">
        <v>959</v>
      </c>
      <c r="I234" s="2" t="s">
        <v>960</v>
      </c>
      <c r="J234" s="2" t="s">
        <v>961</v>
      </c>
      <c r="K234" s="2" t="s">
        <v>962</v>
      </c>
      <c r="L234" s="2" t="s">
        <v>165</v>
      </c>
      <c r="M234" s="2" t="s">
        <v>963</v>
      </c>
      <c r="N234" s="2" t="s">
        <v>28</v>
      </c>
      <c r="O234" s="2"/>
    </row>
    <row r="235" spans="1:15" ht="63.75" x14ac:dyDescent="0.25">
      <c r="A235" s="2" t="s">
        <v>964</v>
      </c>
      <c r="B235" s="2" t="s">
        <v>16</v>
      </c>
      <c r="C235" s="2" t="s">
        <v>956</v>
      </c>
      <c r="D235" s="2" t="s">
        <v>965</v>
      </c>
      <c r="E235" s="2" t="s">
        <v>937</v>
      </c>
      <c r="F235" s="2" t="s">
        <v>958</v>
      </c>
      <c r="G235" s="3" t="s">
        <v>21</v>
      </c>
      <c r="H235" s="2" t="s">
        <v>966</v>
      </c>
      <c r="I235" s="2" t="s">
        <v>960</v>
      </c>
      <c r="J235" s="2" t="s">
        <v>961</v>
      </c>
      <c r="K235" s="2" t="s">
        <v>962</v>
      </c>
      <c r="L235" s="2" t="s">
        <v>165</v>
      </c>
      <c r="M235" s="2" t="s">
        <v>963</v>
      </c>
      <c r="N235" s="2" t="s">
        <v>28</v>
      </c>
      <c r="O235" s="2" t="s">
        <v>967</v>
      </c>
    </row>
    <row r="236" spans="1:15" ht="51" x14ac:dyDescent="0.25">
      <c r="A236" s="2" t="s">
        <v>968</v>
      </c>
      <c r="B236" s="2" t="s">
        <v>16</v>
      </c>
      <c r="C236" s="2" t="s">
        <v>956</v>
      </c>
      <c r="D236" s="2" t="s">
        <v>969</v>
      </c>
      <c r="E236" s="2" t="s">
        <v>937</v>
      </c>
      <c r="F236" s="2" t="s">
        <v>958</v>
      </c>
      <c r="G236" s="3" t="s">
        <v>45</v>
      </c>
      <c r="H236" s="2" t="s">
        <v>919</v>
      </c>
      <c r="I236" s="2" t="s">
        <v>47</v>
      </c>
      <c r="J236" s="2" t="s">
        <v>48</v>
      </c>
      <c r="K236" s="2" t="s">
        <v>49</v>
      </c>
      <c r="L236" s="2" t="s">
        <v>49</v>
      </c>
      <c r="M236" s="2" t="s">
        <v>50</v>
      </c>
      <c r="N236" s="2" t="s">
        <v>49</v>
      </c>
      <c r="O236" s="2"/>
    </row>
    <row r="237" spans="1:15" ht="51" x14ac:dyDescent="0.25">
      <c r="A237" s="2" t="s">
        <v>970</v>
      </c>
      <c r="B237" s="2" t="s">
        <v>16</v>
      </c>
      <c r="C237" s="2" t="s">
        <v>956</v>
      </c>
      <c r="D237" s="2" t="s">
        <v>971</v>
      </c>
      <c r="E237" s="2" t="s">
        <v>937</v>
      </c>
      <c r="F237" s="2" t="s">
        <v>958</v>
      </c>
      <c r="G237" s="3" t="s">
        <v>93</v>
      </c>
      <c r="H237" s="2" t="s">
        <v>972</v>
      </c>
      <c r="I237" s="2" t="s">
        <v>960</v>
      </c>
      <c r="J237" s="2" t="s">
        <v>961</v>
      </c>
      <c r="K237" s="2" t="s">
        <v>962</v>
      </c>
      <c r="L237" s="2" t="s">
        <v>165</v>
      </c>
      <c r="M237" s="2" t="s">
        <v>963</v>
      </c>
      <c r="N237" s="2" t="s">
        <v>28</v>
      </c>
      <c r="O237" s="2"/>
    </row>
    <row r="238" spans="1:15" ht="51" x14ac:dyDescent="0.25">
      <c r="A238" s="2" t="s">
        <v>973</v>
      </c>
      <c r="B238" s="2" t="s">
        <v>16</v>
      </c>
      <c r="C238" s="2" t="s">
        <v>956</v>
      </c>
      <c r="D238" s="2" t="s">
        <v>974</v>
      </c>
      <c r="E238" s="2" t="s">
        <v>937</v>
      </c>
      <c r="F238" s="2" t="s">
        <v>958</v>
      </c>
      <c r="G238" s="3" t="s">
        <v>34</v>
      </c>
      <c r="H238" s="2" t="s">
        <v>975</v>
      </c>
      <c r="I238" s="2" t="s">
        <v>960</v>
      </c>
      <c r="J238" s="2" t="s">
        <v>961</v>
      </c>
      <c r="K238" s="2" t="s">
        <v>962</v>
      </c>
      <c r="L238" s="2" t="s">
        <v>165</v>
      </c>
      <c r="M238" s="2" t="s">
        <v>963</v>
      </c>
      <c r="N238" s="2" t="s">
        <v>41</v>
      </c>
      <c r="O238" s="2"/>
    </row>
    <row r="239" spans="1:15" ht="38.25" x14ac:dyDescent="0.25">
      <c r="A239" s="2" t="s">
        <v>976</v>
      </c>
      <c r="B239" s="2" t="s">
        <v>16</v>
      </c>
      <c r="C239" s="2" t="s">
        <v>977</v>
      </c>
      <c r="D239" s="2" t="s">
        <v>978</v>
      </c>
      <c r="E239" s="2" t="s">
        <v>937</v>
      </c>
      <c r="F239" s="2" t="s">
        <v>979</v>
      </c>
      <c r="G239" s="3" t="s">
        <v>21</v>
      </c>
      <c r="H239" s="2" t="s">
        <v>980</v>
      </c>
      <c r="I239" s="2" t="s">
        <v>127</v>
      </c>
      <c r="J239" s="2" t="s">
        <v>128</v>
      </c>
      <c r="K239" s="2" t="s">
        <v>129</v>
      </c>
      <c r="L239" s="2" t="s">
        <v>130</v>
      </c>
      <c r="M239" s="2" t="s">
        <v>131</v>
      </c>
      <c r="N239" s="2" t="s">
        <v>28</v>
      </c>
      <c r="O239" s="2"/>
    </row>
    <row r="240" spans="1:15" ht="51" x14ac:dyDescent="0.25">
      <c r="A240" s="2" t="s">
        <v>981</v>
      </c>
      <c r="B240" s="2" t="s">
        <v>16</v>
      </c>
      <c r="C240" s="2" t="s">
        <v>977</v>
      </c>
      <c r="D240" s="2" t="s">
        <v>982</v>
      </c>
      <c r="E240" s="2" t="s">
        <v>937</v>
      </c>
      <c r="F240" s="2" t="s">
        <v>979</v>
      </c>
      <c r="G240" s="3" t="s">
        <v>45</v>
      </c>
      <c r="H240" s="2" t="s">
        <v>433</v>
      </c>
      <c r="I240" s="2" t="s">
        <v>47</v>
      </c>
      <c r="J240" s="2" t="s">
        <v>48</v>
      </c>
      <c r="K240" s="2" t="s">
        <v>49</v>
      </c>
      <c r="L240" s="2" t="s">
        <v>49</v>
      </c>
      <c r="M240" s="2" t="s">
        <v>50</v>
      </c>
      <c r="N240" s="2" t="s">
        <v>49</v>
      </c>
      <c r="O240" s="2"/>
    </row>
    <row r="241" spans="1:15" ht="51" x14ac:dyDescent="0.25">
      <c r="A241" s="2" t="s">
        <v>983</v>
      </c>
      <c r="B241" s="2" t="s">
        <v>16</v>
      </c>
      <c r="C241" s="2" t="s">
        <v>977</v>
      </c>
      <c r="D241" s="2" t="s">
        <v>984</v>
      </c>
      <c r="E241" s="2" t="s">
        <v>937</v>
      </c>
      <c r="F241" s="2" t="s">
        <v>979</v>
      </c>
      <c r="G241" s="3" t="s">
        <v>21</v>
      </c>
      <c r="H241" s="2" t="s">
        <v>985</v>
      </c>
      <c r="I241" s="2" t="s">
        <v>127</v>
      </c>
      <c r="J241" s="2" t="s">
        <v>128</v>
      </c>
      <c r="K241" s="2" t="s">
        <v>129</v>
      </c>
      <c r="L241" s="2" t="s">
        <v>130</v>
      </c>
      <c r="M241" s="2" t="s">
        <v>131</v>
      </c>
      <c r="N241" s="2" t="s">
        <v>28</v>
      </c>
      <c r="O241" s="2"/>
    </row>
    <row r="242" spans="1:15" ht="63.75" x14ac:dyDescent="0.25">
      <c r="A242" s="2" t="s">
        <v>986</v>
      </c>
      <c r="B242" s="2" t="s">
        <v>16</v>
      </c>
      <c r="C242" s="2" t="s">
        <v>987</v>
      </c>
      <c r="D242" s="2" t="s">
        <v>988</v>
      </c>
      <c r="E242" s="2" t="s">
        <v>937</v>
      </c>
      <c r="F242" s="2" t="s">
        <v>989</v>
      </c>
      <c r="G242" s="3" t="s">
        <v>21</v>
      </c>
      <c r="H242" s="2" t="s">
        <v>990</v>
      </c>
      <c r="I242" s="2" t="s">
        <v>991</v>
      </c>
      <c r="J242" s="2" t="s">
        <v>992</v>
      </c>
      <c r="K242" s="2" t="s">
        <v>993</v>
      </c>
      <c r="L242" s="2" t="s">
        <v>165</v>
      </c>
      <c r="M242" s="2" t="s">
        <v>994</v>
      </c>
      <c r="N242" s="2" t="s">
        <v>28</v>
      </c>
      <c r="O242" s="2"/>
    </row>
    <row r="243" spans="1:15" ht="63.75" x14ac:dyDescent="0.25">
      <c r="A243" s="2" t="s">
        <v>995</v>
      </c>
      <c r="B243" s="2" t="s">
        <v>16</v>
      </c>
      <c r="C243" s="2" t="s">
        <v>996</v>
      </c>
      <c r="D243" s="2" t="s">
        <v>997</v>
      </c>
      <c r="E243" s="2" t="s">
        <v>937</v>
      </c>
      <c r="F243" s="2" t="s">
        <v>998</v>
      </c>
      <c r="G243" s="3" t="s">
        <v>21</v>
      </c>
      <c r="H243" s="2" t="s">
        <v>999</v>
      </c>
      <c r="I243" s="2" t="s">
        <v>991</v>
      </c>
      <c r="J243" s="2" t="s">
        <v>992</v>
      </c>
      <c r="K243" s="2" t="s">
        <v>993</v>
      </c>
      <c r="L243" s="2" t="s">
        <v>165</v>
      </c>
      <c r="M243" s="2" t="s">
        <v>994</v>
      </c>
      <c r="N243" s="2" t="s">
        <v>28</v>
      </c>
      <c r="O243" s="2"/>
    </row>
    <row r="244" spans="1:15" ht="38.25" x14ac:dyDescent="0.25">
      <c r="A244" s="2" t="s">
        <v>1000</v>
      </c>
      <c r="B244" s="2" t="s">
        <v>16</v>
      </c>
      <c r="C244" s="2" t="s">
        <v>996</v>
      </c>
      <c r="D244" s="2" t="s">
        <v>1001</v>
      </c>
      <c r="E244" s="2" t="s">
        <v>937</v>
      </c>
      <c r="F244" s="2" t="s">
        <v>998</v>
      </c>
      <c r="G244" s="3" t="s">
        <v>34</v>
      </c>
      <c r="H244" s="2" t="s">
        <v>1002</v>
      </c>
      <c r="I244" s="2" t="s">
        <v>991</v>
      </c>
      <c r="J244" s="2" t="s">
        <v>992</v>
      </c>
      <c r="K244" s="2" t="s">
        <v>993</v>
      </c>
      <c r="L244" s="2" t="s">
        <v>165</v>
      </c>
      <c r="M244" s="2" t="s">
        <v>994</v>
      </c>
      <c r="N244" s="2" t="s">
        <v>41</v>
      </c>
      <c r="O244" s="2"/>
    </row>
    <row r="245" spans="1:15" ht="51" x14ac:dyDescent="0.25">
      <c r="A245" s="2" t="s">
        <v>1003</v>
      </c>
      <c r="B245" s="2" t="s">
        <v>16</v>
      </c>
      <c r="C245" s="2" t="s">
        <v>1004</v>
      </c>
      <c r="D245" s="2" t="s">
        <v>1005</v>
      </c>
      <c r="E245" s="2" t="s">
        <v>937</v>
      </c>
      <c r="F245" s="2" t="s">
        <v>1006</v>
      </c>
      <c r="G245" s="3" t="s">
        <v>34</v>
      </c>
      <c r="H245" s="2" t="s">
        <v>1007</v>
      </c>
      <c r="I245" s="2" t="s">
        <v>991</v>
      </c>
      <c r="J245" s="2" t="s">
        <v>992</v>
      </c>
      <c r="K245" s="2" t="s">
        <v>993</v>
      </c>
      <c r="L245" s="2" t="s">
        <v>165</v>
      </c>
      <c r="M245" s="2" t="s">
        <v>994</v>
      </c>
      <c r="N245" s="2" t="s">
        <v>41</v>
      </c>
      <c r="O245" s="2" t="s">
        <v>1008</v>
      </c>
    </row>
    <row r="246" spans="1:15" ht="38.25" x14ac:dyDescent="0.25">
      <c r="A246" s="2" t="s">
        <v>1009</v>
      </c>
      <c r="B246" s="2" t="s">
        <v>16</v>
      </c>
      <c r="C246" s="2" t="s">
        <v>1010</v>
      </c>
      <c r="D246" s="2" t="s">
        <v>1011</v>
      </c>
      <c r="E246" s="2" t="s">
        <v>937</v>
      </c>
      <c r="F246" s="2" t="s">
        <v>1012</v>
      </c>
      <c r="G246" s="3" t="s">
        <v>93</v>
      </c>
      <c r="H246" s="2" t="s">
        <v>1013</v>
      </c>
      <c r="I246" s="2" t="s">
        <v>127</v>
      </c>
      <c r="J246" s="2" t="s">
        <v>128</v>
      </c>
      <c r="K246" s="2" t="s">
        <v>129</v>
      </c>
      <c r="L246" s="2" t="s">
        <v>130</v>
      </c>
      <c r="M246" s="2" t="s">
        <v>131</v>
      </c>
      <c r="N246" s="2" t="s">
        <v>28</v>
      </c>
      <c r="O246" s="2"/>
    </row>
    <row r="247" spans="1:15" ht="51" x14ac:dyDescent="0.25">
      <c r="A247" s="2" t="s">
        <v>1014</v>
      </c>
      <c r="B247" s="2" t="s">
        <v>16</v>
      </c>
      <c r="C247" s="2" t="s">
        <v>1010</v>
      </c>
      <c r="D247" s="2" t="s">
        <v>1015</v>
      </c>
      <c r="E247" s="2" t="s">
        <v>937</v>
      </c>
      <c r="F247" s="2" t="s">
        <v>1012</v>
      </c>
      <c r="G247" s="3" t="s">
        <v>21</v>
      </c>
      <c r="H247" s="2" t="s">
        <v>1016</v>
      </c>
      <c r="I247" s="2" t="s">
        <v>127</v>
      </c>
      <c r="J247" s="2" t="s">
        <v>128</v>
      </c>
      <c r="K247" s="2" t="s">
        <v>129</v>
      </c>
      <c r="L247" s="2" t="s">
        <v>130</v>
      </c>
      <c r="M247" s="2" t="s">
        <v>131</v>
      </c>
      <c r="N247" s="2" t="s">
        <v>28</v>
      </c>
      <c r="O247" s="2"/>
    </row>
    <row r="248" spans="1:15" ht="51" x14ac:dyDescent="0.25">
      <c r="A248" s="2" t="s">
        <v>1017</v>
      </c>
      <c r="B248" s="2" t="s">
        <v>16</v>
      </c>
      <c r="C248" s="2" t="s">
        <v>1018</v>
      </c>
      <c r="D248" s="2" t="s">
        <v>1019</v>
      </c>
      <c r="E248" s="2" t="s">
        <v>937</v>
      </c>
      <c r="F248" s="2" t="s">
        <v>1020</v>
      </c>
      <c r="G248" s="3" t="s">
        <v>34</v>
      </c>
      <c r="H248" s="2" t="s">
        <v>1021</v>
      </c>
      <c r="I248" s="2" t="s">
        <v>127</v>
      </c>
      <c r="J248" s="2" t="s">
        <v>128</v>
      </c>
      <c r="K248" s="2" t="s">
        <v>129</v>
      </c>
      <c r="L248" s="2" t="s">
        <v>130</v>
      </c>
      <c r="M248" s="2" t="s">
        <v>131</v>
      </c>
      <c r="N248" s="2" t="s">
        <v>41</v>
      </c>
      <c r="O248" s="2"/>
    </row>
    <row r="249" spans="1:15" ht="38.25" x14ac:dyDescent="0.25">
      <c r="A249" s="2" t="s">
        <v>1022</v>
      </c>
      <c r="B249" s="2" t="s">
        <v>16</v>
      </c>
      <c r="C249" s="2" t="s">
        <v>1023</v>
      </c>
      <c r="D249" s="2" t="s">
        <v>1024</v>
      </c>
      <c r="E249" s="2" t="s">
        <v>937</v>
      </c>
      <c r="F249" s="2" t="s">
        <v>1025</v>
      </c>
      <c r="G249" s="3" t="s">
        <v>34</v>
      </c>
      <c r="H249" s="2" t="s">
        <v>1026</v>
      </c>
      <c r="I249" s="2" t="s">
        <v>127</v>
      </c>
      <c r="J249" s="2" t="s">
        <v>128</v>
      </c>
      <c r="K249" s="2" t="s">
        <v>129</v>
      </c>
      <c r="L249" s="2" t="s">
        <v>130</v>
      </c>
      <c r="M249" s="2" t="s">
        <v>131</v>
      </c>
      <c r="N249" s="2" t="s">
        <v>41</v>
      </c>
      <c r="O249" s="2"/>
    </row>
    <row r="250" spans="1:15" ht="38.25" x14ac:dyDescent="0.25">
      <c r="A250" s="2" t="s">
        <v>1027</v>
      </c>
      <c r="B250" s="2" t="s">
        <v>16</v>
      </c>
      <c r="C250" s="2" t="s">
        <v>1023</v>
      </c>
      <c r="D250" s="2" t="s">
        <v>1028</v>
      </c>
      <c r="E250" s="2" t="s">
        <v>937</v>
      </c>
      <c r="F250" s="2" t="s">
        <v>1025</v>
      </c>
      <c r="G250" s="3" t="s">
        <v>45</v>
      </c>
      <c r="H250" s="2" t="s">
        <v>433</v>
      </c>
      <c r="I250" s="2" t="s">
        <v>47</v>
      </c>
      <c r="J250" s="2" t="s">
        <v>48</v>
      </c>
      <c r="K250" s="2" t="s">
        <v>49</v>
      </c>
      <c r="L250" s="2" t="s">
        <v>49</v>
      </c>
      <c r="M250" s="2" t="s">
        <v>50</v>
      </c>
      <c r="N250" s="2" t="s">
        <v>49</v>
      </c>
      <c r="O250" s="2"/>
    </row>
    <row r="251" spans="1:15" ht="51" x14ac:dyDescent="0.25">
      <c r="A251" s="2" t="s">
        <v>1029</v>
      </c>
      <c r="B251" s="2" t="s">
        <v>16</v>
      </c>
      <c r="C251" s="2" t="s">
        <v>1030</v>
      </c>
      <c r="D251" s="2" t="s">
        <v>1031</v>
      </c>
      <c r="E251" s="2" t="s">
        <v>937</v>
      </c>
      <c r="F251" s="2" t="s">
        <v>1032</v>
      </c>
      <c r="G251" s="3" t="s">
        <v>34</v>
      </c>
      <c r="H251" s="2" t="s">
        <v>1033</v>
      </c>
      <c r="I251" s="2" t="s">
        <v>127</v>
      </c>
      <c r="J251" s="2" t="s">
        <v>128</v>
      </c>
      <c r="K251" s="2" t="s">
        <v>129</v>
      </c>
      <c r="L251" s="2" t="s">
        <v>130</v>
      </c>
      <c r="M251" s="2" t="s">
        <v>131</v>
      </c>
      <c r="N251" s="2" t="s">
        <v>41</v>
      </c>
      <c r="O251" s="2"/>
    </row>
    <row r="252" spans="1:15" ht="38.25" x14ac:dyDescent="0.25">
      <c r="A252" s="2" t="s">
        <v>1034</v>
      </c>
      <c r="B252" s="2" t="s">
        <v>16</v>
      </c>
      <c r="C252" s="2" t="s">
        <v>1035</v>
      </c>
      <c r="D252" s="2" t="s">
        <v>1036</v>
      </c>
      <c r="E252" s="2" t="s">
        <v>937</v>
      </c>
      <c r="F252" s="2" t="s">
        <v>1037</v>
      </c>
      <c r="G252" s="3" t="s">
        <v>21</v>
      </c>
      <c r="H252" s="2" t="s">
        <v>1038</v>
      </c>
      <c r="I252" s="2" t="s">
        <v>127</v>
      </c>
      <c r="J252" s="2" t="s">
        <v>128</v>
      </c>
      <c r="K252" s="2" t="s">
        <v>129</v>
      </c>
      <c r="L252" s="2" t="s">
        <v>130</v>
      </c>
      <c r="M252" s="2" t="s">
        <v>131</v>
      </c>
      <c r="N252" s="2" t="s">
        <v>28</v>
      </c>
      <c r="O252" s="2"/>
    </row>
    <row r="253" spans="1:15" ht="51" x14ac:dyDescent="0.25">
      <c r="A253" s="2" t="s">
        <v>1039</v>
      </c>
      <c r="B253" s="2" t="s">
        <v>16</v>
      </c>
      <c r="C253" s="2" t="s">
        <v>1035</v>
      </c>
      <c r="D253" s="2" t="s">
        <v>1040</v>
      </c>
      <c r="E253" s="2" t="s">
        <v>937</v>
      </c>
      <c r="F253" s="2" t="s">
        <v>1037</v>
      </c>
      <c r="G253" s="3" t="s">
        <v>45</v>
      </c>
      <c r="H253" s="2" t="s">
        <v>433</v>
      </c>
      <c r="I253" s="2" t="s">
        <v>47</v>
      </c>
      <c r="J253" s="2" t="s">
        <v>48</v>
      </c>
      <c r="K253" s="2" t="s">
        <v>49</v>
      </c>
      <c r="L253" s="2" t="s">
        <v>49</v>
      </c>
      <c r="M253" s="2" t="s">
        <v>50</v>
      </c>
      <c r="N253" s="2" t="s">
        <v>49</v>
      </c>
      <c r="O253" s="2"/>
    </row>
    <row r="254" spans="1:15" ht="51" x14ac:dyDescent="0.25">
      <c r="A254" s="2" t="s">
        <v>1041</v>
      </c>
      <c r="B254" s="2" t="s">
        <v>16</v>
      </c>
      <c r="C254" s="2" t="s">
        <v>1035</v>
      </c>
      <c r="D254" s="2" t="s">
        <v>1042</v>
      </c>
      <c r="E254" s="2" t="s">
        <v>937</v>
      </c>
      <c r="F254" s="2" t="s">
        <v>1037</v>
      </c>
      <c r="G254" s="3" t="s">
        <v>45</v>
      </c>
      <c r="H254" s="2" t="s">
        <v>433</v>
      </c>
      <c r="I254" s="2" t="s">
        <v>47</v>
      </c>
      <c r="J254" s="2" t="s">
        <v>48</v>
      </c>
      <c r="K254" s="2" t="s">
        <v>49</v>
      </c>
      <c r="L254" s="2" t="s">
        <v>49</v>
      </c>
      <c r="M254" s="2" t="s">
        <v>50</v>
      </c>
      <c r="N254" s="2" t="s">
        <v>49</v>
      </c>
      <c r="O254" s="2"/>
    </row>
    <row r="255" spans="1:15" ht="51" x14ac:dyDescent="0.25">
      <c r="A255" s="2" t="s">
        <v>1043</v>
      </c>
      <c r="B255" s="2" t="s">
        <v>16</v>
      </c>
      <c r="C255" s="2" t="s">
        <v>1044</v>
      </c>
      <c r="D255" s="2" t="s">
        <v>1045</v>
      </c>
      <c r="E255" s="2" t="s">
        <v>937</v>
      </c>
      <c r="F255" s="2" t="s">
        <v>1046</v>
      </c>
      <c r="G255" s="3" t="s">
        <v>34</v>
      </c>
      <c r="H255" s="2" t="s">
        <v>1047</v>
      </c>
      <c r="I255" s="2" t="s">
        <v>991</v>
      </c>
      <c r="J255" s="2" t="s">
        <v>992</v>
      </c>
      <c r="K255" s="2" t="s">
        <v>993</v>
      </c>
      <c r="L255" s="2" t="s">
        <v>165</v>
      </c>
      <c r="M255" s="2" t="s">
        <v>994</v>
      </c>
      <c r="N255" s="2" t="s">
        <v>41</v>
      </c>
      <c r="O255" s="2"/>
    </row>
    <row r="256" spans="1:15" ht="51" x14ac:dyDescent="0.25">
      <c r="A256" s="2" t="s">
        <v>1048</v>
      </c>
      <c r="B256" s="2" t="s">
        <v>16</v>
      </c>
      <c r="C256" s="2" t="s">
        <v>1049</v>
      </c>
      <c r="D256" s="2" t="s">
        <v>1050</v>
      </c>
      <c r="E256" s="2" t="s">
        <v>937</v>
      </c>
      <c r="F256" s="2" t="s">
        <v>1051</v>
      </c>
      <c r="G256" s="3" t="s">
        <v>45</v>
      </c>
      <c r="H256" s="2" t="s">
        <v>1052</v>
      </c>
      <c r="I256" s="2" t="s">
        <v>47</v>
      </c>
      <c r="J256" s="2" t="s">
        <v>48</v>
      </c>
      <c r="K256" s="2" t="s">
        <v>49</v>
      </c>
      <c r="L256" s="2" t="s">
        <v>49</v>
      </c>
      <c r="M256" s="2" t="s">
        <v>1053</v>
      </c>
      <c r="N256" s="2" t="s">
        <v>49</v>
      </c>
      <c r="O256" s="2" t="s">
        <v>1054</v>
      </c>
    </row>
    <row r="257" spans="1:15" ht="38.25" x14ac:dyDescent="0.25">
      <c r="A257" s="2" t="s">
        <v>1055</v>
      </c>
      <c r="B257" s="2" t="s">
        <v>16</v>
      </c>
      <c r="C257" s="2" t="s">
        <v>1056</v>
      </c>
      <c r="D257" s="2" t="s">
        <v>1057</v>
      </c>
      <c r="E257" s="2" t="s">
        <v>937</v>
      </c>
      <c r="F257" s="2" t="s">
        <v>1058</v>
      </c>
      <c r="G257" s="3" t="s">
        <v>67</v>
      </c>
      <c r="H257" s="2" t="s">
        <v>1059</v>
      </c>
      <c r="I257" s="2" t="s">
        <v>419</v>
      </c>
      <c r="J257" s="2" t="s">
        <v>1060</v>
      </c>
      <c r="K257" s="2" t="s">
        <v>422</v>
      </c>
      <c r="L257" s="2" t="s">
        <v>179</v>
      </c>
      <c r="M257" s="2" t="s">
        <v>423</v>
      </c>
      <c r="N257" s="2" t="s">
        <v>74</v>
      </c>
      <c r="O257" s="2"/>
    </row>
    <row r="258" spans="1:15" ht="63.75" x14ac:dyDescent="0.25">
      <c r="A258" s="2" t="s">
        <v>1061</v>
      </c>
      <c r="B258" s="2" t="s">
        <v>16</v>
      </c>
      <c r="C258" s="2" t="s">
        <v>1056</v>
      </c>
      <c r="D258" s="2" t="s">
        <v>1062</v>
      </c>
      <c r="E258" s="2" t="s">
        <v>937</v>
      </c>
      <c r="F258" s="2" t="s">
        <v>1063</v>
      </c>
      <c r="G258" s="3" t="s">
        <v>93</v>
      </c>
      <c r="H258" s="2" t="s">
        <v>1064</v>
      </c>
      <c r="I258" s="2" t="s">
        <v>419</v>
      </c>
      <c r="J258" s="2" t="s">
        <v>1065</v>
      </c>
      <c r="K258" s="2" t="s">
        <v>422</v>
      </c>
      <c r="L258" s="2" t="s">
        <v>179</v>
      </c>
      <c r="M258" s="2" t="s">
        <v>423</v>
      </c>
      <c r="N258" s="2" t="s">
        <v>28</v>
      </c>
      <c r="O258" s="2"/>
    </row>
    <row r="259" spans="1:15" ht="38.25" x14ac:dyDescent="0.25">
      <c r="A259" s="2" t="s">
        <v>1066</v>
      </c>
      <c r="B259" s="2" t="s">
        <v>16</v>
      </c>
      <c r="C259" s="2" t="s">
        <v>1067</v>
      </c>
      <c r="D259" s="2" t="s">
        <v>1068</v>
      </c>
      <c r="E259" s="2" t="s">
        <v>937</v>
      </c>
      <c r="F259" s="2" t="s">
        <v>1069</v>
      </c>
      <c r="G259" s="3" t="s">
        <v>67</v>
      </c>
      <c r="H259" s="2" t="s">
        <v>1070</v>
      </c>
      <c r="I259" s="2" t="s">
        <v>419</v>
      </c>
      <c r="J259" s="2" t="s">
        <v>1071</v>
      </c>
      <c r="K259" s="2" t="s">
        <v>422</v>
      </c>
      <c r="L259" s="2" t="s">
        <v>179</v>
      </c>
      <c r="M259" s="2" t="s">
        <v>423</v>
      </c>
      <c r="N259" s="2" t="s">
        <v>74</v>
      </c>
      <c r="O259" s="2" t="s">
        <v>1072</v>
      </c>
    </row>
    <row r="260" spans="1:15" ht="38.25" x14ac:dyDescent="0.25">
      <c r="A260" s="2" t="s">
        <v>1073</v>
      </c>
      <c r="B260" s="2" t="s">
        <v>16</v>
      </c>
      <c r="C260" s="2" t="s">
        <v>1067</v>
      </c>
      <c r="D260" s="2" t="s">
        <v>1074</v>
      </c>
      <c r="E260" s="2" t="s">
        <v>937</v>
      </c>
      <c r="F260" s="2" t="s">
        <v>1075</v>
      </c>
      <c r="G260" s="3" t="s">
        <v>93</v>
      </c>
      <c r="H260" s="2" t="s">
        <v>1076</v>
      </c>
      <c r="I260" s="2" t="s">
        <v>419</v>
      </c>
      <c r="J260" s="2" t="s">
        <v>1077</v>
      </c>
      <c r="K260" s="2" t="s">
        <v>422</v>
      </c>
      <c r="L260" s="2" t="s">
        <v>179</v>
      </c>
      <c r="M260" s="2" t="s">
        <v>423</v>
      </c>
      <c r="N260" s="2" t="s">
        <v>28</v>
      </c>
      <c r="O260" s="2"/>
    </row>
    <row r="261" spans="1:15" ht="25.5" x14ac:dyDescent="0.25">
      <c r="A261" s="2" t="s">
        <v>1078</v>
      </c>
      <c r="B261" s="2" t="s">
        <v>16</v>
      </c>
      <c r="C261" s="2" t="s">
        <v>1079</v>
      </c>
      <c r="D261" s="2" t="s">
        <v>1080</v>
      </c>
      <c r="E261" s="2" t="s">
        <v>937</v>
      </c>
      <c r="F261" s="2" t="s">
        <v>514</v>
      </c>
      <c r="G261" s="3" t="s">
        <v>21</v>
      </c>
      <c r="H261" s="2" t="s">
        <v>1081</v>
      </c>
      <c r="I261" s="2" t="s">
        <v>419</v>
      </c>
      <c r="J261" s="2" t="s">
        <v>1082</v>
      </c>
      <c r="K261" s="2" t="s">
        <v>422</v>
      </c>
      <c r="L261" s="2" t="s">
        <v>179</v>
      </c>
      <c r="M261" s="2" t="s">
        <v>423</v>
      </c>
      <c r="N261" s="2" t="s">
        <v>28</v>
      </c>
      <c r="O261" s="2"/>
    </row>
    <row r="262" spans="1:15" ht="76.5" x14ac:dyDescent="0.25">
      <c r="A262" s="2" t="s">
        <v>1083</v>
      </c>
      <c r="B262" s="2" t="s">
        <v>16</v>
      </c>
      <c r="C262" s="2" t="s">
        <v>1084</v>
      </c>
      <c r="D262" s="2" t="s">
        <v>1085</v>
      </c>
      <c r="E262" s="2" t="s">
        <v>937</v>
      </c>
      <c r="F262" s="2" t="s">
        <v>1086</v>
      </c>
      <c r="G262" s="3" t="s">
        <v>67</v>
      </c>
      <c r="H262" s="2" t="s">
        <v>1087</v>
      </c>
      <c r="I262" s="2" t="s">
        <v>419</v>
      </c>
      <c r="J262" s="2" t="s">
        <v>1088</v>
      </c>
      <c r="K262" s="2" t="s">
        <v>422</v>
      </c>
      <c r="L262" s="2" t="s">
        <v>179</v>
      </c>
      <c r="M262" s="2" t="s">
        <v>423</v>
      </c>
      <c r="N262" s="2" t="s">
        <v>74</v>
      </c>
      <c r="O262" s="2"/>
    </row>
    <row r="263" spans="1:15" ht="63.75" x14ac:dyDescent="0.25">
      <c r="A263" s="2" t="s">
        <v>1089</v>
      </c>
      <c r="B263" s="2" t="s">
        <v>16</v>
      </c>
      <c r="C263" s="2" t="s">
        <v>1084</v>
      </c>
      <c r="D263" s="2" t="s">
        <v>1090</v>
      </c>
      <c r="E263" s="2" t="s">
        <v>1091</v>
      </c>
      <c r="F263" s="2" t="s">
        <v>1086</v>
      </c>
      <c r="G263" s="3" t="s">
        <v>21</v>
      </c>
      <c r="H263" s="2" t="s">
        <v>1092</v>
      </c>
      <c r="I263" s="2" t="s">
        <v>419</v>
      </c>
      <c r="J263" s="2" t="s">
        <v>1093</v>
      </c>
      <c r="K263" s="2" t="s">
        <v>422</v>
      </c>
      <c r="L263" s="2" t="s">
        <v>179</v>
      </c>
      <c r="M263" s="2" t="s">
        <v>423</v>
      </c>
      <c r="N263" s="2" t="s">
        <v>28</v>
      </c>
      <c r="O263" s="2"/>
    </row>
    <row r="264" spans="1:15" ht="25.5" x14ac:dyDescent="0.25">
      <c r="A264" s="2" t="s">
        <v>1094</v>
      </c>
      <c r="B264" s="2" t="s">
        <v>16</v>
      </c>
      <c r="C264" s="2" t="s">
        <v>1095</v>
      </c>
      <c r="D264" s="2" t="s">
        <v>1096</v>
      </c>
      <c r="E264" s="2" t="s">
        <v>937</v>
      </c>
      <c r="F264" s="2" t="s">
        <v>1097</v>
      </c>
      <c r="G264" s="3" t="s">
        <v>67</v>
      </c>
      <c r="H264" s="2" t="s">
        <v>1098</v>
      </c>
      <c r="I264" s="2" t="s">
        <v>419</v>
      </c>
      <c r="J264" s="2" t="s">
        <v>1099</v>
      </c>
      <c r="K264" s="2" t="s">
        <v>422</v>
      </c>
      <c r="L264" s="2" t="s">
        <v>179</v>
      </c>
      <c r="M264" s="2" t="s">
        <v>423</v>
      </c>
      <c r="N264" s="2" t="s">
        <v>74</v>
      </c>
      <c r="O264" s="2"/>
    </row>
    <row r="265" spans="1:15" ht="38.25" x14ac:dyDescent="0.25">
      <c r="A265" s="2" t="s">
        <v>1100</v>
      </c>
      <c r="B265" s="2" t="s">
        <v>16</v>
      </c>
      <c r="C265" s="2" t="s">
        <v>1101</v>
      </c>
      <c r="D265" s="2" t="s">
        <v>1102</v>
      </c>
      <c r="E265" s="2" t="s">
        <v>937</v>
      </c>
      <c r="F265" s="2" t="s">
        <v>1103</v>
      </c>
      <c r="G265" s="3" t="s">
        <v>93</v>
      </c>
      <c r="H265" s="2" t="s">
        <v>1104</v>
      </c>
      <c r="I265" s="2" t="s">
        <v>419</v>
      </c>
      <c r="J265" s="2" t="s">
        <v>1105</v>
      </c>
      <c r="K265" s="2" t="s">
        <v>422</v>
      </c>
      <c r="L265" s="2" t="s">
        <v>179</v>
      </c>
      <c r="M265" s="2" t="s">
        <v>423</v>
      </c>
      <c r="N265" s="2" t="s">
        <v>28</v>
      </c>
      <c r="O265" s="2"/>
    </row>
    <row r="266" spans="1:15" ht="63.75" x14ac:dyDescent="0.25">
      <c r="A266" s="2" t="s">
        <v>1106</v>
      </c>
      <c r="B266" s="2" t="s">
        <v>16</v>
      </c>
      <c r="C266" s="2" t="s">
        <v>1101</v>
      </c>
      <c r="D266" s="2" t="s">
        <v>1107</v>
      </c>
      <c r="E266" s="2" t="s">
        <v>937</v>
      </c>
      <c r="F266" s="2" t="s">
        <v>1108</v>
      </c>
      <c r="G266" s="3" t="s">
        <v>67</v>
      </c>
      <c r="H266" s="2" t="s">
        <v>1109</v>
      </c>
      <c r="I266" s="2" t="s">
        <v>419</v>
      </c>
      <c r="J266" s="2" t="s">
        <v>1110</v>
      </c>
      <c r="K266" s="2" t="s">
        <v>422</v>
      </c>
      <c r="L266" s="2" t="s">
        <v>179</v>
      </c>
      <c r="M266" s="2" t="s">
        <v>423</v>
      </c>
      <c r="N266" s="2" t="s">
        <v>74</v>
      </c>
      <c r="O266" s="2" t="s">
        <v>1111</v>
      </c>
    </row>
    <row r="267" spans="1:15" ht="38.25" x14ac:dyDescent="0.25">
      <c r="A267" s="2" t="s">
        <v>1112</v>
      </c>
      <c r="B267" s="2" t="s">
        <v>16</v>
      </c>
      <c r="C267" s="2" t="s">
        <v>1113</v>
      </c>
      <c r="D267" s="2" t="s">
        <v>1114</v>
      </c>
      <c r="E267" s="2" t="s">
        <v>937</v>
      </c>
      <c r="F267" s="2" t="s">
        <v>1115</v>
      </c>
      <c r="G267" s="3" t="s">
        <v>67</v>
      </c>
      <c r="H267" s="2" t="s">
        <v>1116</v>
      </c>
      <c r="I267" s="2" t="s">
        <v>960</v>
      </c>
      <c r="J267" s="2" t="s">
        <v>961</v>
      </c>
      <c r="K267" s="2" t="s">
        <v>962</v>
      </c>
      <c r="L267" s="2" t="s">
        <v>165</v>
      </c>
      <c r="M267" s="2" t="s">
        <v>963</v>
      </c>
      <c r="N267" s="2" t="s">
        <v>74</v>
      </c>
      <c r="O267" s="2"/>
    </row>
    <row r="268" spans="1:15" ht="51" x14ac:dyDescent="0.25">
      <c r="A268" s="2" t="s">
        <v>1117</v>
      </c>
      <c r="B268" s="2" t="s">
        <v>16</v>
      </c>
      <c r="C268" s="2" t="s">
        <v>1113</v>
      </c>
      <c r="D268" s="2" t="s">
        <v>1118</v>
      </c>
      <c r="E268" s="2" t="s">
        <v>937</v>
      </c>
      <c r="F268" s="2" t="s">
        <v>1115</v>
      </c>
      <c r="G268" s="3" t="s">
        <v>21</v>
      </c>
      <c r="H268" s="2" t="s">
        <v>1119</v>
      </c>
      <c r="I268" s="2" t="s">
        <v>960</v>
      </c>
      <c r="J268" s="2" t="s">
        <v>961</v>
      </c>
      <c r="K268" s="2" t="s">
        <v>962</v>
      </c>
      <c r="L268" s="2" t="s">
        <v>165</v>
      </c>
      <c r="M268" s="2" t="s">
        <v>963</v>
      </c>
      <c r="N268" s="2" t="s">
        <v>28</v>
      </c>
      <c r="O268" s="2"/>
    </row>
    <row r="269" spans="1:15" ht="38.25" x14ac:dyDescent="0.25">
      <c r="A269" s="2" t="s">
        <v>1120</v>
      </c>
      <c r="B269" s="2" t="s">
        <v>16</v>
      </c>
      <c r="C269" s="2" t="s">
        <v>1121</v>
      </c>
      <c r="D269" s="2" t="s">
        <v>1122</v>
      </c>
      <c r="E269" s="2" t="s">
        <v>937</v>
      </c>
      <c r="F269" s="2" t="s">
        <v>1123</v>
      </c>
      <c r="G269" s="3" t="s">
        <v>67</v>
      </c>
      <c r="H269" s="2" t="s">
        <v>1124</v>
      </c>
      <c r="I269" s="2" t="s">
        <v>419</v>
      </c>
      <c r="J269" s="2" t="s">
        <v>1125</v>
      </c>
      <c r="K269" s="2" t="s">
        <v>422</v>
      </c>
      <c r="L269" s="2" t="s">
        <v>179</v>
      </c>
      <c r="M269" s="2" t="s">
        <v>423</v>
      </c>
      <c r="N269" s="2" t="s">
        <v>74</v>
      </c>
      <c r="O269" s="2"/>
    </row>
    <row r="270" spans="1:15" ht="63.75" x14ac:dyDescent="0.25">
      <c r="A270" s="2" t="s">
        <v>1126</v>
      </c>
      <c r="B270" s="2" t="s">
        <v>16</v>
      </c>
      <c r="C270" s="2" t="s">
        <v>1121</v>
      </c>
      <c r="D270" s="2" t="s">
        <v>1127</v>
      </c>
      <c r="E270" s="2" t="s">
        <v>937</v>
      </c>
      <c r="F270" s="2" t="s">
        <v>240</v>
      </c>
      <c r="G270" s="3" t="s">
        <v>93</v>
      </c>
      <c r="H270" s="2" t="s">
        <v>1128</v>
      </c>
      <c r="I270" s="2" t="s">
        <v>419</v>
      </c>
      <c r="J270" s="2" t="s">
        <v>1129</v>
      </c>
      <c r="K270" s="2" t="s">
        <v>422</v>
      </c>
      <c r="L270" s="2" t="s">
        <v>179</v>
      </c>
      <c r="M270" s="2" t="s">
        <v>423</v>
      </c>
      <c r="N270" s="2" t="s">
        <v>28</v>
      </c>
      <c r="O270" s="2"/>
    </row>
    <row r="271" spans="1:15" ht="51" x14ac:dyDescent="0.25">
      <c r="A271" s="2" t="s">
        <v>1130</v>
      </c>
      <c r="B271" s="2" t="s">
        <v>16</v>
      </c>
      <c r="C271" s="2" t="s">
        <v>1121</v>
      </c>
      <c r="D271" s="2" t="s">
        <v>1131</v>
      </c>
      <c r="E271" s="2" t="s">
        <v>937</v>
      </c>
      <c r="F271" s="2" t="s">
        <v>1132</v>
      </c>
      <c r="G271" s="3" t="s">
        <v>93</v>
      </c>
      <c r="H271" s="2" t="s">
        <v>1133</v>
      </c>
      <c r="I271" s="2" t="s">
        <v>419</v>
      </c>
      <c r="J271" s="2" t="s">
        <v>1134</v>
      </c>
      <c r="K271" s="2" t="s">
        <v>422</v>
      </c>
      <c r="L271" s="2" t="s">
        <v>179</v>
      </c>
      <c r="M271" s="2" t="s">
        <v>423</v>
      </c>
      <c r="N271" s="2" t="s">
        <v>28</v>
      </c>
      <c r="O271" s="2"/>
    </row>
    <row r="272" spans="1:15" ht="38.25" x14ac:dyDescent="0.25">
      <c r="A272" s="2" t="s">
        <v>1135</v>
      </c>
      <c r="B272" s="2" t="s">
        <v>16</v>
      </c>
      <c r="C272" s="2" t="s">
        <v>1136</v>
      </c>
      <c r="D272" s="2" t="s">
        <v>1137</v>
      </c>
      <c r="E272" s="2" t="s">
        <v>1138</v>
      </c>
      <c r="F272" s="2" t="s">
        <v>709</v>
      </c>
      <c r="G272" s="3" t="s">
        <v>45</v>
      </c>
      <c r="H272" s="2" t="s">
        <v>497</v>
      </c>
      <c r="I272" s="2" t="s">
        <v>47</v>
      </c>
      <c r="J272" s="2" t="s">
        <v>48</v>
      </c>
      <c r="K272" s="2" t="s">
        <v>49</v>
      </c>
      <c r="L272" s="2" t="s">
        <v>49</v>
      </c>
      <c r="M272" s="2" t="s">
        <v>50</v>
      </c>
      <c r="N272" s="2" t="s">
        <v>49</v>
      </c>
      <c r="O272" s="2" t="s">
        <v>1139</v>
      </c>
    </row>
    <row r="273" spans="1:15" ht="38.25" x14ac:dyDescent="0.25">
      <c r="A273" s="2" t="s">
        <v>1140</v>
      </c>
      <c r="B273" s="2" t="s">
        <v>16</v>
      </c>
      <c r="C273" s="2" t="s">
        <v>1136</v>
      </c>
      <c r="D273" s="2" t="s">
        <v>1141</v>
      </c>
      <c r="E273" s="2" t="s">
        <v>1138</v>
      </c>
      <c r="F273" s="2" t="s">
        <v>805</v>
      </c>
      <c r="G273" s="3" t="s">
        <v>34</v>
      </c>
      <c r="H273" s="2" t="s">
        <v>1142</v>
      </c>
      <c r="I273" s="2" t="s">
        <v>138</v>
      </c>
      <c r="J273" s="2" t="s">
        <v>139</v>
      </c>
      <c r="K273" s="2" t="s">
        <v>140</v>
      </c>
      <c r="L273" s="2" t="s">
        <v>141</v>
      </c>
      <c r="M273" s="2" t="s">
        <v>142</v>
      </c>
      <c r="N273" s="2" t="s">
        <v>41</v>
      </c>
      <c r="O273" s="2" t="s">
        <v>1139</v>
      </c>
    </row>
    <row r="274" spans="1:15" ht="38.25" x14ac:dyDescent="0.25">
      <c r="A274" s="2" t="s">
        <v>1143</v>
      </c>
      <c r="B274" s="2" t="s">
        <v>16</v>
      </c>
      <c r="C274" s="2" t="s">
        <v>1144</v>
      </c>
      <c r="D274" s="2" t="s">
        <v>1145</v>
      </c>
      <c r="E274" s="2" t="s">
        <v>1146</v>
      </c>
      <c r="F274" s="2" t="s">
        <v>805</v>
      </c>
      <c r="G274" s="3" t="s">
        <v>34</v>
      </c>
      <c r="H274" s="2" t="s">
        <v>1147</v>
      </c>
      <c r="I274" s="2" t="s">
        <v>138</v>
      </c>
      <c r="J274" s="2" t="s">
        <v>139</v>
      </c>
      <c r="K274" s="2" t="s">
        <v>140</v>
      </c>
      <c r="L274" s="2" t="s">
        <v>141</v>
      </c>
      <c r="M274" s="2" t="s">
        <v>142</v>
      </c>
      <c r="N274" s="2" t="s">
        <v>41</v>
      </c>
      <c r="O274" s="2" t="s">
        <v>1139</v>
      </c>
    </row>
    <row r="275" spans="1:15" ht="38.25" x14ac:dyDescent="0.25">
      <c r="A275" s="2" t="s">
        <v>1148</v>
      </c>
      <c r="B275" s="2" t="s">
        <v>16</v>
      </c>
      <c r="C275" s="2" t="s">
        <v>1144</v>
      </c>
      <c r="D275" s="2" t="s">
        <v>1149</v>
      </c>
      <c r="E275" s="2" t="s">
        <v>1138</v>
      </c>
      <c r="F275" s="2" t="s">
        <v>685</v>
      </c>
      <c r="G275" s="3" t="s">
        <v>45</v>
      </c>
      <c r="H275" s="2" t="s">
        <v>497</v>
      </c>
      <c r="I275" s="2" t="s">
        <v>47</v>
      </c>
      <c r="J275" s="2" t="s">
        <v>48</v>
      </c>
      <c r="K275" s="2" t="s">
        <v>49</v>
      </c>
      <c r="L275" s="2" t="s">
        <v>49</v>
      </c>
      <c r="M275" s="2" t="s">
        <v>50</v>
      </c>
      <c r="N275" s="2" t="s">
        <v>49</v>
      </c>
      <c r="O275" s="2" t="s">
        <v>1139</v>
      </c>
    </row>
    <row r="276" spans="1:15" ht="38.25" x14ac:dyDescent="0.25">
      <c r="A276" s="2" t="s">
        <v>1150</v>
      </c>
      <c r="B276" s="2" t="s">
        <v>16</v>
      </c>
      <c r="C276" s="2" t="s">
        <v>1144</v>
      </c>
      <c r="D276" s="2" t="s">
        <v>1151</v>
      </c>
      <c r="E276" s="2" t="s">
        <v>1138</v>
      </c>
      <c r="F276" s="2" t="s">
        <v>805</v>
      </c>
      <c r="G276" s="3" t="s">
        <v>45</v>
      </c>
      <c r="H276" s="2" t="s">
        <v>497</v>
      </c>
      <c r="I276" s="2" t="s">
        <v>47</v>
      </c>
      <c r="J276" s="2" t="s">
        <v>48</v>
      </c>
      <c r="K276" s="2" t="s">
        <v>49</v>
      </c>
      <c r="L276" s="2" t="s">
        <v>49</v>
      </c>
      <c r="M276" s="2" t="s">
        <v>50</v>
      </c>
      <c r="N276" s="2" t="s">
        <v>49</v>
      </c>
      <c r="O276" s="2" t="s">
        <v>1139</v>
      </c>
    </row>
    <row r="277" spans="1:15" ht="38.25" x14ac:dyDescent="0.25">
      <c r="A277" s="2" t="s">
        <v>1152</v>
      </c>
      <c r="B277" s="2" t="s">
        <v>16</v>
      </c>
      <c r="C277" s="2" t="s">
        <v>1144</v>
      </c>
      <c r="D277" s="2" t="s">
        <v>1153</v>
      </c>
      <c r="E277" s="2" t="s">
        <v>1154</v>
      </c>
      <c r="F277" s="2" t="s">
        <v>989</v>
      </c>
      <c r="G277" s="3" t="s">
        <v>45</v>
      </c>
      <c r="H277" s="2" t="s">
        <v>433</v>
      </c>
      <c r="I277" s="2" t="s">
        <v>47</v>
      </c>
      <c r="J277" s="2" t="s">
        <v>48</v>
      </c>
      <c r="K277" s="2" t="s">
        <v>49</v>
      </c>
      <c r="L277" s="2" t="s">
        <v>49</v>
      </c>
      <c r="M277" s="2" t="s">
        <v>50</v>
      </c>
      <c r="N277" s="2" t="s">
        <v>49</v>
      </c>
      <c r="O277" s="2" t="s">
        <v>1139</v>
      </c>
    </row>
    <row r="278" spans="1:15" ht="38.25" x14ac:dyDescent="0.25">
      <c r="A278" s="2" t="s">
        <v>1155</v>
      </c>
      <c r="B278" s="2" t="s">
        <v>16</v>
      </c>
      <c r="C278" s="2" t="s">
        <v>1156</v>
      </c>
      <c r="D278" s="2" t="s">
        <v>1157</v>
      </c>
      <c r="E278" s="2" t="s">
        <v>1158</v>
      </c>
      <c r="F278" s="2" t="s">
        <v>838</v>
      </c>
      <c r="G278" s="3" t="s">
        <v>45</v>
      </c>
      <c r="H278" s="2" t="s">
        <v>648</v>
      </c>
      <c r="I278" s="2" t="s">
        <v>47</v>
      </c>
      <c r="J278" s="2" t="s">
        <v>48</v>
      </c>
      <c r="K278" s="2" t="s">
        <v>49</v>
      </c>
      <c r="L278" s="2" t="s">
        <v>49</v>
      </c>
      <c r="M278" s="2" t="s">
        <v>50</v>
      </c>
      <c r="N278" s="2" t="s">
        <v>49</v>
      </c>
      <c r="O278" s="2" t="s">
        <v>1159</v>
      </c>
    </row>
    <row r="279" spans="1:15" ht="25.5" x14ac:dyDescent="0.25">
      <c r="A279" s="2" t="s">
        <v>1160</v>
      </c>
      <c r="B279" s="2" t="s">
        <v>16</v>
      </c>
      <c r="C279" s="2" t="s">
        <v>1156</v>
      </c>
      <c r="D279" s="2" t="s">
        <v>1161</v>
      </c>
      <c r="E279" s="2" t="s">
        <v>202</v>
      </c>
      <c r="F279" s="2" t="s">
        <v>838</v>
      </c>
      <c r="G279" s="3" t="s">
        <v>34</v>
      </c>
      <c r="H279" s="2" t="s">
        <v>1162</v>
      </c>
      <c r="I279" s="2" t="s">
        <v>1163</v>
      </c>
      <c r="J279" s="2" t="s">
        <v>1164</v>
      </c>
      <c r="K279" s="2" t="s">
        <v>1165</v>
      </c>
      <c r="L279" s="2" t="s">
        <v>141</v>
      </c>
      <c r="M279" s="2" t="s">
        <v>1166</v>
      </c>
      <c r="N279" s="2" t="s">
        <v>41</v>
      </c>
      <c r="O279" s="2" t="s">
        <v>1159</v>
      </c>
    </row>
    <row r="280" spans="1:15" ht="51" x14ac:dyDescent="0.25">
      <c r="A280" s="2" t="s">
        <v>1167</v>
      </c>
      <c r="B280" s="2" t="s">
        <v>16</v>
      </c>
      <c r="C280" s="2" t="s">
        <v>1168</v>
      </c>
      <c r="D280" s="2" t="s">
        <v>1169</v>
      </c>
      <c r="E280" s="2" t="s">
        <v>84</v>
      </c>
      <c r="F280" s="2" t="s">
        <v>838</v>
      </c>
      <c r="G280" s="3" t="s">
        <v>21</v>
      </c>
      <c r="H280" s="2" t="s">
        <v>1170</v>
      </c>
      <c r="I280" s="2" t="s">
        <v>1163</v>
      </c>
      <c r="J280" s="2" t="s">
        <v>1164</v>
      </c>
      <c r="K280" s="2" t="s">
        <v>1165</v>
      </c>
      <c r="L280" s="2" t="s">
        <v>141</v>
      </c>
      <c r="M280" s="2" t="s">
        <v>1166</v>
      </c>
      <c r="N280" s="2" t="s">
        <v>28</v>
      </c>
      <c r="O280" s="2" t="s">
        <v>1171</v>
      </c>
    </row>
    <row r="281" spans="1:15" ht="51" x14ac:dyDescent="0.25">
      <c r="A281" s="2" t="s">
        <v>1172</v>
      </c>
      <c r="B281" s="2" t="s">
        <v>16</v>
      </c>
      <c r="C281" s="2" t="s">
        <v>1168</v>
      </c>
      <c r="D281" s="2" t="s">
        <v>1173</v>
      </c>
      <c r="E281" s="2" t="s">
        <v>135</v>
      </c>
      <c r="F281" s="2" t="s">
        <v>838</v>
      </c>
      <c r="G281" s="3" t="s">
        <v>45</v>
      </c>
      <c r="H281" s="2" t="s">
        <v>648</v>
      </c>
      <c r="I281" s="2" t="s">
        <v>47</v>
      </c>
      <c r="J281" s="2" t="s">
        <v>48</v>
      </c>
      <c r="K281" s="2" t="s">
        <v>49</v>
      </c>
      <c r="L281" s="2" t="s">
        <v>49</v>
      </c>
      <c r="M281" s="2" t="s">
        <v>50</v>
      </c>
      <c r="N281" s="2" t="s">
        <v>49</v>
      </c>
      <c r="O281" s="2" t="s">
        <v>1171</v>
      </c>
    </row>
    <row r="282" spans="1:15" ht="51" x14ac:dyDescent="0.25">
      <c r="A282" s="2" t="s">
        <v>1174</v>
      </c>
      <c r="B282" s="2" t="s">
        <v>16</v>
      </c>
      <c r="C282" s="2" t="s">
        <v>1168</v>
      </c>
      <c r="D282" s="2" t="s">
        <v>1175</v>
      </c>
      <c r="E282" s="2" t="s">
        <v>1158</v>
      </c>
      <c r="F282" s="2" t="s">
        <v>838</v>
      </c>
      <c r="G282" s="3" t="s">
        <v>21</v>
      </c>
      <c r="H282" s="2" t="s">
        <v>1176</v>
      </c>
      <c r="I282" s="2" t="s">
        <v>1163</v>
      </c>
      <c r="J282" s="2" t="s">
        <v>1164</v>
      </c>
      <c r="K282" s="2" t="s">
        <v>1165</v>
      </c>
      <c r="L282" s="2" t="s">
        <v>141</v>
      </c>
      <c r="M282" s="2" t="s">
        <v>1166</v>
      </c>
      <c r="N282" s="2" t="s">
        <v>28</v>
      </c>
      <c r="O282" s="2" t="s">
        <v>1171</v>
      </c>
    </row>
    <row r="283" spans="1:15" ht="38.25" x14ac:dyDescent="0.25">
      <c r="A283" s="2" t="s">
        <v>1177</v>
      </c>
      <c r="B283" s="2" t="s">
        <v>16</v>
      </c>
      <c r="C283" s="2" t="s">
        <v>1168</v>
      </c>
      <c r="D283" s="2" t="s">
        <v>1178</v>
      </c>
      <c r="E283" s="2" t="s">
        <v>135</v>
      </c>
      <c r="F283" s="2" t="s">
        <v>838</v>
      </c>
      <c r="G283" s="3" t="s">
        <v>21</v>
      </c>
      <c r="H283" s="2" t="s">
        <v>1179</v>
      </c>
      <c r="I283" s="2" t="s">
        <v>1163</v>
      </c>
      <c r="J283" s="2" t="s">
        <v>1164</v>
      </c>
      <c r="K283" s="2" t="s">
        <v>1165</v>
      </c>
      <c r="L283" s="2" t="s">
        <v>141</v>
      </c>
      <c r="M283" s="2" t="s">
        <v>1166</v>
      </c>
      <c r="N283" s="2" t="s">
        <v>28</v>
      </c>
      <c r="O283" s="2" t="s">
        <v>1159</v>
      </c>
    </row>
    <row r="284" spans="1:15" ht="38.25" x14ac:dyDescent="0.25">
      <c r="A284" s="2" t="s">
        <v>1180</v>
      </c>
      <c r="B284" s="2" t="s">
        <v>1181</v>
      </c>
      <c r="C284" s="2" t="s">
        <v>1182</v>
      </c>
      <c r="D284" s="2" t="s">
        <v>1183</v>
      </c>
      <c r="E284" s="2" t="s">
        <v>283</v>
      </c>
      <c r="F284" s="2" t="s">
        <v>1184</v>
      </c>
      <c r="G284" s="3" t="s">
        <v>34</v>
      </c>
      <c r="H284" s="2" t="s">
        <v>1185</v>
      </c>
      <c r="I284" s="2" t="s">
        <v>1186</v>
      </c>
      <c r="J284" s="2" t="s">
        <v>1187</v>
      </c>
      <c r="K284" s="2" t="s">
        <v>1188</v>
      </c>
      <c r="L284" s="2" t="s">
        <v>179</v>
      </c>
      <c r="M284" s="2" t="s">
        <v>1189</v>
      </c>
      <c r="N284" s="2" t="s">
        <v>41</v>
      </c>
      <c r="O284" s="2"/>
    </row>
    <row r="285" spans="1:15" ht="51" x14ac:dyDescent="0.25">
      <c r="A285" s="2" t="s">
        <v>1190</v>
      </c>
      <c r="B285" s="2" t="s">
        <v>1181</v>
      </c>
      <c r="C285" s="2" t="s">
        <v>1182</v>
      </c>
      <c r="D285" s="2" t="s">
        <v>1191</v>
      </c>
      <c r="E285" s="2" t="s">
        <v>660</v>
      </c>
      <c r="F285" s="2" t="s">
        <v>1192</v>
      </c>
      <c r="G285" s="3" t="s">
        <v>34</v>
      </c>
      <c r="H285" s="2" t="s">
        <v>1193</v>
      </c>
      <c r="I285" s="2" t="s">
        <v>1194</v>
      </c>
      <c r="J285" s="2" t="s">
        <v>1195</v>
      </c>
      <c r="K285" s="2" t="s">
        <v>1196</v>
      </c>
      <c r="L285" s="2" t="s">
        <v>179</v>
      </c>
      <c r="M285" s="2" t="s">
        <v>1197</v>
      </c>
      <c r="N285" s="2" t="s">
        <v>41</v>
      </c>
      <c r="O285" s="2"/>
    </row>
    <row r="286" spans="1:15" ht="38.25" x14ac:dyDescent="0.25">
      <c r="A286" s="2" t="s">
        <v>1198</v>
      </c>
      <c r="B286" s="2" t="s">
        <v>1181</v>
      </c>
      <c r="C286" s="2" t="s">
        <v>1182</v>
      </c>
      <c r="D286" s="2" t="s">
        <v>1199</v>
      </c>
      <c r="E286" s="2" t="s">
        <v>283</v>
      </c>
      <c r="F286" s="2" t="s">
        <v>1192</v>
      </c>
      <c r="G286" s="3" t="s">
        <v>93</v>
      </c>
      <c r="H286" s="2" t="s">
        <v>1200</v>
      </c>
      <c r="I286" s="2" t="s">
        <v>1194</v>
      </c>
      <c r="J286" s="2" t="s">
        <v>1195</v>
      </c>
      <c r="K286" s="2" t="s">
        <v>1196</v>
      </c>
      <c r="L286" s="2" t="s">
        <v>179</v>
      </c>
      <c r="M286" s="2" t="s">
        <v>1197</v>
      </c>
      <c r="N286" s="2" t="s">
        <v>28</v>
      </c>
      <c r="O286" s="2"/>
    </row>
    <row r="287" spans="1:15" ht="51" x14ac:dyDescent="0.25">
      <c r="A287" s="2" t="s">
        <v>1201</v>
      </c>
      <c r="B287" s="2" t="s">
        <v>1181</v>
      </c>
      <c r="C287" s="2" t="s">
        <v>1182</v>
      </c>
      <c r="D287" s="2" t="s">
        <v>1202</v>
      </c>
      <c r="E287" s="2" t="s">
        <v>84</v>
      </c>
      <c r="F287" s="2" t="s">
        <v>1203</v>
      </c>
      <c r="G287" s="3" t="s">
        <v>67</v>
      </c>
      <c r="H287" s="2" t="s">
        <v>1204</v>
      </c>
      <c r="I287" s="2" t="s">
        <v>1194</v>
      </c>
      <c r="J287" s="2" t="s">
        <v>1195</v>
      </c>
      <c r="K287" s="2" t="s">
        <v>1196</v>
      </c>
      <c r="L287" s="2" t="s">
        <v>179</v>
      </c>
      <c r="M287" s="2" t="s">
        <v>1197</v>
      </c>
      <c r="N287" s="2" t="s">
        <v>74</v>
      </c>
      <c r="O287" s="2"/>
    </row>
    <row r="288" spans="1:15" ht="38.25" x14ac:dyDescent="0.25">
      <c r="A288" s="2" t="s">
        <v>1205</v>
      </c>
      <c r="B288" s="2" t="s">
        <v>1181</v>
      </c>
      <c r="C288" s="2" t="s">
        <v>1182</v>
      </c>
      <c r="D288" s="2" t="s">
        <v>1206</v>
      </c>
      <c r="E288" s="2" t="s">
        <v>1207</v>
      </c>
      <c r="F288" s="2" t="s">
        <v>1184</v>
      </c>
      <c r="G288" s="3" t="s">
        <v>93</v>
      </c>
      <c r="H288" s="2" t="s">
        <v>1208</v>
      </c>
      <c r="I288" s="2" t="s">
        <v>1186</v>
      </c>
      <c r="J288" s="2" t="s">
        <v>1187</v>
      </c>
      <c r="K288" s="2" t="s">
        <v>1188</v>
      </c>
      <c r="L288" s="2" t="s">
        <v>179</v>
      </c>
      <c r="M288" s="2" t="s">
        <v>1189</v>
      </c>
      <c r="N288" s="2" t="s">
        <v>28</v>
      </c>
      <c r="O288" s="2"/>
    </row>
    <row r="289" spans="1:15" ht="38.25" x14ac:dyDescent="0.25">
      <c r="A289" s="2" t="s">
        <v>1209</v>
      </c>
      <c r="B289" s="2" t="s">
        <v>1181</v>
      </c>
      <c r="C289" s="2" t="s">
        <v>1182</v>
      </c>
      <c r="D289" s="2" t="s">
        <v>1210</v>
      </c>
      <c r="E289" s="2" t="s">
        <v>32</v>
      </c>
      <c r="F289" s="2" t="s">
        <v>1211</v>
      </c>
      <c r="G289" s="3" t="s">
        <v>93</v>
      </c>
      <c r="H289" s="2" t="s">
        <v>1212</v>
      </c>
      <c r="I289" s="2" t="s">
        <v>1213</v>
      </c>
      <c r="J289" s="2" t="s">
        <v>1214</v>
      </c>
      <c r="K289" s="2" t="s">
        <v>1215</v>
      </c>
      <c r="L289" s="2" t="s">
        <v>179</v>
      </c>
      <c r="M289" s="2" t="s">
        <v>1216</v>
      </c>
      <c r="N289" s="2" t="s">
        <v>28</v>
      </c>
      <c r="O289" s="2"/>
    </row>
    <row r="290" spans="1:15" ht="38.25" x14ac:dyDescent="0.25">
      <c r="A290" s="2" t="s">
        <v>1217</v>
      </c>
      <c r="B290" s="2" t="s">
        <v>1181</v>
      </c>
      <c r="C290" s="2" t="s">
        <v>1182</v>
      </c>
      <c r="D290" s="2" t="s">
        <v>1218</v>
      </c>
      <c r="E290" s="2" t="s">
        <v>32</v>
      </c>
      <c r="F290" s="2" t="s">
        <v>160</v>
      </c>
      <c r="G290" s="3" t="s">
        <v>21</v>
      </c>
      <c r="H290" s="2" t="s">
        <v>1219</v>
      </c>
      <c r="I290" s="2" t="s">
        <v>69</v>
      </c>
      <c r="J290" s="2" t="s">
        <v>1220</v>
      </c>
      <c r="K290" s="2" t="s">
        <v>88</v>
      </c>
      <c r="L290" s="2" t="s">
        <v>72</v>
      </c>
      <c r="M290" s="2" t="s">
        <v>73</v>
      </c>
      <c r="N290" s="2" t="s">
        <v>28</v>
      </c>
      <c r="O290" s="2"/>
    </row>
    <row r="291" spans="1:15" ht="51" x14ac:dyDescent="0.25">
      <c r="A291" s="2" t="s">
        <v>1221</v>
      </c>
      <c r="B291" s="2" t="s">
        <v>1181</v>
      </c>
      <c r="C291" s="2" t="s">
        <v>1182</v>
      </c>
      <c r="D291" s="2" t="s">
        <v>1222</v>
      </c>
      <c r="E291" s="2" t="s">
        <v>1223</v>
      </c>
      <c r="F291" s="2" t="s">
        <v>1224</v>
      </c>
      <c r="G291" s="3" t="s">
        <v>45</v>
      </c>
      <c r="H291" s="2" t="s">
        <v>1225</v>
      </c>
      <c r="I291" s="2" t="s">
        <v>47</v>
      </c>
      <c r="J291" s="2" t="s">
        <v>48</v>
      </c>
      <c r="K291" s="2" t="s">
        <v>49</v>
      </c>
      <c r="L291" s="2" t="s">
        <v>49</v>
      </c>
      <c r="M291" s="2" t="s">
        <v>394</v>
      </c>
      <c r="N291" s="2" t="s">
        <v>49</v>
      </c>
      <c r="O291" s="2" t="s">
        <v>1226</v>
      </c>
    </row>
    <row r="292" spans="1:15" ht="38.25" x14ac:dyDescent="0.25">
      <c r="A292" s="2" t="s">
        <v>1227</v>
      </c>
      <c r="B292" s="2" t="s">
        <v>1181</v>
      </c>
      <c r="C292" s="2" t="s">
        <v>1228</v>
      </c>
      <c r="D292" s="2" t="s">
        <v>1229</v>
      </c>
      <c r="E292" s="2" t="s">
        <v>275</v>
      </c>
      <c r="F292" s="2" t="s">
        <v>1184</v>
      </c>
      <c r="G292" s="3" t="s">
        <v>21</v>
      </c>
      <c r="H292" s="2" t="s">
        <v>1230</v>
      </c>
      <c r="I292" s="2" t="s">
        <v>1186</v>
      </c>
      <c r="J292" s="2" t="s">
        <v>1187</v>
      </c>
      <c r="K292" s="2" t="s">
        <v>1188</v>
      </c>
      <c r="L292" s="2" t="s">
        <v>179</v>
      </c>
      <c r="M292" s="2" t="s">
        <v>1189</v>
      </c>
      <c r="N292" s="2" t="s">
        <v>28</v>
      </c>
      <c r="O292" s="2"/>
    </row>
    <row r="293" spans="1:15" ht="38.25" x14ac:dyDescent="0.25">
      <c r="A293" s="2" t="s">
        <v>1231</v>
      </c>
      <c r="B293" s="2" t="s">
        <v>1181</v>
      </c>
      <c r="C293" s="2" t="s">
        <v>1228</v>
      </c>
      <c r="D293" s="2" t="s">
        <v>1232</v>
      </c>
      <c r="E293" s="2" t="s">
        <v>898</v>
      </c>
      <c r="F293" s="2" t="s">
        <v>1184</v>
      </c>
      <c r="G293" s="3" t="s">
        <v>45</v>
      </c>
      <c r="H293" s="2" t="s">
        <v>1233</v>
      </c>
      <c r="I293" s="2" t="s">
        <v>47</v>
      </c>
      <c r="J293" s="2" t="s">
        <v>48</v>
      </c>
      <c r="K293" s="2" t="s">
        <v>49</v>
      </c>
      <c r="L293" s="2" t="s">
        <v>49</v>
      </c>
      <c r="M293" s="2" t="s">
        <v>365</v>
      </c>
      <c r="N293" s="2" t="s">
        <v>49</v>
      </c>
      <c r="O293" s="2"/>
    </row>
    <row r="294" spans="1:15" ht="38.25" x14ac:dyDescent="0.25">
      <c r="A294" s="2" t="s">
        <v>1234</v>
      </c>
      <c r="B294" s="2" t="s">
        <v>1181</v>
      </c>
      <c r="C294" s="2" t="s">
        <v>1228</v>
      </c>
      <c r="D294" s="2" t="s">
        <v>1235</v>
      </c>
      <c r="E294" s="2" t="s">
        <v>1236</v>
      </c>
      <c r="F294" s="2" t="s">
        <v>1184</v>
      </c>
      <c r="G294" s="3" t="s">
        <v>45</v>
      </c>
      <c r="H294" s="2" t="s">
        <v>1233</v>
      </c>
      <c r="I294" s="2" t="s">
        <v>47</v>
      </c>
      <c r="J294" s="2" t="s">
        <v>48</v>
      </c>
      <c r="K294" s="2" t="s">
        <v>49</v>
      </c>
      <c r="L294" s="2" t="s">
        <v>49</v>
      </c>
      <c r="M294" s="2" t="s">
        <v>365</v>
      </c>
      <c r="N294" s="2" t="s">
        <v>49</v>
      </c>
      <c r="O294" s="2"/>
    </row>
    <row r="295" spans="1:15" ht="25.5" x14ac:dyDescent="0.25">
      <c r="A295" s="2" t="s">
        <v>1237</v>
      </c>
      <c r="B295" s="2" t="s">
        <v>1181</v>
      </c>
      <c r="C295" s="2" t="s">
        <v>1228</v>
      </c>
      <c r="D295" s="2" t="s">
        <v>1238</v>
      </c>
      <c r="E295" s="2" t="s">
        <v>275</v>
      </c>
      <c r="F295" s="2" t="s">
        <v>1239</v>
      </c>
      <c r="G295" s="3" t="s">
        <v>93</v>
      </c>
      <c r="H295" s="2" t="s">
        <v>1240</v>
      </c>
      <c r="I295" s="2" t="s">
        <v>1186</v>
      </c>
      <c r="J295" s="2" t="s">
        <v>1187</v>
      </c>
      <c r="K295" s="2" t="s">
        <v>1188</v>
      </c>
      <c r="L295" s="2" t="s">
        <v>179</v>
      </c>
      <c r="M295" s="2" t="s">
        <v>1189</v>
      </c>
      <c r="N295" s="2" t="s">
        <v>28</v>
      </c>
      <c r="O295" s="2"/>
    </row>
    <row r="296" spans="1:15" ht="51" x14ac:dyDescent="0.25">
      <c r="A296" s="2" t="s">
        <v>1241</v>
      </c>
      <c r="B296" s="2" t="s">
        <v>1181</v>
      </c>
      <c r="C296" s="2" t="s">
        <v>1228</v>
      </c>
      <c r="D296" s="2" t="s">
        <v>1242</v>
      </c>
      <c r="E296" s="2" t="s">
        <v>275</v>
      </c>
      <c r="F296" s="2" t="s">
        <v>1239</v>
      </c>
      <c r="G296" s="3" t="s">
        <v>21</v>
      </c>
      <c r="H296" s="2" t="s">
        <v>1243</v>
      </c>
      <c r="I296" s="2" t="s">
        <v>1186</v>
      </c>
      <c r="J296" s="2" t="s">
        <v>1187</v>
      </c>
      <c r="K296" s="2" t="s">
        <v>1188</v>
      </c>
      <c r="L296" s="2" t="s">
        <v>179</v>
      </c>
      <c r="M296" s="2" t="s">
        <v>1189</v>
      </c>
      <c r="N296" s="2" t="s">
        <v>28</v>
      </c>
      <c r="O296" s="2"/>
    </row>
    <row r="297" spans="1:15" ht="38.25" x14ac:dyDescent="0.25">
      <c r="A297" s="2" t="s">
        <v>1244</v>
      </c>
      <c r="B297" s="2" t="s">
        <v>1181</v>
      </c>
      <c r="C297" s="2" t="s">
        <v>1228</v>
      </c>
      <c r="D297" s="2" t="s">
        <v>1245</v>
      </c>
      <c r="E297" s="2" t="s">
        <v>275</v>
      </c>
      <c r="F297" s="2" t="s">
        <v>1246</v>
      </c>
      <c r="G297" s="3" t="s">
        <v>21</v>
      </c>
      <c r="H297" s="2" t="s">
        <v>1247</v>
      </c>
      <c r="I297" s="2" t="s">
        <v>1186</v>
      </c>
      <c r="J297" s="2" t="s">
        <v>1187</v>
      </c>
      <c r="K297" s="2" t="s">
        <v>1188</v>
      </c>
      <c r="L297" s="2" t="s">
        <v>179</v>
      </c>
      <c r="M297" s="2" t="s">
        <v>1189</v>
      </c>
      <c r="N297" s="2" t="s">
        <v>28</v>
      </c>
      <c r="O297" s="2"/>
    </row>
    <row r="298" spans="1:15" ht="38.25" x14ac:dyDescent="0.25">
      <c r="A298" s="2" t="s">
        <v>1248</v>
      </c>
      <c r="B298" s="2" t="s">
        <v>1181</v>
      </c>
      <c r="C298" s="2" t="s">
        <v>1228</v>
      </c>
      <c r="D298" s="2" t="s">
        <v>1249</v>
      </c>
      <c r="E298" s="2" t="s">
        <v>275</v>
      </c>
      <c r="F298" s="2" t="s">
        <v>1246</v>
      </c>
      <c r="G298" s="3" t="s">
        <v>21</v>
      </c>
      <c r="H298" s="2" t="s">
        <v>1250</v>
      </c>
      <c r="I298" s="2" t="s">
        <v>1186</v>
      </c>
      <c r="J298" s="2" t="s">
        <v>1187</v>
      </c>
      <c r="K298" s="2" t="s">
        <v>1188</v>
      </c>
      <c r="L298" s="2" t="s">
        <v>179</v>
      </c>
      <c r="M298" s="2" t="s">
        <v>1189</v>
      </c>
      <c r="N298" s="2" t="s">
        <v>28</v>
      </c>
      <c r="O298" s="2"/>
    </row>
    <row r="299" spans="1:15" ht="38.25" x14ac:dyDescent="0.25">
      <c r="A299" s="2" t="s">
        <v>1251</v>
      </c>
      <c r="B299" s="2" t="s">
        <v>1181</v>
      </c>
      <c r="C299" s="2" t="s">
        <v>1228</v>
      </c>
      <c r="D299" s="2" t="s">
        <v>1252</v>
      </c>
      <c r="E299" s="2" t="s">
        <v>1253</v>
      </c>
      <c r="F299" s="2" t="s">
        <v>1192</v>
      </c>
      <c r="G299" s="3" t="s">
        <v>34</v>
      </c>
      <c r="H299" s="2" t="s">
        <v>1254</v>
      </c>
      <c r="I299" s="2" t="s">
        <v>1194</v>
      </c>
      <c r="J299" s="2" t="s">
        <v>1195</v>
      </c>
      <c r="K299" s="2" t="s">
        <v>1196</v>
      </c>
      <c r="L299" s="2" t="s">
        <v>179</v>
      </c>
      <c r="M299" s="2" t="s">
        <v>1197</v>
      </c>
      <c r="N299" s="2" t="s">
        <v>41</v>
      </c>
      <c r="O299" s="2"/>
    </row>
    <row r="300" spans="1:15" ht="25.5" x14ac:dyDescent="0.25">
      <c r="A300" s="2" t="s">
        <v>1255</v>
      </c>
      <c r="B300" s="2" t="s">
        <v>1181</v>
      </c>
      <c r="C300" s="2" t="s">
        <v>1228</v>
      </c>
      <c r="D300" s="2" t="s">
        <v>1256</v>
      </c>
      <c r="E300" s="2" t="s">
        <v>1257</v>
      </c>
      <c r="F300" s="2" t="s">
        <v>1192</v>
      </c>
      <c r="G300" s="3" t="s">
        <v>45</v>
      </c>
      <c r="H300" s="2" t="s">
        <v>1258</v>
      </c>
      <c r="I300" s="2" t="s">
        <v>47</v>
      </c>
      <c r="J300" s="2" t="s">
        <v>48</v>
      </c>
      <c r="K300" s="2" t="s">
        <v>49</v>
      </c>
      <c r="L300" s="2" t="s">
        <v>49</v>
      </c>
      <c r="M300" s="2" t="s">
        <v>365</v>
      </c>
      <c r="N300" s="2" t="s">
        <v>49</v>
      </c>
      <c r="O300" s="2"/>
    </row>
    <row r="301" spans="1:15" ht="38.25" x14ac:dyDescent="0.25">
      <c r="A301" s="2" t="s">
        <v>1259</v>
      </c>
      <c r="B301" s="2" t="s">
        <v>1181</v>
      </c>
      <c r="C301" s="2" t="s">
        <v>1260</v>
      </c>
      <c r="D301" s="2" t="s">
        <v>1261</v>
      </c>
      <c r="E301" s="2" t="s">
        <v>275</v>
      </c>
      <c r="F301" s="2" t="s">
        <v>1262</v>
      </c>
      <c r="G301" s="3" t="s">
        <v>34</v>
      </c>
      <c r="H301" s="2" t="s">
        <v>1263</v>
      </c>
      <c r="I301" s="2" t="s">
        <v>1264</v>
      </c>
      <c r="J301" s="2" t="s">
        <v>1265</v>
      </c>
      <c r="K301" s="2" t="s">
        <v>1266</v>
      </c>
      <c r="L301" s="2" t="s">
        <v>179</v>
      </c>
      <c r="M301" s="2" t="s">
        <v>1189</v>
      </c>
      <c r="N301" s="2" t="s">
        <v>41</v>
      </c>
      <c r="O301" s="2"/>
    </row>
    <row r="302" spans="1:15" ht="38.25" x14ac:dyDescent="0.25">
      <c r="A302" s="2" t="s">
        <v>1267</v>
      </c>
      <c r="B302" s="2" t="s">
        <v>1181</v>
      </c>
      <c r="C302" s="2" t="s">
        <v>1260</v>
      </c>
      <c r="D302" s="2" t="s">
        <v>1268</v>
      </c>
      <c r="E302" s="2" t="s">
        <v>898</v>
      </c>
      <c r="F302" s="2" t="s">
        <v>1262</v>
      </c>
      <c r="G302" s="3" t="s">
        <v>45</v>
      </c>
      <c r="H302" s="2" t="s">
        <v>1233</v>
      </c>
      <c r="I302" s="2" t="s">
        <v>47</v>
      </c>
      <c r="J302" s="2" t="s">
        <v>48</v>
      </c>
      <c r="K302" s="2" t="s">
        <v>49</v>
      </c>
      <c r="L302" s="2" t="s">
        <v>49</v>
      </c>
      <c r="M302" s="2" t="s">
        <v>365</v>
      </c>
      <c r="N302" s="2" t="s">
        <v>49</v>
      </c>
      <c r="O302" s="2"/>
    </row>
    <row r="303" spans="1:15" ht="38.25" x14ac:dyDescent="0.25">
      <c r="A303" s="2" t="s">
        <v>1269</v>
      </c>
      <c r="B303" s="2" t="s">
        <v>1181</v>
      </c>
      <c r="C303" s="2" t="s">
        <v>1260</v>
      </c>
      <c r="D303" s="2" t="s">
        <v>1270</v>
      </c>
      <c r="E303" s="2" t="s">
        <v>1271</v>
      </c>
      <c r="F303" s="2" t="s">
        <v>1262</v>
      </c>
      <c r="G303" s="3" t="s">
        <v>45</v>
      </c>
      <c r="H303" s="2" t="s">
        <v>1233</v>
      </c>
      <c r="I303" s="2" t="s">
        <v>47</v>
      </c>
      <c r="J303" s="2" t="s">
        <v>48</v>
      </c>
      <c r="K303" s="2" t="s">
        <v>49</v>
      </c>
      <c r="L303" s="2" t="s">
        <v>49</v>
      </c>
      <c r="M303" s="2" t="s">
        <v>365</v>
      </c>
      <c r="N303" s="2" t="s">
        <v>49</v>
      </c>
      <c r="O303" s="2"/>
    </row>
    <row r="304" spans="1:15" ht="38.25" x14ac:dyDescent="0.25">
      <c r="A304" s="2" t="s">
        <v>1272</v>
      </c>
      <c r="B304" s="2" t="s">
        <v>1181</v>
      </c>
      <c r="C304" s="2" t="s">
        <v>1260</v>
      </c>
      <c r="D304" s="2" t="s">
        <v>1273</v>
      </c>
      <c r="E304" s="2" t="s">
        <v>202</v>
      </c>
      <c r="F304" s="2" t="s">
        <v>1262</v>
      </c>
      <c r="G304" s="3" t="s">
        <v>45</v>
      </c>
      <c r="H304" s="2" t="s">
        <v>1233</v>
      </c>
      <c r="I304" s="2" t="s">
        <v>47</v>
      </c>
      <c r="J304" s="2" t="s">
        <v>48</v>
      </c>
      <c r="K304" s="2" t="s">
        <v>49</v>
      </c>
      <c r="L304" s="2" t="s">
        <v>49</v>
      </c>
      <c r="M304" s="2" t="s">
        <v>365</v>
      </c>
      <c r="N304" s="2" t="s">
        <v>49</v>
      </c>
      <c r="O304" s="2"/>
    </row>
    <row r="305" spans="1:15" ht="51" x14ac:dyDescent="0.25">
      <c r="A305" s="2" t="s">
        <v>1274</v>
      </c>
      <c r="B305" s="2" t="s">
        <v>1181</v>
      </c>
      <c r="C305" s="2" t="s">
        <v>1275</v>
      </c>
      <c r="D305" s="2" t="s">
        <v>1276</v>
      </c>
      <c r="E305" s="2" t="s">
        <v>275</v>
      </c>
      <c r="F305" s="2" t="s">
        <v>1262</v>
      </c>
      <c r="G305" s="3" t="s">
        <v>45</v>
      </c>
      <c r="H305" s="2" t="s">
        <v>1233</v>
      </c>
      <c r="I305" s="2" t="s">
        <v>47</v>
      </c>
      <c r="J305" s="2" t="s">
        <v>48</v>
      </c>
      <c r="K305" s="2" t="s">
        <v>49</v>
      </c>
      <c r="L305" s="2" t="s">
        <v>49</v>
      </c>
      <c r="M305" s="2" t="s">
        <v>365</v>
      </c>
      <c r="N305" s="2" t="s">
        <v>49</v>
      </c>
      <c r="O305" s="2"/>
    </row>
    <row r="306" spans="1:15" ht="38.25" x14ac:dyDescent="0.25">
      <c r="A306" s="2" t="s">
        <v>1277</v>
      </c>
      <c r="B306" s="2" t="s">
        <v>1181</v>
      </c>
      <c r="C306" s="2" t="s">
        <v>1275</v>
      </c>
      <c r="D306" s="2" t="s">
        <v>1278</v>
      </c>
      <c r="E306" s="2" t="s">
        <v>1279</v>
      </c>
      <c r="F306" s="2" t="s">
        <v>1262</v>
      </c>
      <c r="G306" s="3" t="s">
        <v>45</v>
      </c>
      <c r="H306" s="2" t="s">
        <v>1233</v>
      </c>
      <c r="I306" s="2" t="s">
        <v>47</v>
      </c>
      <c r="J306" s="2" t="s">
        <v>48</v>
      </c>
      <c r="K306" s="2" t="s">
        <v>49</v>
      </c>
      <c r="L306" s="2" t="s">
        <v>49</v>
      </c>
      <c r="M306" s="2" t="s">
        <v>365</v>
      </c>
      <c r="N306" s="2" t="s">
        <v>49</v>
      </c>
      <c r="O306" s="2"/>
    </row>
    <row r="307" spans="1:15" ht="38.25" x14ac:dyDescent="0.25">
      <c r="A307" s="2" t="s">
        <v>1280</v>
      </c>
      <c r="B307" s="2" t="s">
        <v>1181</v>
      </c>
      <c r="C307" s="2" t="s">
        <v>1275</v>
      </c>
      <c r="D307" s="2" t="s">
        <v>1281</v>
      </c>
      <c r="E307" s="2" t="s">
        <v>1279</v>
      </c>
      <c r="F307" s="2" t="s">
        <v>1262</v>
      </c>
      <c r="G307" s="3" t="s">
        <v>45</v>
      </c>
      <c r="H307" s="2" t="s">
        <v>1233</v>
      </c>
      <c r="I307" s="2" t="s">
        <v>47</v>
      </c>
      <c r="J307" s="2" t="s">
        <v>48</v>
      </c>
      <c r="K307" s="2" t="s">
        <v>49</v>
      </c>
      <c r="L307" s="2" t="s">
        <v>49</v>
      </c>
      <c r="M307" s="2" t="s">
        <v>365</v>
      </c>
      <c r="N307" s="2" t="s">
        <v>49</v>
      </c>
      <c r="O307" s="2"/>
    </row>
    <row r="308" spans="1:15" ht="38.25" x14ac:dyDescent="0.25">
      <c r="A308" s="2" t="s">
        <v>1282</v>
      </c>
      <c r="B308" s="2" t="s">
        <v>1181</v>
      </c>
      <c r="C308" s="2" t="s">
        <v>1283</v>
      </c>
      <c r="D308" s="2" t="s">
        <v>1284</v>
      </c>
      <c r="E308" s="2" t="s">
        <v>275</v>
      </c>
      <c r="F308" s="2" t="s">
        <v>1285</v>
      </c>
      <c r="G308" s="3" t="s">
        <v>45</v>
      </c>
      <c r="H308" s="2" t="s">
        <v>1233</v>
      </c>
      <c r="I308" s="2" t="s">
        <v>47</v>
      </c>
      <c r="J308" s="2" t="s">
        <v>48</v>
      </c>
      <c r="K308" s="2" t="s">
        <v>49</v>
      </c>
      <c r="L308" s="2" t="s">
        <v>49</v>
      </c>
      <c r="M308" s="2" t="s">
        <v>365</v>
      </c>
      <c r="N308" s="2" t="s">
        <v>49</v>
      </c>
      <c r="O308" s="2"/>
    </row>
    <row r="309" spans="1:15" ht="51" x14ac:dyDescent="0.25">
      <c r="A309" s="2" t="s">
        <v>1286</v>
      </c>
      <c r="B309" s="2" t="s">
        <v>1181</v>
      </c>
      <c r="C309" s="2" t="s">
        <v>1283</v>
      </c>
      <c r="D309" s="2" t="s">
        <v>1287</v>
      </c>
      <c r="E309" s="2" t="s">
        <v>1271</v>
      </c>
      <c r="F309" s="2" t="s">
        <v>1285</v>
      </c>
      <c r="G309" s="3" t="s">
        <v>45</v>
      </c>
      <c r="H309" s="2" t="s">
        <v>1233</v>
      </c>
      <c r="I309" s="2" t="s">
        <v>47</v>
      </c>
      <c r="J309" s="2" t="s">
        <v>48</v>
      </c>
      <c r="K309" s="2" t="s">
        <v>49</v>
      </c>
      <c r="L309" s="2" t="s">
        <v>49</v>
      </c>
      <c r="M309" s="2" t="s">
        <v>365</v>
      </c>
      <c r="N309" s="2" t="s">
        <v>49</v>
      </c>
      <c r="O309" s="2"/>
    </row>
    <row r="310" spans="1:15" ht="38.25" x14ac:dyDescent="0.25">
      <c r="A310" s="2" t="s">
        <v>1288</v>
      </c>
      <c r="B310" s="2" t="s">
        <v>1181</v>
      </c>
      <c r="C310" s="2" t="s">
        <v>1283</v>
      </c>
      <c r="D310" s="2" t="s">
        <v>1289</v>
      </c>
      <c r="E310" s="2" t="s">
        <v>1271</v>
      </c>
      <c r="F310" s="2" t="s">
        <v>1285</v>
      </c>
      <c r="G310" s="3" t="s">
        <v>45</v>
      </c>
      <c r="H310" s="2" t="s">
        <v>1290</v>
      </c>
      <c r="I310" s="2" t="s">
        <v>47</v>
      </c>
      <c r="J310" s="2" t="s">
        <v>48</v>
      </c>
      <c r="K310" s="2" t="s">
        <v>49</v>
      </c>
      <c r="L310" s="2" t="s">
        <v>49</v>
      </c>
      <c r="M310" s="2" t="s">
        <v>50</v>
      </c>
      <c r="N310" s="2" t="s">
        <v>49</v>
      </c>
      <c r="O310" s="2"/>
    </row>
    <row r="311" spans="1:15" ht="38.25" x14ac:dyDescent="0.25">
      <c r="A311" s="2" t="s">
        <v>1291</v>
      </c>
      <c r="B311" s="2" t="s">
        <v>1181</v>
      </c>
      <c r="C311" s="2" t="s">
        <v>1283</v>
      </c>
      <c r="D311" s="2" t="s">
        <v>1292</v>
      </c>
      <c r="E311" s="2" t="s">
        <v>1271</v>
      </c>
      <c r="F311" s="2" t="s">
        <v>1293</v>
      </c>
      <c r="G311" s="3" t="s">
        <v>34</v>
      </c>
      <c r="H311" s="2" t="s">
        <v>1294</v>
      </c>
      <c r="I311" s="2" t="s">
        <v>1264</v>
      </c>
      <c r="J311" s="2" t="s">
        <v>1265</v>
      </c>
      <c r="K311" s="2" t="s">
        <v>1266</v>
      </c>
      <c r="L311" s="2" t="s">
        <v>179</v>
      </c>
      <c r="M311" s="2" t="s">
        <v>1189</v>
      </c>
      <c r="N311" s="2" t="s">
        <v>41</v>
      </c>
      <c r="O311" s="2"/>
    </row>
    <row r="312" spans="1:15" ht="51" x14ac:dyDescent="0.25">
      <c r="A312" s="2" t="s">
        <v>1295</v>
      </c>
      <c r="B312" s="2" t="s">
        <v>1181</v>
      </c>
      <c r="C312" s="2" t="s">
        <v>1283</v>
      </c>
      <c r="D312" s="2" t="s">
        <v>1296</v>
      </c>
      <c r="E312" s="2" t="s">
        <v>898</v>
      </c>
      <c r="F312" s="2" t="s">
        <v>1285</v>
      </c>
      <c r="G312" s="3" t="s">
        <v>45</v>
      </c>
      <c r="H312" s="2" t="s">
        <v>1290</v>
      </c>
      <c r="I312" s="2" t="s">
        <v>47</v>
      </c>
      <c r="J312" s="2" t="s">
        <v>48</v>
      </c>
      <c r="K312" s="2" t="s">
        <v>49</v>
      </c>
      <c r="L312" s="2" t="s">
        <v>49</v>
      </c>
      <c r="M312" s="2" t="s">
        <v>50</v>
      </c>
      <c r="N312" s="2" t="s">
        <v>49</v>
      </c>
      <c r="O312" s="2"/>
    </row>
    <row r="313" spans="1:15" ht="51" x14ac:dyDescent="0.25">
      <c r="A313" s="2" t="s">
        <v>1297</v>
      </c>
      <c r="B313" s="2" t="s">
        <v>1181</v>
      </c>
      <c r="C313" s="2" t="s">
        <v>1283</v>
      </c>
      <c r="D313" s="2" t="s">
        <v>1298</v>
      </c>
      <c r="E313" s="2" t="s">
        <v>1271</v>
      </c>
      <c r="F313" s="2" t="s">
        <v>1262</v>
      </c>
      <c r="G313" s="3" t="s">
        <v>45</v>
      </c>
      <c r="H313" s="2" t="s">
        <v>1233</v>
      </c>
      <c r="I313" s="2" t="s">
        <v>47</v>
      </c>
      <c r="J313" s="2" t="s">
        <v>48</v>
      </c>
      <c r="K313" s="2" t="s">
        <v>49</v>
      </c>
      <c r="L313" s="2" t="s">
        <v>49</v>
      </c>
      <c r="M313" s="2" t="s">
        <v>365</v>
      </c>
      <c r="N313" s="2" t="s">
        <v>49</v>
      </c>
      <c r="O313" s="2"/>
    </row>
    <row r="314" spans="1:15" ht="38.25" x14ac:dyDescent="0.25">
      <c r="A314" s="2" t="s">
        <v>1299</v>
      </c>
      <c r="B314" s="2" t="s">
        <v>1181</v>
      </c>
      <c r="C314" s="2" t="s">
        <v>1300</v>
      </c>
      <c r="D314" s="2" t="s">
        <v>1301</v>
      </c>
      <c r="E314" s="2" t="s">
        <v>1302</v>
      </c>
      <c r="F314" s="2" t="s">
        <v>1262</v>
      </c>
      <c r="G314" s="3" t="s">
        <v>45</v>
      </c>
      <c r="H314" s="2" t="s">
        <v>1233</v>
      </c>
      <c r="I314" s="2" t="s">
        <v>47</v>
      </c>
      <c r="J314" s="2" t="s">
        <v>48</v>
      </c>
      <c r="K314" s="2" t="s">
        <v>49</v>
      </c>
      <c r="L314" s="2" t="s">
        <v>49</v>
      </c>
      <c r="M314" s="2" t="s">
        <v>365</v>
      </c>
      <c r="N314" s="2" t="s">
        <v>49</v>
      </c>
      <c r="O314" s="2"/>
    </row>
    <row r="315" spans="1:15" ht="38.25" x14ac:dyDescent="0.25">
      <c r="A315" s="2" t="s">
        <v>1303</v>
      </c>
      <c r="B315" s="2" t="s">
        <v>1181</v>
      </c>
      <c r="C315" s="2" t="s">
        <v>1300</v>
      </c>
      <c r="D315" s="2" t="s">
        <v>1304</v>
      </c>
      <c r="E315" s="2" t="s">
        <v>1305</v>
      </c>
      <c r="F315" s="2" t="s">
        <v>1262</v>
      </c>
      <c r="G315" s="3" t="s">
        <v>45</v>
      </c>
      <c r="H315" s="2" t="s">
        <v>1233</v>
      </c>
      <c r="I315" s="2" t="s">
        <v>47</v>
      </c>
      <c r="J315" s="2" t="s">
        <v>48</v>
      </c>
      <c r="K315" s="2" t="s">
        <v>49</v>
      </c>
      <c r="L315" s="2" t="s">
        <v>49</v>
      </c>
      <c r="M315" s="2" t="s">
        <v>365</v>
      </c>
      <c r="N315" s="2" t="s">
        <v>49</v>
      </c>
      <c r="O315" s="2"/>
    </row>
    <row r="316" spans="1:15" ht="38.25" x14ac:dyDescent="0.25">
      <c r="A316" s="2" t="s">
        <v>1306</v>
      </c>
      <c r="B316" s="2" t="s">
        <v>1181</v>
      </c>
      <c r="C316" s="2" t="s">
        <v>1300</v>
      </c>
      <c r="D316" s="2" t="s">
        <v>1307</v>
      </c>
      <c r="E316" s="2" t="s">
        <v>1305</v>
      </c>
      <c r="F316" s="2" t="s">
        <v>1262</v>
      </c>
      <c r="G316" s="3" t="s">
        <v>45</v>
      </c>
      <c r="H316" s="2" t="s">
        <v>1233</v>
      </c>
      <c r="I316" s="2" t="s">
        <v>47</v>
      </c>
      <c r="J316" s="2" t="s">
        <v>48</v>
      </c>
      <c r="K316" s="2" t="s">
        <v>49</v>
      </c>
      <c r="L316" s="2" t="s">
        <v>49</v>
      </c>
      <c r="M316" s="2" t="s">
        <v>365</v>
      </c>
      <c r="N316" s="2" t="s">
        <v>49</v>
      </c>
      <c r="O316" s="2"/>
    </row>
    <row r="317" spans="1:15" ht="63.75" x14ac:dyDescent="0.25">
      <c r="A317" s="2" t="s">
        <v>1308</v>
      </c>
      <c r="B317" s="2" t="s">
        <v>1181</v>
      </c>
      <c r="C317" s="2" t="s">
        <v>1309</v>
      </c>
      <c r="D317" s="2" t="s">
        <v>1310</v>
      </c>
      <c r="E317" s="2" t="s">
        <v>275</v>
      </c>
      <c r="F317" s="2" t="s">
        <v>1262</v>
      </c>
      <c r="G317" s="3" t="s">
        <v>45</v>
      </c>
      <c r="H317" s="2" t="s">
        <v>1233</v>
      </c>
      <c r="I317" s="2" t="s">
        <v>47</v>
      </c>
      <c r="J317" s="2" t="s">
        <v>48</v>
      </c>
      <c r="K317" s="2" t="s">
        <v>49</v>
      </c>
      <c r="L317" s="2" t="s">
        <v>49</v>
      </c>
      <c r="M317" s="2" t="s">
        <v>365</v>
      </c>
      <c r="N317" s="2" t="s">
        <v>49</v>
      </c>
      <c r="O317" s="2"/>
    </row>
    <row r="318" spans="1:15" ht="38.25" x14ac:dyDescent="0.25">
      <c r="A318" s="2" t="s">
        <v>1311</v>
      </c>
      <c r="B318" s="2" t="s">
        <v>1181</v>
      </c>
      <c r="C318" s="2" t="s">
        <v>1312</v>
      </c>
      <c r="D318" s="2" t="s">
        <v>1313</v>
      </c>
      <c r="E318" s="2" t="s">
        <v>135</v>
      </c>
      <c r="F318" s="2" t="s">
        <v>1314</v>
      </c>
      <c r="G318" s="3" t="s">
        <v>45</v>
      </c>
      <c r="H318" s="2" t="s">
        <v>1233</v>
      </c>
      <c r="I318" s="2" t="s">
        <v>47</v>
      </c>
      <c r="J318" s="2" t="s">
        <v>48</v>
      </c>
      <c r="K318" s="2" t="s">
        <v>49</v>
      </c>
      <c r="L318" s="2" t="s">
        <v>49</v>
      </c>
      <c r="M318" s="2" t="s">
        <v>365</v>
      </c>
      <c r="N318" s="2" t="s">
        <v>49</v>
      </c>
      <c r="O318" s="2"/>
    </row>
    <row r="319" spans="1:15" ht="51" x14ac:dyDescent="0.25">
      <c r="A319" s="2" t="s">
        <v>1315</v>
      </c>
      <c r="B319" s="2" t="s">
        <v>1181</v>
      </c>
      <c r="C319" s="2" t="s">
        <v>1312</v>
      </c>
      <c r="D319" s="2" t="s">
        <v>1316</v>
      </c>
      <c r="E319" s="2" t="s">
        <v>275</v>
      </c>
      <c r="F319" s="2" t="s">
        <v>1314</v>
      </c>
      <c r="G319" s="3" t="s">
        <v>34</v>
      </c>
      <c r="H319" s="2" t="s">
        <v>1317</v>
      </c>
      <c r="I319" s="2" t="s">
        <v>1264</v>
      </c>
      <c r="J319" s="2" t="s">
        <v>1265</v>
      </c>
      <c r="K319" s="2" t="s">
        <v>1266</v>
      </c>
      <c r="L319" s="2" t="s">
        <v>179</v>
      </c>
      <c r="M319" s="2" t="s">
        <v>1189</v>
      </c>
      <c r="N319" s="2" t="s">
        <v>41</v>
      </c>
      <c r="O319" s="2"/>
    </row>
    <row r="320" spans="1:15" ht="63.75" x14ac:dyDescent="0.25">
      <c r="A320" s="2" t="s">
        <v>1318</v>
      </c>
      <c r="B320" s="2" t="s">
        <v>1181</v>
      </c>
      <c r="C320" s="2" t="s">
        <v>1319</v>
      </c>
      <c r="D320" s="2" t="s">
        <v>1320</v>
      </c>
      <c r="E320" s="2" t="s">
        <v>275</v>
      </c>
      <c r="F320" s="2" t="s">
        <v>1321</v>
      </c>
      <c r="G320" s="3" t="s">
        <v>45</v>
      </c>
      <c r="H320" s="2" t="s">
        <v>1233</v>
      </c>
      <c r="I320" s="2" t="s">
        <v>47</v>
      </c>
      <c r="J320" s="2" t="s">
        <v>48</v>
      </c>
      <c r="K320" s="2" t="s">
        <v>49</v>
      </c>
      <c r="L320" s="2" t="s">
        <v>49</v>
      </c>
      <c r="M320" s="2" t="s">
        <v>365</v>
      </c>
      <c r="N320" s="2" t="s">
        <v>49</v>
      </c>
      <c r="O320" s="2"/>
    </row>
    <row r="321" spans="1:15" ht="38.25" x14ac:dyDescent="0.25">
      <c r="A321" s="2" t="s">
        <v>1322</v>
      </c>
      <c r="B321" s="2" t="s">
        <v>1181</v>
      </c>
      <c r="C321" s="2" t="s">
        <v>1319</v>
      </c>
      <c r="D321" s="2" t="s">
        <v>1323</v>
      </c>
      <c r="E321" s="2" t="s">
        <v>1324</v>
      </c>
      <c r="F321" s="2" t="s">
        <v>1321</v>
      </c>
      <c r="G321" s="3" t="s">
        <v>45</v>
      </c>
      <c r="H321" s="2" t="s">
        <v>1233</v>
      </c>
      <c r="I321" s="2" t="s">
        <v>47</v>
      </c>
      <c r="J321" s="2" t="s">
        <v>48</v>
      </c>
      <c r="K321" s="2" t="s">
        <v>49</v>
      </c>
      <c r="L321" s="2" t="s">
        <v>49</v>
      </c>
      <c r="M321" s="2" t="s">
        <v>365</v>
      </c>
      <c r="N321" s="2" t="s">
        <v>49</v>
      </c>
      <c r="O321" s="2"/>
    </row>
    <row r="322" spans="1:15" ht="51" x14ac:dyDescent="0.25">
      <c r="A322" s="2" t="s">
        <v>1325</v>
      </c>
      <c r="B322" s="2" t="s">
        <v>1181</v>
      </c>
      <c r="C322" s="2" t="s">
        <v>1319</v>
      </c>
      <c r="D322" s="2" t="s">
        <v>1326</v>
      </c>
      <c r="E322" s="2" t="s">
        <v>1327</v>
      </c>
      <c r="F322" s="2" t="s">
        <v>1321</v>
      </c>
      <c r="G322" s="3" t="s">
        <v>45</v>
      </c>
      <c r="H322" s="2" t="s">
        <v>1233</v>
      </c>
      <c r="I322" s="2" t="s">
        <v>47</v>
      </c>
      <c r="J322" s="2" t="s">
        <v>48</v>
      </c>
      <c r="K322" s="2" t="s">
        <v>49</v>
      </c>
      <c r="L322" s="2" t="s">
        <v>49</v>
      </c>
      <c r="M322" s="2" t="s">
        <v>365</v>
      </c>
      <c r="N322" s="2" t="s">
        <v>49</v>
      </c>
      <c r="O322" s="2"/>
    </row>
    <row r="323" spans="1:15" ht="38.25" x14ac:dyDescent="0.25">
      <c r="A323" s="2" t="s">
        <v>1328</v>
      </c>
      <c r="B323" s="2" t="s">
        <v>1181</v>
      </c>
      <c r="C323" s="2" t="s">
        <v>1329</v>
      </c>
      <c r="D323" s="2" t="s">
        <v>1330</v>
      </c>
      <c r="E323" s="2" t="s">
        <v>202</v>
      </c>
      <c r="F323" s="2" t="s">
        <v>1331</v>
      </c>
      <c r="G323" s="3" t="s">
        <v>45</v>
      </c>
      <c r="H323" s="2" t="s">
        <v>1332</v>
      </c>
      <c r="I323" s="2" t="s">
        <v>47</v>
      </c>
      <c r="J323" s="2" t="s">
        <v>48</v>
      </c>
      <c r="K323" s="2" t="s">
        <v>49</v>
      </c>
      <c r="L323" s="2" t="s">
        <v>49</v>
      </c>
      <c r="M323" s="2" t="s">
        <v>50</v>
      </c>
      <c r="N323" s="2" t="s">
        <v>49</v>
      </c>
      <c r="O323" s="2"/>
    </row>
    <row r="324" spans="1:15" ht="38.25" x14ac:dyDescent="0.25">
      <c r="A324" s="2" t="s">
        <v>1333</v>
      </c>
      <c r="B324" s="2" t="s">
        <v>1181</v>
      </c>
      <c r="C324" s="2" t="s">
        <v>1334</v>
      </c>
      <c r="D324" s="2" t="s">
        <v>1335</v>
      </c>
      <c r="E324" s="2" t="s">
        <v>275</v>
      </c>
      <c r="F324" s="2" t="s">
        <v>1336</v>
      </c>
      <c r="G324" s="3" t="s">
        <v>45</v>
      </c>
      <c r="H324" s="2" t="s">
        <v>1233</v>
      </c>
      <c r="I324" s="2" t="s">
        <v>47</v>
      </c>
      <c r="J324" s="2" t="s">
        <v>48</v>
      </c>
      <c r="K324" s="2" t="s">
        <v>49</v>
      </c>
      <c r="L324" s="2" t="s">
        <v>49</v>
      </c>
      <c r="M324" s="2" t="s">
        <v>365</v>
      </c>
      <c r="N324" s="2" t="s">
        <v>49</v>
      </c>
      <c r="O324" s="2"/>
    </row>
    <row r="325" spans="1:15" ht="38.25" x14ac:dyDescent="0.25">
      <c r="A325" s="2" t="s">
        <v>1337</v>
      </c>
      <c r="B325" s="2" t="s">
        <v>1181</v>
      </c>
      <c r="C325" s="2" t="s">
        <v>1334</v>
      </c>
      <c r="D325" s="2" t="s">
        <v>1338</v>
      </c>
      <c r="E325" s="2" t="s">
        <v>275</v>
      </c>
      <c r="F325" s="2" t="s">
        <v>1336</v>
      </c>
      <c r="G325" s="3" t="s">
        <v>34</v>
      </c>
      <c r="H325" s="2" t="s">
        <v>1339</v>
      </c>
      <c r="I325" s="2" t="s">
        <v>1340</v>
      </c>
      <c r="J325" s="2" t="s">
        <v>1341</v>
      </c>
      <c r="K325" s="2" t="s">
        <v>1342</v>
      </c>
      <c r="L325" s="2" t="s">
        <v>1343</v>
      </c>
      <c r="M325" s="2" t="s">
        <v>1344</v>
      </c>
      <c r="N325" s="2" t="s">
        <v>41</v>
      </c>
      <c r="O325" s="2"/>
    </row>
    <row r="326" spans="1:15" ht="38.25" x14ac:dyDescent="0.25">
      <c r="A326" s="2" t="s">
        <v>1345</v>
      </c>
      <c r="B326" s="2" t="s">
        <v>1181</v>
      </c>
      <c r="C326" s="2" t="s">
        <v>1334</v>
      </c>
      <c r="D326" s="2" t="s">
        <v>1346</v>
      </c>
      <c r="E326" s="2" t="s">
        <v>275</v>
      </c>
      <c r="F326" s="2" t="s">
        <v>1336</v>
      </c>
      <c r="G326" s="3" t="s">
        <v>45</v>
      </c>
      <c r="H326" s="2" t="s">
        <v>1233</v>
      </c>
      <c r="I326" s="2" t="s">
        <v>47</v>
      </c>
      <c r="J326" s="2" t="s">
        <v>48</v>
      </c>
      <c r="K326" s="2" t="s">
        <v>49</v>
      </c>
      <c r="L326" s="2" t="s">
        <v>49</v>
      </c>
      <c r="M326" s="2" t="s">
        <v>365</v>
      </c>
      <c r="N326" s="2" t="s">
        <v>49</v>
      </c>
      <c r="O326" s="2"/>
    </row>
    <row r="327" spans="1:15" ht="63.75" x14ac:dyDescent="0.25">
      <c r="A327" s="2" t="s">
        <v>1347</v>
      </c>
      <c r="B327" s="2" t="s">
        <v>1181</v>
      </c>
      <c r="C327" s="2" t="s">
        <v>1348</v>
      </c>
      <c r="D327" s="2" t="s">
        <v>1349</v>
      </c>
      <c r="E327" s="2" t="s">
        <v>275</v>
      </c>
      <c r="F327" s="2" t="s">
        <v>1314</v>
      </c>
      <c r="G327" s="3" t="s">
        <v>21</v>
      </c>
      <c r="H327" s="2" t="s">
        <v>1350</v>
      </c>
      <c r="I327" s="2" t="s">
        <v>1264</v>
      </c>
      <c r="J327" s="2" t="s">
        <v>1265</v>
      </c>
      <c r="K327" s="2" t="s">
        <v>1266</v>
      </c>
      <c r="L327" s="2" t="s">
        <v>179</v>
      </c>
      <c r="M327" s="2" t="s">
        <v>1189</v>
      </c>
      <c r="N327" s="2" t="s">
        <v>28</v>
      </c>
      <c r="O327" s="2"/>
    </row>
    <row r="328" spans="1:15" ht="38.25" x14ac:dyDescent="0.25">
      <c r="A328" s="2" t="s">
        <v>1351</v>
      </c>
      <c r="B328" s="2" t="s">
        <v>1181</v>
      </c>
      <c r="C328" s="2" t="s">
        <v>1348</v>
      </c>
      <c r="D328" s="2" t="s">
        <v>1352</v>
      </c>
      <c r="E328" s="2" t="s">
        <v>84</v>
      </c>
      <c r="F328" s="2" t="s">
        <v>1314</v>
      </c>
      <c r="G328" s="3" t="s">
        <v>34</v>
      </c>
      <c r="H328" s="2" t="s">
        <v>1353</v>
      </c>
      <c r="I328" s="2" t="s">
        <v>1264</v>
      </c>
      <c r="J328" s="2" t="s">
        <v>1265</v>
      </c>
      <c r="K328" s="2" t="s">
        <v>1266</v>
      </c>
      <c r="L328" s="2" t="s">
        <v>179</v>
      </c>
      <c r="M328" s="2" t="s">
        <v>1189</v>
      </c>
      <c r="N328" s="2" t="s">
        <v>41</v>
      </c>
      <c r="O328" s="2"/>
    </row>
    <row r="329" spans="1:15" ht="38.25" x14ac:dyDescent="0.25">
      <c r="A329" s="2" t="s">
        <v>1354</v>
      </c>
      <c r="B329" s="2" t="s">
        <v>1181</v>
      </c>
      <c r="C329" s="2" t="s">
        <v>1348</v>
      </c>
      <c r="D329" s="2" t="s">
        <v>1355</v>
      </c>
      <c r="E329" s="2" t="s">
        <v>275</v>
      </c>
      <c r="F329" s="2" t="s">
        <v>1314</v>
      </c>
      <c r="G329" s="3" t="s">
        <v>34</v>
      </c>
      <c r="H329" s="2" t="s">
        <v>1356</v>
      </c>
      <c r="I329" s="2" t="s">
        <v>1264</v>
      </c>
      <c r="J329" s="2" t="s">
        <v>1265</v>
      </c>
      <c r="K329" s="2" t="s">
        <v>1266</v>
      </c>
      <c r="L329" s="2" t="s">
        <v>179</v>
      </c>
      <c r="M329" s="2" t="s">
        <v>1189</v>
      </c>
      <c r="N329" s="2" t="s">
        <v>41</v>
      </c>
      <c r="O329" s="2"/>
    </row>
    <row r="330" spans="1:15" ht="38.25" x14ac:dyDescent="0.25">
      <c r="A330" s="2" t="s">
        <v>1357</v>
      </c>
      <c r="B330" s="2" t="s">
        <v>1181</v>
      </c>
      <c r="C330" s="2" t="s">
        <v>1348</v>
      </c>
      <c r="D330" s="2" t="s">
        <v>1358</v>
      </c>
      <c r="E330" s="2" t="s">
        <v>898</v>
      </c>
      <c r="F330" s="2" t="s">
        <v>1321</v>
      </c>
      <c r="G330" s="3" t="s">
        <v>45</v>
      </c>
      <c r="H330" s="2" t="s">
        <v>1233</v>
      </c>
      <c r="I330" s="2" t="s">
        <v>47</v>
      </c>
      <c r="J330" s="2" t="s">
        <v>48</v>
      </c>
      <c r="K330" s="2" t="s">
        <v>49</v>
      </c>
      <c r="L330" s="2" t="s">
        <v>49</v>
      </c>
      <c r="M330" s="2" t="s">
        <v>365</v>
      </c>
      <c r="N330" s="2" t="s">
        <v>49</v>
      </c>
      <c r="O330" s="2"/>
    </row>
    <row r="331" spans="1:15" ht="25.5" x14ac:dyDescent="0.25">
      <c r="A331" s="2" t="s">
        <v>1359</v>
      </c>
      <c r="B331" s="2" t="s">
        <v>1181</v>
      </c>
      <c r="C331" s="2" t="s">
        <v>1348</v>
      </c>
      <c r="D331" s="2" t="s">
        <v>1360</v>
      </c>
      <c r="E331" s="2" t="s">
        <v>639</v>
      </c>
      <c r="F331" s="2" t="s">
        <v>1321</v>
      </c>
      <c r="G331" s="3" t="s">
        <v>21</v>
      </c>
      <c r="H331" s="2" t="s">
        <v>1361</v>
      </c>
      <c r="I331" s="2" t="s">
        <v>1264</v>
      </c>
      <c r="J331" s="2" t="s">
        <v>1265</v>
      </c>
      <c r="K331" s="2" t="s">
        <v>1266</v>
      </c>
      <c r="L331" s="2" t="s">
        <v>179</v>
      </c>
      <c r="M331" s="2" t="s">
        <v>1189</v>
      </c>
      <c r="N331" s="2" t="s">
        <v>28</v>
      </c>
      <c r="O331" s="2"/>
    </row>
    <row r="332" spans="1:15" ht="38.25" x14ac:dyDescent="0.25">
      <c r="A332" s="2" t="s">
        <v>1362</v>
      </c>
      <c r="B332" s="2" t="s">
        <v>1181</v>
      </c>
      <c r="C332" s="2" t="s">
        <v>1348</v>
      </c>
      <c r="D332" s="2" t="s">
        <v>1363</v>
      </c>
      <c r="E332" s="2" t="s">
        <v>275</v>
      </c>
      <c r="F332" s="2" t="s">
        <v>1314</v>
      </c>
      <c r="G332" s="3" t="s">
        <v>45</v>
      </c>
      <c r="H332" s="2" t="s">
        <v>1233</v>
      </c>
      <c r="I332" s="2" t="s">
        <v>47</v>
      </c>
      <c r="J332" s="2" t="s">
        <v>48</v>
      </c>
      <c r="K332" s="2" t="s">
        <v>49</v>
      </c>
      <c r="L332" s="2" t="s">
        <v>49</v>
      </c>
      <c r="M332" s="2" t="s">
        <v>365</v>
      </c>
      <c r="N332" s="2" t="s">
        <v>49</v>
      </c>
      <c r="O332" s="2"/>
    </row>
    <row r="333" spans="1:15" ht="38.25" x14ac:dyDescent="0.25">
      <c r="A333" s="2" t="s">
        <v>1364</v>
      </c>
      <c r="B333" s="2" t="s">
        <v>1181</v>
      </c>
      <c r="C333" s="2" t="s">
        <v>1348</v>
      </c>
      <c r="D333" s="2" t="s">
        <v>1365</v>
      </c>
      <c r="E333" s="2" t="s">
        <v>275</v>
      </c>
      <c r="F333" s="2" t="s">
        <v>1321</v>
      </c>
      <c r="G333" s="3" t="s">
        <v>45</v>
      </c>
      <c r="H333" s="2" t="s">
        <v>1233</v>
      </c>
      <c r="I333" s="2" t="s">
        <v>47</v>
      </c>
      <c r="J333" s="2" t="s">
        <v>48</v>
      </c>
      <c r="K333" s="2" t="s">
        <v>49</v>
      </c>
      <c r="L333" s="2" t="s">
        <v>49</v>
      </c>
      <c r="M333" s="2" t="s">
        <v>365</v>
      </c>
      <c r="N333" s="2" t="s">
        <v>49</v>
      </c>
      <c r="O333" s="2"/>
    </row>
    <row r="334" spans="1:15" ht="51" x14ac:dyDescent="0.25">
      <c r="A334" s="2" t="s">
        <v>1366</v>
      </c>
      <c r="B334" s="2" t="s">
        <v>1181</v>
      </c>
      <c r="C334" s="2" t="s">
        <v>1348</v>
      </c>
      <c r="D334" s="2" t="s">
        <v>1367</v>
      </c>
      <c r="E334" s="2" t="s">
        <v>275</v>
      </c>
      <c r="F334" s="2" t="s">
        <v>1368</v>
      </c>
      <c r="G334" s="3" t="s">
        <v>45</v>
      </c>
      <c r="H334" s="2" t="s">
        <v>1233</v>
      </c>
      <c r="I334" s="2" t="s">
        <v>47</v>
      </c>
      <c r="J334" s="2" t="s">
        <v>48</v>
      </c>
      <c r="K334" s="2" t="s">
        <v>49</v>
      </c>
      <c r="L334" s="2" t="s">
        <v>49</v>
      </c>
      <c r="M334" s="2" t="s">
        <v>365</v>
      </c>
      <c r="N334" s="2" t="s">
        <v>49</v>
      </c>
      <c r="O334" s="2"/>
    </row>
    <row r="335" spans="1:15" ht="38.25" x14ac:dyDescent="0.25">
      <c r="A335" s="2" t="s">
        <v>1369</v>
      </c>
      <c r="B335" s="2" t="s">
        <v>1181</v>
      </c>
      <c r="C335" s="2" t="s">
        <v>1348</v>
      </c>
      <c r="D335" s="2" t="s">
        <v>1370</v>
      </c>
      <c r="E335" s="2" t="s">
        <v>330</v>
      </c>
      <c r="F335" s="2" t="s">
        <v>1336</v>
      </c>
      <c r="G335" s="3" t="s">
        <v>45</v>
      </c>
      <c r="H335" s="2" t="s">
        <v>1233</v>
      </c>
      <c r="I335" s="2" t="s">
        <v>47</v>
      </c>
      <c r="J335" s="2" t="s">
        <v>48</v>
      </c>
      <c r="K335" s="2" t="s">
        <v>49</v>
      </c>
      <c r="L335" s="2" t="s">
        <v>49</v>
      </c>
      <c r="M335" s="2" t="s">
        <v>365</v>
      </c>
      <c r="N335" s="2" t="s">
        <v>49</v>
      </c>
      <c r="O335" s="2"/>
    </row>
    <row r="336" spans="1:15" ht="38.25" x14ac:dyDescent="0.25">
      <c r="A336" s="2" t="s">
        <v>1371</v>
      </c>
      <c r="B336" s="2" t="s">
        <v>1181</v>
      </c>
      <c r="C336" s="2" t="s">
        <v>1372</v>
      </c>
      <c r="D336" s="2" t="s">
        <v>1373</v>
      </c>
      <c r="E336" s="2" t="s">
        <v>275</v>
      </c>
      <c r="F336" s="2" t="s">
        <v>1374</v>
      </c>
      <c r="G336" s="3" t="s">
        <v>34</v>
      </c>
      <c r="H336" s="2" t="s">
        <v>1375</v>
      </c>
      <c r="I336" s="2" t="s">
        <v>1376</v>
      </c>
      <c r="J336" s="2" t="s">
        <v>1377</v>
      </c>
      <c r="K336" s="2" t="s">
        <v>1378</v>
      </c>
      <c r="L336" s="2" t="s">
        <v>179</v>
      </c>
      <c r="M336" s="2" t="s">
        <v>1189</v>
      </c>
      <c r="N336" s="2" t="s">
        <v>41</v>
      </c>
      <c r="O336" s="2" t="s">
        <v>1379</v>
      </c>
    </row>
    <row r="337" spans="1:15" ht="38.25" x14ac:dyDescent="0.25">
      <c r="A337" s="2" t="s">
        <v>1380</v>
      </c>
      <c r="B337" s="2" t="s">
        <v>1181</v>
      </c>
      <c r="C337" s="2" t="s">
        <v>1372</v>
      </c>
      <c r="D337" s="2" t="s">
        <v>1381</v>
      </c>
      <c r="E337" s="2" t="s">
        <v>275</v>
      </c>
      <c r="F337" s="2" t="s">
        <v>1374</v>
      </c>
      <c r="G337" s="3" t="s">
        <v>45</v>
      </c>
      <c r="H337" s="2" t="s">
        <v>1233</v>
      </c>
      <c r="I337" s="2" t="s">
        <v>47</v>
      </c>
      <c r="J337" s="2" t="s">
        <v>48</v>
      </c>
      <c r="K337" s="2" t="s">
        <v>49</v>
      </c>
      <c r="L337" s="2" t="s">
        <v>49</v>
      </c>
      <c r="M337" s="2" t="s">
        <v>365</v>
      </c>
      <c r="N337" s="2" t="s">
        <v>49</v>
      </c>
      <c r="O337" s="2" t="s">
        <v>1379</v>
      </c>
    </row>
    <row r="338" spans="1:15" ht="38.25" x14ac:dyDescent="0.25">
      <c r="A338" s="2" t="s">
        <v>1382</v>
      </c>
      <c r="B338" s="2" t="s">
        <v>1181</v>
      </c>
      <c r="C338" s="2" t="s">
        <v>1372</v>
      </c>
      <c r="D338" s="2" t="s">
        <v>1383</v>
      </c>
      <c r="E338" s="2" t="s">
        <v>275</v>
      </c>
      <c r="F338" s="2" t="s">
        <v>1374</v>
      </c>
      <c r="G338" s="3" t="s">
        <v>45</v>
      </c>
      <c r="H338" s="2" t="s">
        <v>1233</v>
      </c>
      <c r="I338" s="2" t="s">
        <v>47</v>
      </c>
      <c r="J338" s="2" t="s">
        <v>48</v>
      </c>
      <c r="K338" s="2" t="s">
        <v>49</v>
      </c>
      <c r="L338" s="2" t="s">
        <v>49</v>
      </c>
      <c r="M338" s="2" t="s">
        <v>365</v>
      </c>
      <c r="N338" s="2" t="s">
        <v>49</v>
      </c>
      <c r="O338" s="2" t="s">
        <v>1379</v>
      </c>
    </row>
    <row r="339" spans="1:15" ht="38.25" x14ac:dyDescent="0.25">
      <c r="A339" s="2" t="s">
        <v>1384</v>
      </c>
      <c r="B339" s="2" t="s">
        <v>1181</v>
      </c>
      <c r="C339" s="2" t="s">
        <v>1372</v>
      </c>
      <c r="D339" s="2" t="s">
        <v>1385</v>
      </c>
      <c r="E339" s="2" t="s">
        <v>1386</v>
      </c>
      <c r="F339" s="2" t="s">
        <v>1374</v>
      </c>
      <c r="G339" s="3" t="s">
        <v>45</v>
      </c>
      <c r="H339" s="2" t="s">
        <v>1233</v>
      </c>
      <c r="I339" s="2" t="s">
        <v>47</v>
      </c>
      <c r="J339" s="2" t="s">
        <v>48</v>
      </c>
      <c r="K339" s="2" t="s">
        <v>49</v>
      </c>
      <c r="L339" s="2" t="s">
        <v>49</v>
      </c>
      <c r="M339" s="2" t="s">
        <v>365</v>
      </c>
      <c r="N339" s="2" t="s">
        <v>49</v>
      </c>
      <c r="O339" s="2" t="s">
        <v>1379</v>
      </c>
    </row>
    <row r="340" spans="1:15" ht="38.25" x14ac:dyDescent="0.25">
      <c r="A340" s="2" t="s">
        <v>1387</v>
      </c>
      <c r="B340" s="2" t="s">
        <v>1181</v>
      </c>
      <c r="C340" s="2" t="s">
        <v>1388</v>
      </c>
      <c r="D340" s="2" t="s">
        <v>1389</v>
      </c>
      <c r="E340" s="2" t="s">
        <v>275</v>
      </c>
      <c r="F340" s="2" t="s">
        <v>1390</v>
      </c>
      <c r="G340" s="3" t="s">
        <v>21</v>
      </c>
      <c r="H340" s="2" t="s">
        <v>1391</v>
      </c>
      <c r="I340" s="2" t="s">
        <v>1376</v>
      </c>
      <c r="J340" s="2" t="s">
        <v>1377</v>
      </c>
      <c r="K340" s="2" t="s">
        <v>1378</v>
      </c>
      <c r="L340" s="2" t="s">
        <v>179</v>
      </c>
      <c r="M340" s="2" t="s">
        <v>1189</v>
      </c>
      <c r="N340" s="2" t="s">
        <v>28</v>
      </c>
      <c r="O340" s="2" t="s">
        <v>1379</v>
      </c>
    </row>
    <row r="341" spans="1:15" ht="51" x14ac:dyDescent="0.25">
      <c r="A341" s="2" t="s">
        <v>1392</v>
      </c>
      <c r="B341" s="2" t="s">
        <v>1181</v>
      </c>
      <c r="C341" s="2" t="s">
        <v>1388</v>
      </c>
      <c r="D341" s="2" t="s">
        <v>1393</v>
      </c>
      <c r="E341" s="2" t="s">
        <v>275</v>
      </c>
      <c r="F341" s="2" t="s">
        <v>1390</v>
      </c>
      <c r="G341" s="3" t="s">
        <v>45</v>
      </c>
      <c r="H341" s="2" t="s">
        <v>1233</v>
      </c>
      <c r="I341" s="2" t="s">
        <v>47</v>
      </c>
      <c r="J341" s="2" t="s">
        <v>48</v>
      </c>
      <c r="K341" s="2" t="s">
        <v>49</v>
      </c>
      <c r="L341" s="2" t="s">
        <v>49</v>
      </c>
      <c r="M341" s="2" t="s">
        <v>365</v>
      </c>
      <c r="N341" s="2" t="s">
        <v>49</v>
      </c>
      <c r="O341" s="2" t="s">
        <v>1379</v>
      </c>
    </row>
    <row r="342" spans="1:15" ht="51" x14ac:dyDescent="0.25">
      <c r="A342" s="2" t="s">
        <v>1394</v>
      </c>
      <c r="B342" s="2" t="s">
        <v>1181</v>
      </c>
      <c r="C342" s="2" t="s">
        <v>1388</v>
      </c>
      <c r="D342" s="2" t="s">
        <v>1395</v>
      </c>
      <c r="E342" s="2" t="s">
        <v>330</v>
      </c>
      <c r="F342" s="2" t="s">
        <v>1390</v>
      </c>
      <c r="G342" s="3" t="s">
        <v>45</v>
      </c>
      <c r="H342" s="2" t="s">
        <v>1233</v>
      </c>
      <c r="I342" s="2" t="s">
        <v>47</v>
      </c>
      <c r="J342" s="2" t="s">
        <v>48</v>
      </c>
      <c r="K342" s="2" t="s">
        <v>49</v>
      </c>
      <c r="L342" s="2" t="s">
        <v>49</v>
      </c>
      <c r="M342" s="2" t="s">
        <v>365</v>
      </c>
      <c r="N342" s="2" t="s">
        <v>49</v>
      </c>
      <c r="O342" s="2" t="s">
        <v>1379</v>
      </c>
    </row>
    <row r="343" spans="1:15" ht="38.25" x14ac:dyDescent="0.25">
      <c r="A343" s="2" t="s">
        <v>1396</v>
      </c>
      <c r="B343" s="2" t="s">
        <v>1181</v>
      </c>
      <c r="C343" s="2" t="s">
        <v>1388</v>
      </c>
      <c r="D343" s="2" t="s">
        <v>1397</v>
      </c>
      <c r="E343" s="2" t="s">
        <v>275</v>
      </c>
      <c r="F343" s="2" t="s">
        <v>1390</v>
      </c>
      <c r="G343" s="3" t="s">
        <v>34</v>
      </c>
      <c r="H343" s="2" t="s">
        <v>1398</v>
      </c>
      <c r="I343" s="2" t="s">
        <v>1376</v>
      </c>
      <c r="J343" s="2" t="s">
        <v>1377</v>
      </c>
      <c r="K343" s="2" t="s">
        <v>1378</v>
      </c>
      <c r="L343" s="2" t="s">
        <v>179</v>
      </c>
      <c r="M343" s="2" t="s">
        <v>1189</v>
      </c>
      <c r="N343" s="2" t="s">
        <v>41</v>
      </c>
      <c r="O343" s="2" t="s">
        <v>1379</v>
      </c>
    </row>
    <row r="344" spans="1:15" ht="38.25" x14ac:dyDescent="0.25">
      <c r="A344" s="2" t="s">
        <v>1399</v>
      </c>
      <c r="B344" s="2" t="s">
        <v>1181</v>
      </c>
      <c r="C344" s="2" t="s">
        <v>1388</v>
      </c>
      <c r="D344" s="2" t="s">
        <v>1400</v>
      </c>
      <c r="E344" s="2" t="s">
        <v>275</v>
      </c>
      <c r="F344" s="2" t="s">
        <v>1390</v>
      </c>
      <c r="G344" s="3" t="s">
        <v>45</v>
      </c>
      <c r="H344" s="2" t="s">
        <v>1233</v>
      </c>
      <c r="I344" s="2" t="s">
        <v>47</v>
      </c>
      <c r="J344" s="2" t="s">
        <v>48</v>
      </c>
      <c r="K344" s="2" t="s">
        <v>49</v>
      </c>
      <c r="L344" s="2" t="s">
        <v>49</v>
      </c>
      <c r="M344" s="2" t="s">
        <v>365</v>
      </c>
      <c r="N344" s="2" t="s">
        <v>49</v>
      </c>
      <c r="O344" s="2" t="s">
        <v>1379</v>
      </c>
    </row>
    <row r="345" spans="1:15" ht="51" x14ac:dyDescent="0.25">
      <c r="A345" s="2" t="s">
        <v>1401</v>
      </c>
      <c r="B345" s="2" t="s">
        <v>1181</v>
      </c>
      <c r="C345" s="2" t="s">
        <v>1388</v>
      </c>
      <c r="D345" s="2" t="s">
        <v>1402</v>
      </c>
      <c r="E345" s="2" t="s">
        <v>84</v>
      </c>
      <c r="F345" s="2" t="s">
        <v>1390</v>
      </c>
      <c r="G345" s="3" t="s">
        <v>45</v>
      </c>
      <c r="H345" s="2" t="s">
        <v>1233</v>
      </c>
      <c r="I345" s="2" t="s">
        <v>47</v>
      </c>
      <c r="J345" s="2" t="s">
        <v>48</v>
      </c>
      <c r="K345" s="2" t="s">
        <v>49</v>
      </c>
      <c r="L345" s="2" t="s">
        <v>49</v>
      </c>
      <c r="M345" s="2" t="s">
        <v>365</v>
      </c>
      <c r="N345" s="2" t="s">
        <v>49</v>
      </c>
      <c r="O345" s="2" t="s">
        <v>1379</v>
      </c>
    </row>
    <row r="346" spans="1:15" ht="51" x14ac:dyDescent="0.25">
      <c r="A346" s="2" t="s">
        <v>1403</v>
      </c>
      <c r="B346" s="2" t="s">
        <v>1181</v>
      </c>
      <c r="C346" s="2" t="s">
        <v>1388</v>
      </c>
      <c r="D346" s="2" t="s">
        <v>1404</v>
      </c>
      <c r="E346" s="2" t="s">
        <v>275</v>
      </c>
      <c r="F346" s="2" t="s">
        <v>1390</v>
      </c>
      <c r="G346" s="3" t="s">
        <v>21</v>
      </c>
      <c r="H346" s="2" t="s">
        <v>1405</v>
      </c>
      <c r="I346" s="2" t="s">
        <v>1376</v>
      </c>
      <c r="J346" s="2" t="s">
        <v>1377</v>
      </c>
      <c r="K346" s="2" t="s">
        <v>1378</v>
      </c>
      <c r="L346" s="2" t="s">
        <v>179</v>
      </c>
      <c r="M346" s="2" t="s">
        <v>1189</v>
      </c>
      <c r="N346" s="2" t="s">
        <v>28</v>
      </c>
      <c r="O346" s="2" t="s">
        <v>1379</v>
      </c>
    </row>
    <row r="347" spans="1:15" ht="38.25" x14ac:dyDescent="0.25">
      <c r="A347" s="2" t="s">
        <v>1406</v>
      </c>
      <c r="B347" s="2" t="s">
        <v>1181</v>
      </c>
      <c r="C347" s="2" t="s">
        <v>1388</v>
      </c>
      <c r="D347" s="2" t="s">
        <v>1407</v>
      </c>
      <c r="E347" s="2" t="s">
        <v>1253</v>
      </c>
      <c r="F347" s="2" t="s">
        <v>1390</v>
      </c>
      <c r="G347" s="3" t="s">
        <v>45</v>
      </c>
      <c r="H347" s="2" t="s">
        <v>1233</v>
      </c>
      <c r="I347" s="2" t="s">
        <v>47</v>
      </c>
      <c r="J347" s="2" t="s">
        <v>48</v>
      </c>
      <c r="K347" s="2" t="s">
        <v>49</v>
      </c>
      <c r="L347" s="2" t="s">
        <v>49</v>
      </c>
      <c r="M347" s="2" t="s">
        <v>365</v>
      </c>
      <c r="N347" s="2" t="s">
        <v>49</v>
      </c>
      <c r="O347" s="2" t="s">
        <v>1379</v>
      </c>
    </row>
    <row r="348" spans="1:15" ht="51" x14ac:dyDescent="0.25">
      <c r="A348" s="2" t="s">
        <v>1408</v>
      </c>
      <c r="B348" s="2" t="s">
        <v>1181</v>
      </c>
      <c r="C348" s="2" t="s">
        <v>1388</v>
      </c>
      <c r="D348" s="2" t="s">
        <v>1409</v>
      </c>
      <c r="E348" s="2" t="s">
        <v>1271</v>
      </c>
      <c r="F348" s="2" t="s">
        <v>1390</v>
      </c>
      <c r="G348" s="3" t="s">
        <v>45</v>
      </c>
      <c r="H348" s="2" t="s">
        <v>515</v>
      </c>
      <c r="I348" s="2" t="s">
        <v>47</v>
      </c>
      <c r="J348" s="2" t="s">
        <v>48</v>
      </c>
      <c r="K348" s="2" t="s">
        <v>49</v>
      </c>
      <c r="L348" s="2" t="s">
        <v>49</v>
      </c>
      <c r="M348" s="2" t="s">
        <v>50</v>
      </c>
      <c r="N348" s="2" t="s">
        <v>49</v>
      </c>
      <c r="O348" s="2" t="s">
        <v>1379</v>
      </c>
    </row>
    <row r="349" spans="1:15" ht="51" x14ac:dyDescent="0.25">
      <c r="A349" s="2" t="s">
        <v>1410</v>
      </c>
      <c r="B349" s="2" t="s">
        <v>1181</v>
      </c>
      <c r="C349" s="2" t="s">
        <v>1388</v>
      </c>
      <c r="D349" s="2" t="s">
        <v>1411</v>
      </c>
      <c r="E349" s="2" t="s">
        <v>275</v>
      </c>
      <c r="F349" s="2" t="s">
        <v>1390</v>
      </c>
      <c r="G349" s="3" t="s">
        <v>45</v>
      </c>
      <c r="H349" s="2" t="s">
        <v>1233</v>
      </c>
      <c r="I349" s="2" t="s">
        <v>47</v>
      </c>
      <c r="J349" s="2" t="s">
        <v>48</v>
      </c>
      <c r="K349" s="2" t="s">
        <v>49</v>
      </c>
      <c r="L349" s="2" t="s">
        <v>49</v>
      </c>
      <c r="M349" s="2" t="s">
        <v>365</v>
      </c>
      <c r="N349" s="2" t="s">
        <v>49</v>
      </c>
      <c r="O349" s="2" t="s">
        <v>1379</v>
      </c>
    </row>
    <row r="350" spans="1:15" ht="38.25" x14ac:dyDescent="0.25">
      <c r="A350" s="2" t="s">
        <v>1412</v>
      </c>
      <c r="B350" s="2" t="s">
        <v>1181</v>
      </c>
      <c r="C350" s="2" t="s">
        <v>1388</v>
      </c>
      <c r="D350" s="2" t="s">
        <v>1413</v>
      </c>
      <c r="E350" s="2" t="s">
        <v>275</v>
      </c>
      <c r="F350" s="2" t="s">
        <v>1390</v>
      </c>
      <c r="G350" s="3" t="s">
        <v>45</v>
      </c>
      <c r="H350" s="2" t="s">
        <v>1233</v>
      </c>
      <c r="I350" s="2" t="s">
        <v>47</v>
      </c>
      <c r="J350" s="2" t="s">
        <v>48</v>
      </c>
      <c r="K350" s="2" t="s">
        <v>49</v>
      </c>
      <c r="L350" s="2" t="s">
        <v>49</v>
      </c>
      <c r="M350" s="2" t="s">
        <v>365</v>
      </c>
      <c r="N350" s="2" t="s">
        <v>49</v>
      </c>
      <c r="O350" s="2" t="s">
        <v>1379</v>
      </c>
    </row>
    <row r="351" spans="1:15" ht="38.25" x14ac:dyDescent="0.25">
      <c r="A351" s="2" t="s">
        <v>1414</v>
      </c>
      <c r="B351" s="2" t="s">
        <v>1181</v>
      </c>
      <c r="C351" s="2" t="s">
        <v>1388</v>
      </c>
      <c r="D351" s="2" t="s">
        <v>1415</v>
      </c>
      <c r="E351" s="2" t="s">
        <v>275</v>
      </c>
      <c r="F351" s="2" t="s">
        <v>1390</v>
      </c>
      <c r="G351" s="3" t="s">
        <v>45</v>
      </c>
      <c r="H351" s="2" t="s">
        <v>1233</v>
      </c>
      <c r="I351" s="2" t="s">
        <v>47</v>
      </c>
      <c r="J351" s="2" t="s">
        <v>48</v>
      </c>
      <c r="K351" s="2" t="s">
        <v>49</v>
      </c>
      <c r="L351" s="2" t="s">
        <v>49</v>
      </c>
      <c r="M351" s="2" t="s">
        <v>365</v>
      </c>
      <c r="N351" s="2" t="s">
        <v>49</v>
      </c>
      <c r="O351" s="2" t="s">
        <v>1379</v>
      </c>
    </row>
    <row r="352" spans="1:15" ht="63.75" x14ac:dyDescent="0.25">
      <c r="A352" s="2" t="s">
        <v>1416</v>
      </c>
      <c r="B352" s="2" t="s">
        <v>1181</v>
      </c>
      <c r="C352" s="2" t="s">
        <v>1388</v>
      </c>
      <c r="D352" s="2" t="s">
        <v>1417</v>
      </c>
      <c r="E352" s="2" t="s">
        <v>275</v>
      </c>
      <c r="F352" s="2" t="s">
        <v>1390</v>
      </c>
      <c r="G352" s="3" t="s">
        <v>21</v>
      </c>
      <c r="H352" s="2" t="s">
        <v>1418</v>
      </c>
      <c r="I352" s="2" t="s">
        <v>1376</v>
      </c>
      <c r="J352" s="2" t="s">
        <v>1377</v>
      </c>
      <c r="K352" s="2" t="s">
        <v>1378</v>
      </c>
      <c r="L352" s="2" t="s">
        <v>179</v>
      </c>
      <c r="M352" s="2" t="s">
        <v>1189</v>
      </c>
      <c r="N352" s="2" t="s">
        <v>28</v>
      </c>
      <c r="O352" s="2" t="s">
        <v>1379</v>
      </c>
    </row>
    <row r="353" spans="1:15" ht="38.25" x14ac:dyDescent="0.25">
      <c r="A353" s="2" t="s">
        <v>1419</v>
      </c>
      <c r="B353" s="2" t="s">
        <v>1181</v>
      </c>
      <c r="C353" s="2" t="s">
        <v>1388</v>
      </c>
      <c r="D353" s="2" t="s">
        <v>1420</v>
      </c>
      <c r="E353" s="2" t="s">
        <v>275</v>
      </c>
      <c r="F353" s="2" t="s">
        <v>1390</v>
      </c>
      <c r="G353" s="3" t="s">
        <v>45</v>
      </c>
      <c r="H353" s="2" t="s">
        <v>1233</v>
      </c>
      <c r="I353" s="2" t="s">
        <v>47</v>
      </c>
      <c r="J353" s="2" t="s">
        <v>48</v>
      </c>
      <c r="K353" s="2" t="s">
        <v>49</v>
      </c>
      <c r="L353" s="2" t="s">
        <v>49</v>
      </c>
      <c r="M353" s="2" t="s">
        <v>365</v>
      </c>
      <c r="N353" s="2" t="s">
        <v>49</v>
      </c>
      <c r="O353" s="2" t="s">
        <v>1379</v>
      </c>
    </row>
    <row r="354" spans="1:15" ht="51" x14ac:dyDescent="0.25">
      <c r="A354" s="2" t="s">
        <v>1421</v>
      </c>
      <c r="B354" s="2" t="s">
        <v>1181</v>
      </c>
      <c r="C354" s="2" t="s">
        <v>1388</v>
      </c>
      <c r="D354" s="2" t="s">
        <v>1422</v>
      </c>
      <c r="E354" s="2" t="s">
        <v>275</v>
      </c>
      <c r="F354" s="2" t="s">
        <v>1331</v>
      </c>
      <c r="G354" s="3" t="s">
        <v>45</v>
      </c>
      <c r="H354" s="2" t="s">
        <v>1332</v>
      </c>
      <c r="I354" s="2" t="s">
        <v>47</v>
      </c>
      <c r="J354" s="2" t="s">
        <v>48</v>
      </c>
      <c r="K354" s="2" t="s">
        <v>49</v>
      </c>
      <c r="L354" s="2" t="s">
        <v>49</v>
      </c>
      <c r="M354" s="2" t="s">
        <v>50</v>
      </c>
      <c r="N354" s="2" t="s">
        <v>49</v>
      </c>
      <c r="O354" s="2" t="s">
        <v>1379</v>
      </c>
    </row>
    <row r="355" spans="1:15" ht="51" x14ac:dyDescent="0.25">
      <c r="A355" s="2" t="s">
        <v>1423</v>
      </c>
      <c r="B355" s="2" t="s">
        <v>1181</v>
      </c>
      <c r="C355" s="2" t="s">
        <v>1388</v>
      </c>
      <c r="D355" s="2" t="s">
        <v>1424</v>
      </c>
      <c r="E355" s="2" t="s">
        <v>275</v>
      </c>
      <c r="F355" s="2" t="s">
        <v>1390</v>
      </c>
      <c r="G355" s="3" t="s">
        <v>21</v>
      </c>
      <c r="H355" s="2" t="s">
        <v>1425</v>
      </c>
      <c r="I355" s="2" t="s">
        <v>1376</v>
      </c>
      <c r="J355" s="2" t="s">
        <v>1377</v>
      </c>
      <c r="K355" s="2" t="s">
        <v>1378</v>
      </c>
      <c r="L355" s="2" t="s">
        <v>179</v>
      </c>
      <c r="M355" s="2" t="s">
        <v>1189</v>
      </c>
      <c r="N355" s="2" t="s">
        <v>28</v>
      </c>
      <c r="O355" s="2" t="s">
        <v>1379</v>
      </c>
    </row>
    <row r="356" spans="1:15" ht="51" x14ac:dyDescent="0.25">
      <c r="A356" s="2" t="s">
        <v>1426</v>
      </c>
      <c r="B356" s="2" t="s">
        <v>1181</v>
      </c>
      <c r="C356" s="2" t="s">
        <v>1388</v>
      </c>
      <c r="D356" s="2" t="s">
        <v>1427</v>
      </c>
      <c r="E356" s="2" t="s">
        <v>275</v>
      </c>
      <c r="F356" s="2" t="s">
        <v>1390</v>
      </c>
      <c r="G356" s="3" t="s">
        <v>45</v>
      </c>
      <c r="H356" s="2" t="s">
        <v>1233</v>
      </c>
      <c r="I356" s="2" t="s">
        <v>47</v>
      </c>
      <c r="J356" s="2" t="s">
        <v>48</v>
      </c>
      <c r="K356" s="2" t="s">
        <v>49</v>
      </c>
      <c r="L356" s="2" t="s">
        <v>49</v>
      </c>
      <c r="M356" s="2" t="s">
        <v>365</v>
      </c>
      <c r="N356" s="2" t="s">
        <v>49</v>
      </c>
      <c r="O356" s="2" t="s">
        <v>1379</v>
      </c>
    </row>
    <row r="357" spans="1:15" ht="51" x14ac:dyDescent="0.25">
      <c r="A357" s="2" t="s">
        <v>1428</v>
      </c>
      <c r="B357" s="2" t="s">
        <v>1181</v>
      </c>
      <c r="C357" s="2" t="s">
        <v>1388</v>
      </c>
      <c r="D357" s="2" t="s">
        <v>1429</v>
      </c>
      <c r="E357" s="2" t="s">
        <v>275</v>
      </c>
      <c r="F357" s="2" t="s">
        <v>1390</v>
      </c>
      <c r="G357" s="3" t="s">
        <v>45</v>
      </c>
      <c r="H357" s="2" t="s">
        <v>1233</v>
      </c>
      <c r="I357" s="2" t="s">
        <v>47</v>
      </c>
      <c r="J357" s="2" t="s">
        <v>48</v>
      </c>
      <c r="K357" s="2" t="s">
        <v>49</v>
      </c>
      <c r="L357" s="2" t="s">
        <v>49</v>
      </c>
      <c r="M357" s="2" t="s">
        <v>365</v>
      </c>
      <c r="N357" s="2" t="s">
        <v>49</v>
      </c>
      <c r="O357" s="2" t="s">
        <v>1379</v>
      </c>
    </row>
    <row r="358" spans="1:15" ht="63.75" x14ac:dyDescent="0.25">
      <c r="A358" s="2" t="s">
        <v>1430</v>
      </c>
      <c r="B358" s="2" t="s">
        <v>1181</v>
      </c>
      <c r="C358" s="2" t="s">
        <v>1388</v>
      </c>
      <c r="D358" s="2" t="s">
        <v>1431</v>
      </c>
      <c r="E358" s="2" t="s">
        <v>275</v>
      </c>
      <c r="F358" s="2" t="s">
        <v>1390</v>
      </c>
      <c r="G358" s="3" t="s">
        <v>45</v>
      </c>
      <c r="H358" s="2" t="s">
        <v>1233</v>
      </c>
      <c r="I358" s="2" t="s">
        <v>47</v>
      </c>
      <c r="J358" s="2" t="s">
        <v>48</v>
      </c>
      <c r="K358" s="2" t="s">
        <v>49</v>
      </c>
      <c r="L358" s="2" t="s">
        <v>49</v>
      </c>
      <c r="M358" s="2" t="s">
        <v>365</v>
      </c>
      <c r="N358" s="2" t="s">
        <v>49</v>
      </c>
      <c r="O358" s="2" t="s">
        <v>1379</v>
      </c>
    </row>
    <row r="359" spans="1:15" ht="38.25" x14ac:dyDescent="0.25">
      <c r="A359" s="2" t="s">
        <v>1432</v>
      </c>
      <c r="B359" s="2" t="s">
        <v>1181</v>
      </c>
      <c r="C359" s="2" t="s">
        <v>1388</v>
      </c>
      <c r="D359" s="2" t="s">
        <v>1433</v>
      </c>
      <c r="E359" s="2" t="s">
        <v>275</v>
      </c>
      <c r="F359" s="2" t="s">
        <v>1390</v>
      </c>
      <c r="G359" s="3" t="s">
        <v>45</v>
      </c>
      <c r="H359" s="2" t="s">
        <v>1233</v>
      </c>
      <c r="I359" s="2" t="s">
        <v>47</v>
      </c>
      <c r="J359" s="2" t="s">
        <v>48</v>
      </c>
      <c r="K359" s="2" t="s">
        <v>49</v>
      </c>
      <c r="L359" s="2" t="s">
        <v>49</v>
      </c>
      <c r="M359" s="2" t="s">
        <v>365</v>
      </c>
      <c r="N359" s="2" t="s">
        <v>49</v>
      </c>
      <c r="O359" s="2" t="s">
        <v>1379</v>
      </c>
    </row>
    <row r="360" spans="1:15" ht="38.25" x14ac:dyDescent="0.25">
      <c r="A360" s="2" t="s">
        <v>1434</v>
      </c>
      <c r="B360" s="2" t="s">
        <v>1181</v>
      </c>
      <c r="C360" s="2" t="s">
        <v>1435</v>
      </c>
      <c r="D360" s="2" t="s">
        <v>1436</v>
      </c>
      <c r="E360" s="2" t="s">
        <v>1437</v>
      </c>
      <c r="F360" s="2" t="s">
        <v>1374</v>
      </c>
      <c r="G360" s="3" t="s">
        <v>34</v>
      </c>
      <c r="H360" s="2" t="s">
        <v>1438</v>
      </c>
      <c r="I360" s="2" t="s">
        <v>1376</v>
      </c>
      <c r="J360" s="2" t="s">
        <v>1377</v>
      </c>
      <c r="K360" s="2" t="s">
        <v>1378</v>
      </c>
      <c r="L360" s="2" t="s">
        <v>179</v>
      </c>
      <c r="M360" s="2" t="s">
        <v>1189</v>
      </c>
      <c r="N360" s="2" t="s">
        <v>41</v>
      </c>
      <c r="O360" s="2" t="s">
        <v>1379</v>
      </c>
    </row>
    <row r="361" spans="1:15" ht="76.5" x14ac:dyDescent="0.25">
      <c r="A361" s="2" t="s">
        <v>1439</v>
      </c>
      <c r="B361" s="2" t="s">
        <v>1181</v>
      </c>
      <c r="C361" s="2" t="s">
        <v>1440</v>
      </c>
      <c r="D361" s="2" t="s">
        <v>1441</v>
      </c>
      <c r="E361" s="2" t="s">
        <v>1437</v>
      </c>
      <c r="F361" s="2" t="s">
        <v>1390</v>
      </c>
      <c r="G361" s="3" t="s">
        <v>34</v>
      </c>
      <c r="H361" s="2" t="s">
        <v>1442</v>
      </c>
      <c r="I361" s="2" t="s">
        <v>1376</v>
      </c>
      <c r="J361" s="2" t="s">
        <v>1377</v>
      </c>
      <c r="K361" s="2" t="s">
        <v>1378</v>
      </c>
      <c r="L361" s="2" t="s">
        <v>179</v>
      </c>
      <c r="M361" s="2" t="s">
        <v>1189</v>
      </c>
      <c r="N361" s="2" t="s">
        <v>41</v>
      </c>
      <c r="O361" s="2" t="s">
        <v>1379</v>
      </c>
    </row>
    <row r="362" spans="1:15" ht="63.75" x14ac:dyDescent="0.25">
      <c r="A362" s="2" t="s">
        <v>1443</v>
      </c>
      <c r="B362" s="2" t="s">
        <v>1181</v>
      </c>
      <c r="C362" s="2" t="s">
        <v>1440</v>
      </c>
      <c r="D362" s="2" t="s">
        <v>1444</v>
      </c>
      <c r="E362" s="2" t="s">
        <v>1437</v>
      </c>
      <c r="F362" s="2" t="s">
        <v>1390</v>
      </c>
      <c r="G362" s="3" t="s">
        <v>34</v>
      </c>
      <c r="H362" s="2" t="s">
        <v>1445</v>
      </c>
      <c r="I362" s="2" t="s">
        <v>1376</v>
      </c>
      <c r="J362" s="2" t="s">
        <v>1377</v>
      </c>
      <c r="K362" s="2" t="s">
        <v>1378</v>
      </c>
      <c r="L362" s="2" t="s">
        <v>179</v>
      </c>
      <c r="M362" s="2" t="s">
        <v>1189</v>
      </c>
      <c r="N362" s="2" t="s">
        <v>41</v>
      </c>
      <c r="O362" s="2" t="s">
        <v>1379</v>
      </c>
    </row>
    <row r="363" spans="1:15" ht="63.75" x14ac:dyDescent="0.25">
      <c r="A363" s="2" t="s">
        <v>1446</v>
      </c>
      <c r="B363" s="2" t="s">
        <v>1181</v>
      </c>
      <c r="C363" s="2" t="s">
        <v>1440</v>
      </c>
      <c r="D363" s="2" t="s">
        <v>1447</v>
      </c>
      <c r="E363" s="2" t="s">
        <v>1437</v>
      </c>
      <c r="F363" s="2" t="s">
        <v>1390</v>
      </c>
      <c r="G363" s="3" t="s">
        <v>93</v>
      </c>
      <c r="H363" s="2" t="s">
        <v>1448</v>
      </c>
      <c r="I363" s="2" t="s">
        <v>1376</v>
      </c>
      <c r="J363" s="2" t="s">
        <v>1377</v>
      </c>
      <c r="K363" s="2" t="s">
        <v>1378</v>
      </c>
      <c r="L363" s="2" t="s">
        <v>179</v>
      </c>
      <c r="M363" s="2" t="s">
        <v>1189</v>
      </c>
      <c r="N363" s="2" t="s">
        <v>28</v>
      </c>
      <c r="O363" s="2" t="s">
        <v>1379</v>
      </c>
    </row>
    <row r="364" spans="1:15" ht="63.75" x14ac:dyDescent="0.25">
      <c r="A364" s="2" t="s">
        <v>1449</v>
      </c>
      <c r="B364" s="2" t="s">
        <v>1181</v>
      </c>
      <c r="C364" s="2" t="s">
        <v>1440</v>
      </c>
      <c r="D364" s="2" t="s">
        <v>1450</v>
      </c>
      <c r="E364" s="2" t="s">
        <v>1437</v>
      </c>
      <c r="F364" s="2" t="s">
        <v>1331</v>
      </c>
      <c r="G364" s="3" t="s">
        <v>45</v>
      </c>
      <c r="H364" s="2" t="s">
        <v>1332</v>
      </c>
      <c r="I364" s="2" t="s">
        <v>47</v>
      </c>
      <c r="J364" s="2" t="s">
        <v>48</v>
      </c>
      <c r="K364" s="2" t="s">
        <v>49</v>
      </c>
      <c r="L364" s="2" t="s">
        <v>49</v>
      </c>
      <c r="M364" s="2" t="s">
        <v>50</v>
      </c>
      <c r="N364" s="2" t="s">
        <v>49</v>
      </c>
      <c r="O364" s="2" t="s">
        <v>1379</v>
      </c>
    </row>
    <row r="365" spans="1:15" ht="51" x14ac:dyDescent="0.25">
      <c r="A365" s="2" t="s">
        <v>1451</v>
      </c>
      <c r="B365" s="2" t="s">
        <v>1181</v>
      </c>
      <c r="C365" s="2" t="s">
        <v>1452</v>
      </c>
      <c r="D365" s="2" t="s">
        <v>1453</v>
      </c>
      <c r="E365" s="2" t="s">
        <v>898</v>
      </c>
      <c r="F365" s="2" t="s">
        <v>1331</v>
      </c>
      <c r="G365" s="3" t="s">
        <v>45</v>
      </c>
      <c r="H365" s="2" t="s">
        <v>1332</v>
      </c>
      <c r="I365" s="2" t="s">
        <v>47</v>
      </c>
      <c r="J365" s="2" t="s">
        <v>48</v>
      </c>
      <c r="K365" s="2" t="s">
        <v>49</v>
      </c>
      <c r="L365" s="2" t="s">
        <v>49</v>
      </c>
      <c r="M365" s="2" t="s">
        <v>50</v>
      </c>
      <c r="N365" s="2" t="s">
        <v>49</v>
      </c>
      <c r="O365" s="2" t="s">
        <v>1379</v>
      </c>
    </row>
    <row r="366" spans="1:15" ht="76.5" x14ac:dyDescent="0.25">
      <c r="A366" s="2" t="s">
        <v>1454</v>
      </c>
      <c r="B366" s="2" t="s">
        <v>1181</v>
      </c>
      <c r="C366" s="2" t="s">
        <v>1452</v>
      </c>
      <c r="D366" s="2" t="s">
        <v>1455</v>
      </c>
      <c r="E366" s="2" t="s">
        <v>898</v>
      </c>
      <c r="F366" s="2" t="s">
        <v>1390</v>
      </c>
      <c r="G366" s="3" t="s">
        <v>45</v>
      </c>
      <c r="H366" s="2" t="s">
        <v>1233</v>
      </c>
      <c r="I366" s="2" t="s">
        <v>47</v>
      </c>
      <c r="J366" s="2" t="s">
        <v>48</v>
      </c>
      <c r="K366" s="2" t="s">
        <v>49</v>
      </c>
      <c r="L366" s="2" t="s">
        <v>49</v>
      </c>
      <c r="M366" s="2" t="s">
        <v>365</v>
      </c>
      <c r="N366" s="2" t="s">
        <v>49</v>
      </c>
      <c r="O366" s="2" t="s">
        <v>1379</v>
      </c>
    </row>
    <row r="367" spans="1:15" ht="51" x14ac:dyDescent="0.25">
      <c r="A367" s="2" t="s">
        <v>1456</v>
      </c>
      <c r="B367" s="2" t="s">
        <v>1181</v>
      </c>
      <c r="C367" s="2" t="s">
        <v>1452</v>
      </c>
      <c r="D367" s="2" t="s">
        <v>1457</v>
      </c>
      <c r="E367" s="2" t="s">
        <v>898</v>
      </c>
      <c r="F367" s="2" t="s">
        <v>1390</v>
      </c>
      <c r="G367" s="3" t="s">
        <v>34</v>
      </c>
      <c r="H367" s="2" t="s">
        <v>1458</v>
      </c>
      <c r="I367" s="2" t="s">
        <v>1376</v>
      </c>
      <c r="J367" s="2" t="s">
        <v>1377</v>
      </c>
      <c r="K367" s="2" t="s">
        <v>1378</v>
      </c>
      <c r="L367" s="2" t="s">
        <v>179</v>
      </c>
      <c r="M367" s="2" t="s">
        <v>1189</v>
      </c>
      <c r="N367" s="2" t="s">
        <v>41</v>
      </c>
      <c r="O367" s="2" t="s">
        <v>1379</v>
      </c>
    </row>
    <row r="368" spans="1:15" ht="38.25" x14ac:dyDescent="0.25">
      <c r="A368" s="2" t="s">
        <v>1459</v>
      </c>
      <c r="B368" s="2" t="s">
        <v>1181</v>
      </c>
      <c r="C368" s="2" t="s">
        <v>1460</v>
      </c>
      <c r="D368" s="2" t="s">
        <v>1461</v>
      </c>
      <c r="E368" s="2" t="s">
        <v>275</v>
      </c>
      <c r="F368" s="2" t="s">
        <v>1331</v>
      </c>
      <c r="G368" s="3" t="s">
        <v>45</v>
      </c>
      <c r="H368" s="2" t="s">
        <v>1332</v>
      </c>
      <c r="I368" s="2" t="s">
        <v>47</v>
      </c>
      <c r="J368" s="2" t="s">
        <v>48</v>
      </c>
      <c r="K368" s="2" t="s">
        <v>49</v>
      </c>
      <c r="L368" s="2" t="s">
        <v>49</v>
      </c>
      <c r="M368" s="2" t="s">
        <v>50</v>
      </c>
      <c r="N368" s="2" t="s">
        <v>49</v>
      </c>
      <c r="O368" s="2"/>
    </row>
    <row r="369" spans="1:15" ht="38.25" x14ac:dyDescent="0.25">
      <c r="A369" s="2" t="s">
        <v>1462</v>
      </c>
      <c r="B369" s="2" t="s">
        <v>1181</v>
      </c>
      <c r="C369" s="2" t="s">
        <v>1460</v>
      </c>
      <c r="D369" s="2" t="s">
        <v>1463</v>
      </c>
      <c r="E369" s="2" t="s">
        <v>1253</v>
      </c>
      <c r="F369" s="2" t="s">
        <v>1331</v>
      </c>
      <c r="G369" s="3" t="s">
        <v>45</v>
      </c>
      <c r="H369" s="2" t="s">
        <v>1332</v>
      </c>
      <c r="I369" s="2" t="s">
        <v>47</v>
      </c>
      <c r="J369" s="2" t="s">
        <v>48</v>
      </c>
      <c r="K369" s="2" t="s">
        <v>49</v>
      </c>
      <c r="L369" s="2" t="s">
        <v>49</v>
      </c>
      <c r="M369" s="2" t="s">
        <v>50</v>
      </c>
      <c r="N369" s="2" t="s">
        <v>49</v>
      </c>
      <c r="O369" s="2"/>
    </row>
    <row r="370" spans="1:15" ht="51" x14ac:dyDescent="0.25">
      <c r="A370" s="2" t="s">
        <v>1464</v>
      </c>
      <c r="B370" s="2" t="s">
        <v>1181</v>
      </c>
      <c r="C370" s="2" t="s">
        <v>1460</v>
      </c>
      <c r="D370" s="2" t="s">
        <v>1465</v>
      </c>
      <c r="E370" s="2" t="s">
        <v>275</v>
      </c>
      <c r="F370" s="2" t="s">
        <v>1331</v>
      </c>
      <c r="G370" s="3" t="s">
        <v>45</v>
      </c>
      <c r="H370" s="2" t="s">
        <v>1332</v>
      </c>
      <c r="I370" s="2" t="s">
        <v>47</v>
      </c>
      <c r="J370" s="2" t="s">
        <v>48</v>
      </c>
      <c r="K370" s="2" t="s">
        <v>49</v>
      </c>
      <c r="L370" s="2" t="s">
        <v>49</v>
      </c>
      <c r="M370" s="2" t="s">
        <v>50</v>
      </c>
      <c r="N370" s="2" t="s">
        <v>49</v>
      </c>
      <c r="O370" s="2"/>
    </row>
    <row r="371" spans="1:15" ht="76.5" x14ac:dyDescent="0.25">
      <c r="A371" s="2" t="s">
        <v>1466</v>
      </c>
      <c r="B371" s="2" t="s">
        <v>1181</v>
      </c>
      <c r="C371" s="2" t="s">
        <v>1460</v>
      </c>
      <c r="D371" s="2" t="s">
        <v>1467</v>
      </c>
      <c r="E371" s="2" t="s">
        <v>275</v>
      </c>
      <c r="F371" s="2" t="s">
        <v>1331</v>
      </c>
      <c r="G371" s="3" t="s">
        <v>45</v>
      </c>
      <c r="H371" s="2" t="s">
        <v>1332</v>
      </c>
      <c r="I371" s="2" t="s">
        <v>47</v>
      </c>
      <c r="J371" s="2" t="s">
        <v>48</v>
      </c>
      <c r="K371" s="2" t="s">
        <v>49</v>
      </c>
      <c r="L371" s="2" t="s">
        <v>49</v>
      </c>
      <c r="M371" s="2" t="s">
        <v>50</v>
      </c>
      <c r="N371" s="2" t="s">
        <v>49</v>
      </c>
      <c r="O371" s="2"/>
    </row>
    <row r="372" spans="1:15" ht="38.25" x14ac:dyDescent="0.25">
      <c r="A372" s="2" t="s">
        <v>1468</v>
      </c>
      <c r="B372" s="2" t="s">
        <v>1181</v>
      </c>
      <c r="C372" s="2" t="s">
        <v>1460</v>
      </c>
      <c r="D372" s="2" t="s">
        <v>1469</v>
      </c>
      <c r="E372" s="2" t="s">
        <v>275</v>
      </c>
      <c r="F372" s="2" t="s">
        <v>1331</v>
      </c>
      <c r="G372" s="3" t="s">
        <v>45</v>
      </c>
      <c r="H372" s="2" t="s">
        <v>1332</v>
      </c>
      <c r="I372" s="2" t="s">
        <v>47</v>
      </c>
      <c r="J372" s="2" t="s">
        <v>48</v>
      </c>
      <c r="K372" s="2" t="s">
        <v>49</v>
      </c>
      <c r="L372" s="2" t="s">
        <v>49</v>
      </c>
      <c r="M372" s="2" t="s">
        <v>50</v>
      </c>
      <c r="N372" s="2" t="s">
        <v>49</v>
      </c>
      <c r="O372" s="2"/>
    </row>
    <row r="373" spans="1:15" ht="38.25" x14ac:dyDescent="0.25">
      <c r="A373" s="2" t="s">
        <v>1470</v>
      </c>
      <c r="B373" s="2" t="s">
        <v>1181</v>
      </c>
      <c r="C373" s="2" t="s">
        <v>1460</v>
      </c>
      <c r="D373" s="2" t="s">
        <v>1471</v>
      </c>
      <c r="E373" s="2" t="s">
        <v>1253</v>
      </c>
      <c r="F373" s="2" t="s">
        <v>1331</v>
      </c>
      <c r="G373" s="3" t="s">
        <v>45</v>
      </c>
      <c r="H373" s="2" t="s">
        <v>1332</v>
      </c>
      <c r="I373" s="2" t="s">
        <v>47</v>
      </c>
      <c r="J373" s="2" t="s">
        <v>48</v>
      </c>
      <c r="K373" s="2" t="s">
        <v>49</v>
      </c>
      <c r="L373" s="2" t="s">
        <v>49</v>
      </c>
      <c r="M373" s="2" t="s">
        <v>50</v>
      </c>
      <c r="N373" s="2" t="s">
        <v>49</v>
      </c>
      <c r="O373" s="2"/>
    </row>
    <row r="374" spans="1:15" ht="38.25" x14ac:dyDescent="0.25">
      <c r="A374" s="2" t="s">
        <v>1472</v>
      </c>
      <c r="B374" s="2" t="s">
        <v>1181</v>
      </c>
      <c r="C374" s="2" t="s">
        <v>1460</v>
      </c>
      <c r="D374" s="2" t="s">
        <v>1473</v>
      </c>
      <c r="E374" s="2" t="s">
        <v>275</v>
      </c>
      <c r="F374" s="2" t="s">
        <v>1331</v>
      </c>
      <c r="G374" s="3" t="s">
        <v>45</v>
      </c>
      <c r="H374" s="2" t="s">
        <v>1332</v>
      </c>
      <c r="I374" s="2" t="s">
        <v>47</v>
      </c>
      <c r="J374" s="2" t="s">
        <v>48</v>
      </c>
      <c r="K374" s="2" t="s">
        <v>49</v>
      </c>
      <c r="L374" s="2" t="s">
        <v>49</v>
      </c>
      <c r="M374" s="2" t="s">
        <v>50</v>
      </c>
      <c r="N374" s="2" t="s">
        <v>49</v>
      </c>
      <c r="O374" s="2"/>
    </row>
    <row r="375" spans="1:15" ht="38.25" x14ac:dyDescent="0.25">
      <c r="A375" s="2" t="s">
        <v>1474</v>
      </c>
      <c r="B375" s="2" t="s">
        <v>1181</v>
      </c>
      <c r="C375" s="2" t="s">
        <v>1460</v>
      </c>
      <c r="D375" s="2" t="s">
        <v>1475</v>
      </c>
      <c r="E375" s="2" t="s">
        <v>275</v>
      </c>
      <c r="F375" s="2" t="s">
        <v>1331</v>
      </c>
      <c r="G375" s="3" t="s">
        <v>45</v>
      </c>
      <c r="H375" s="2" t="s">
        <v>1332</v>
      </c>
      <c r="I375" s="2" t="s">
        <v>47</v>
      </c>
      <c r="J375" s="2" t="s">
        <v>48</v>
      </c>
      <c r="K375" s="2" t="s">
        <v>49</v>
      </c>
      <c r="L375" s="2" t="s">
        <v>49</v>
      </c>
      <c r="M375" s="2" t="s">
        <v>50</v>
      </c>
      <c r="N375" s="2" t="s">
        <v>49</v>
      </c>
      <c r="O375" s="2"/>
    </row>
    <row r="376" spans="1:15" ht="38.25" x14ac:dyDescent="0.25">
      <c r="A376" s="2" t="s">
        <v>1476</v>
      </c>
      <c r="B376" s="2" t="s">
        <v>1181</v>
      </c>
      <c r="C376" s="2" t="s">
        <v>1460</v>
      </c>
      <c r="D376" s="2" t="s">
        <v>1477</v>
      </c>
      <c r="E376" s="2" t="s">
        <v>275</v>
      </c>
      <c r="F376" s="2" t="s">
        <v>1331</v>
      </c>
      <c r="G376" s="3" t="s">
        <v>45</v>
      </c>
      <c r="H376" s="2" t="s">
        <v>1332</v>
      </c>
      <c r="I376" s="2" t="s">
        <v>47</v>
      </c>
      <c r="J376" s="2" t="s">
        <v>48</v>
      </c>
      <c r="K376" s="2" t="s">
        <v>49</v>
      </c>
      <c r="L376" s="2" t="s">
        <v>49</v>
      </c>
      <c r="M376" s="2" t="s">
        <v>50</v>
      </c>
      <c r="N376" s="2" t="s">
        <v>49</v>
      </c>
      <c r="O376" s="2"/>
    </row>
    <row r="377" spans="1:15" ht="38.25" x14ac:dyDescent="0.25">
      <c r="A377" s="2" t="s">
        <v>1478</v>
      </c>
      <c r="B377" s="2" t="s">
        <v>1181</v>
      </c>
      <c r="C377" s="2" t="s">
        <v>1460</v>
      </c>
      <c r="D377" s="2" t="s">
        <v>1479</v>
      </c>
      <c r="E377" s="2" t="s">
        <v>275</v>
      </c>
      <c r="F377" s="2" t="s">
        <v>1331</v>
      </c>
      <c r="G377" s="3" t="s">
        <v>45</v>
      </c>
      <c r="H377" s="2" t="s">
        <v>1332</v>
      </c>
      <c r="I377" s="2" t="s">
        <v>47</v>
      </c>
      <c r="J377" s="2" t="s">
        <v>48</v>
      </c>
      <c r="K377" s="2" t="s">
        <v>49</v>
      </c>
      <c r="L377" s="2" t="s">
        <v>49</v>
      </c>
      <c r="M377" s="2" t="s">
        <v>50</v>
      </c>
      <c r="N377" s="2" t="s">
        <v>49</v>
      </c>
      <c r="O377" s="2"/>
    </row>
    <row r="378" spans="1:15" ht="38.25" x14ac:dyDescent="0.25">
      <c r="A378" s="2" t="s">
        <v>1480</v>
      </c>
      <c r="B378" s="2" t="s">
        <v>1181</v>
      </c>
      <c r="C378" s="2" t="s">
        <v>1460</v>
      </c>
      <c r="D378" s="2" t="s">
        <v>1481</v>
      </c>
      <c r="E378" s="2" t="s">
        <v>275</v>
      </c>
      <c r="F378" s="2" t="s">
        <v>1331</v>
      </c>
      <c r="G378" s="3" t="s">
        <v>45</v>
      </c>
      <c r="H378" s="2" t="s">
        <v>1332</v>
      </c>
      <c r="I378" s="2" t="s">
        <v>47</v>
      </c>
      <c r="J378" s="2" t="s">
        <v>48</v>
      </c>
      <c r="K378" s="2" t="s">
        <v>49</v>
      </c>
      <c r="L378" s="2" t="s">
        <v>49</v>
      </c>
      <c r="M378" s="2" t="s">
        <v>50</v>
      </c>
      <c r="N378" s="2" t="s">
        <v>49</v>
      </c>
      <c r="O378" s="2"/>
    </row>
    <row r="379" spans="1:15" ht="38.25" x14ac:dyDescent="0.25">
      <c r="A379" s="2" t="s">
        <v>1482</v>
      </c>
      <c r="B379" s="2" t="s">
        <v>1181</v>
      </c>
      <c r="C379" s="2" t="s">
        <v>1460</v>
      </c>
      <c r="D379" s="2" t="s">
        <v>1483</v>
      </c>
      <c r="E379" s="2" t="s">
        <v>1271</v>
      </c>
      <c r="F379" s="2" t="s">
        <v>1331</v>
      </c>
      <c r="G379" s="3" t="s">
        <v>45</v>
      </c>
      <c r="H379" s="2" t="s">
        <v>1332</v>
      </c>
      <c r="I379" s="2" t="s">
        <v>47</v>
      </c>
      <c r="J379" s="2" t="s">
        <v>48</v>
      </c>
      <c r="K379" s="2" t="s">
        <v>49</v>
      </c>
      <c r="L379" s="2" t="s">
        <v>49</v>
      </c>
      <c r="M379" s="2" t="s">
        <v>50</v>
      </c>
      <c r="N379" s="2" t="s">
        <v>49</v>
      </c>
      <c r="O379" s="2"/>
    </row>
    <row r="380" spans="1:15" ht="25.5" x14ac:dyDescent="0.25">
      <c r="A380" s="2" t="s">
        <v>1484</v>
      </c>
      <c r="B380" s="2" t="s">
        <v>1181</v>
      </c>
      <c r="C380" s="2" t="s">
        <v>1485</v>
      </c>
      <c r="D380" s="2" t="s">
        <v>1486</v>
      </c>
      <c r="E380" s="2" t="s">
        <v>275</v>
      </c>
      <c r="F380" s="2" t="s">
        <v>1487</v>
      </c>
      <c r="G380" s="3" t="s">
        <v>21</v>
      </c>
      <c r="H380" s="2" t="s">
        <v>1488</v>
      </c>
      <c r="I380" s="2" t="s">
        <v>1340</v>
      </c>
      <c r="J380" s="2" t="s">
        <v>1341</v>
      </c>
      <c r="K380" s="2" t="s">
        <v>1342</v>
      </c>
      <c r="L380" s="2" t="s">
        <v>1343</v>
      </c>
      <c r="M380" s="2" t="s">
        <v>1344</v>
      </c>
      <c r="N380" s="2" t="s">
        <v>28</v>
      </c>
      <c r="O380" s="2"/>
    </row>
    <row r="381" spans="1:15" ht="25.5" x14ac:dyDescent="0.25">
      <c r="A381" s="2" t="s">
        <v>1489</v>
      </c>
      <c r="B381" s="2" t="s">
        <v>1181</v>
      </c>
      <c r="C381" s="2" t="s">
        <v>1485</v>
      </c>
      <c r="D381" s="2" t="s">
        <v>1490</v>
      </c>
      <c r="E381" s="2" t="s">
        <v>1253</v>
      </c>
      <c r="F381" s="2" t="s">
        <v>1487</v>
      </c>
      <c r="G381" s="3" t="s">
        <v>34</v>
      </c>
      <c r="H381" s="2" t="s">
        <v>1491</v>
      </c>
      <c r="I381" s="2" t="s">
        <v>1340</v>
      </c>
      <c r="J381" s="2" t="s">
        <v>1341</v>
      </c>
      <c r="K381" s="2" t="s">
        <v>1342</v>
      </c>
      <c r="L381" s="2" t="s">
        <v>1343</v>
      </c>
      <c r="M381" s="2" t="s">
        <v>1344</v>
      </c>
      <c r="N381" s="2" t="s">
        <v>41</v>
      </c>
      <c r="O381" s="2"/>
    </row>
    <row r="382" spans="1:15" ht="51" x14ac:dyDescent="0.25">
      <c r="A382" s="2" t="s">
        <v>1492</v>
      </c>
      <c r="B382" s="2" t="s">
        <v>1181</v>
      </c>
      <c r="C382" s="2" t="s">
        <v>1485</v>
      </c>
      <c r="D382" s="2" t="s">
        <v>1493</v>
      </c>
      <c r="E382" s="2" t="s">
        <v>898</v>
      </c>
      <c r="F382" s="2" t="s">
        <v>1487</v>
      </c>
      <c r="G382" s="3" t="s">
        <v>45</v>
      </c>
      <c r="H382" s="2" t="s">
        <v>1233</v>
      </c>
      <c r="I382" s="2" t="s">
        <v>47</v>
      </c>
      <c r="J382" s="2" t="s">
        <v>48</v>
      </c>
      <c r="K382" s="2" t="s">
        <v>49</v>
      </c>
      <c r="L382" s="2" t="s">
        <v>49</v>
      </c>
      <c r="M382" s="2" t="s">
        <v>365</v>
      </c>
      <c r="N382" s="2" t="s">
        <v>49</v>
      </c>
      <c r="O382" s="2"/>
    </row>
    <row r="383" spans="1:15" ht="51" x14ac:dyDescent="0.25">
      <c r="A383" s="2" t="s">
        <v>1494</v>
      </c>
      <c r="B383" s="2" t="s">
        <v>1181</v>
      </c>
      <c r="C383" s="2" t="s">
        <v>1485</v>
      </c>
      <c r="D383" s="2" t="s">
        <v>1495</v>
      </c>
      <c r="E383" s="2" t="s">
        <v>1496</v>
      </c>
      <c r="F383" s="2" t="s">
        <v>1487</v>
      </c>
      <c r="G383" s="3" t="s">
        <v>34</v>
      </c>
      <c r="H383" s="2" t="s">
        <v>1497</v>
      </c>
      <c r="I383" s="2" t="s">
        <v>1340</v>
      </c>
      <c r="J383" s="2" t="s">
        <v>1341</v>
      </c>
      <c r="K383" s="2" t="s">
        <v>1342</v>
      </c>
      <c r="L383" s="2" t="s">
        <v>1343</v>
      </c>
      <c r="M383" s="2" t="s">
        <v>1344</v>
      </c>
      <c r="N383" s="2" t="s">
        <v>41</v>
      </c>
      <c r="O383" s="2"/>
    </row>
    <row r="384" spans="1:15" ht="38.25" x14ac:dyDescent="0.25">
      <c r="A384" s="2" t="s">
        <v>1498</v>
      </c>
      <c r="B384" s="2" t="s">
        <v>1181</v>
      </c>
      <c r="C384" s="2" t="s">
        <v>1485</v>
      </c>
      <c r="D384" s="2" t="s">
        <v>1499</v>
      </c>
      <c r="E384" s="2" t="s">
        <v>1271</v>
      </c>
      <c r="F384" s="2" t="s">
        <v>1500</v>
      </c>
      <c r="G384" s="3" t="s">
        <v>34</v>
      </c>
      <c r="H384" s="2" t="s">
        <v>1501</v>
      </c>
      <c r="I384" s="2" t="s">
        <v>1340</v>
      </c>
      <c r="J384" s="2" t="s">
        <v>1341</v>
      </c>
      <c r="K384" s="2" t="s">
        <v>1342</v>
      </c>
      <c r="L384" s="2" t="s">
        <v>1343</v>
      </c>
      <c r="M384" s="2" t="s">
        <v>1344</v>
      </c>
      <c r="N384" s="2" t="s">
        <v>41</v>
      </c>
      <c r="O384" s="2"/>
    </row>
    <row r="385" spans="1:15" ht="38.25" x14ac:dyDescent="0.25">
      <c r="A385" s="2" t="s">
        <v>1502</v>
      </c>
      <c r="B385" s="2" t="s">
        <v>1181</v>
      </c>
      <c r="C385" s="2" t="s">
        <v>1503</v>
      </c>
      <c r="D385" s="2" t="s">
        <v>1504</v>
      </c>
      <c r="E385" s="2" t="s">
        <v>513</v>
      </c>
      <c r="F385" s="2" t="s">
        <v>1262</v>
      </c>
      <c r="G385" s="3" t="s">
        <v>45</v>
      </c>
      <c r="H385" s="2" t="s">
        <v>1233</v>
      </c>
      <c r="I385" s="2" t="s">
        <v>47</v>
      </c>
      <c r="J385" s="2" t="s">
        <v>48</v>
      </c>
      <c r="K385" s="2" t="s">
        <v>49</v>
      </c>
      <c r="L385" s="2" t="s">
        <v>49</v>
      </c>
      <c r="M385" s="2" t="s">
        <v>365</v>
      </c>
      <c r="N385" s="2" t="s">
        <v>49</v>
      </c>
      <c r="O385" s="2" t="s">
        <v>1505</v>
      </c>
    </row>
    <row r="386" spans="1:15" ht="38.25" x14ac:dyDescent="0.25">
      <c r="A386" s="2" t="s">
        <v>1506</v>
      </c>
      <c r="B386" s="2" t="s">
        <v>1181</v>
      </c>
      <c r="C386" s="2" t="s">
        <v>1507</v>
      </c>
      <c r="D386" s="2" t="s">
        <v>1508</v>
      </c>
      <c r="E386" s="2" t="s">
        <v>1509</v>
      </c>
      <c r="F386" s="2" t="s">
        <v>1262</v>
      </c>
      <c r="G386" s="3" t="s">
        <v>45</v>
      </c>
      <c r="H386" s="2" t="s">
        <v>1233</v>
      </c>
      <c r="I386" s="2" t="s">
        <v>47</v>
      </c>
      <c r="J386" s="2" t="s">
        <v>48</v>
      </c>
      <c r="K386" s="2" t="s">
        <v>49</v>
      </c>
      <c r="L386" s="2" t="s">
        <v>49</v>
      </c>
      <c r="M386" s="2" t="s">
        <v>365</v>
      </c>
      <c r="N386" s="2" t="s">
        <v>49</v>
      </c>
      <c r="O386" s="2" t="s">
        <v>1505</v>
      </c>
    </row>
    <row r="387" spans="1:15" ht="38.25" x14ac:dyDescent="0.25">
      <c r="A387" s="2" t="s">
        <v>1510</v>
      </c>
      <c r="B387" s="2" t="s">
        <v>1181</v>
      </c>
      <c r="C387" s="2" t="s">
        <v>1511</v>
      </c>
      <c r="D387" s="2" t="s">
        <v>1512</v>
      </c>
      <c r="E387" s="2" t="s">
        <v>513</v>
      </c>
      <c r="F387" s="2" t="s">
        <v>1285</v>
      </c>
      <c r="G387" s="3" t="s">
        <v>45</v>
      </c>
      <c r="H387" s="2" t="s">
        <v>515</v>
      </c>
      <c r="I387" s="2" t="s">
        <v>47</v>
      </c>
      <c r="J387" s="2" t="s">
        <v>48</v>
      </c>
      <c r="K387" s="2" t="s">
        <v>49</v>
      </c>
      <c r="L387" s="2" t="s">
        <v>49</v>
      </c>
      <c r="M387" s="2" t="s">
        <v>50</v>
      </c>
      <c r="N387" s="2" t="s">
        <v>49</v>
      </c>
      <c r="O387" s="2" t="s">
        <v>1505</v>
      </c>
    </row>
    <row r="388" spans="1:15" ht="38.25" x14ac:dyDescent="0.25">
      <c r="A388" s="2" t="s">
        <v>1513</v>
      </c>
      <c r="B388" s="2" t="s">
        <v>1181</v>
      </c>
      <c r="C388" s="2" t="s">
        <v>1511</v>
      </c>
      <c r="D388" s="2" t="s">
        <v>1514</v>
      </c>
      <c r="E388" s="2" t="s">
        <v>660</v>
      </c>
      <c r="F388" s="2" t="s">
        <v>1285</v>
      </c>
      <c r="G388" s="3" t="s">
        <v>45</v>
      </c>
      <c r="H388" s="2" t="s">
        <v>1233</v>
      </c>
      <c r="I388" s="2" t="s">
        <v>47</v>
      </c>
      <c r="J388" s="2" t="s">
        <v>48</v>
      </c>
      <c r="K388" s="2" t="s">
        <v>49</v>
      </c>
      <c r="L388" s="2" t="s">
        <v>49</v>
      </c>
      <c r="M388" s="2" t="s">
        <v>365</v>
      </c>
      <c r="N388" s="2" t="s">
        <v>49</v>
      </c>
      <c r="O388" s="2" t="s">
        <v>1505</v>
      </c>
    </row>
    <row r="389" spans="1:15" ht="38.25" x14ac:dyDescent="0.25">
      <c r="A389" s="2" t="s">
        <v>1515</v>
      </c>
      <c r="B389" s="2" t="s">
        <v>1181</v>
      </c>
      <c r="C389" s="2" t="s">
        <v>1516</v>
      </c>
      <c r="D389" s="2" t="s">
        <v>1517</v>
      </c>
      <c r="E389" s="2" t="s">
        <v>202</v>
      </c>
      <c r="F389" s="2" t="s">
        <v>1390</v>
      </c>
      <c r="G389" s="3" t="s">
        <v>45</v>
      </c>
      <c r="H389" s="2" t="s">
        <v>1233</v>
      </c>
      <c r="I389" s="2" t="s">
        <v>47</v>
      </c>
      <c r="J389" s="2" t="s">
        <v>48</v>
      </c>
      <c r="K389" s="2" t="s">
        <v>49</v>
      </c>
      <c r="L389" s="2" t="s">
        <v>49</v>
      </c>
      <c r="M389" s="2" t="s">
        <v>365</v>
      </c>
      <c r="N389" s="2" t="s">
        <v>49</v>
      </c>
      <c r="O389" s="2" t="s">
        <v>1505</v>
      </c>
    </row>
    <row r="390" spans="1:15" ht="38.25" x14ac:dyDescent="0.25">
      <c r="A390" s="2" t="s">
        <v>1518</v>
      </c>
      <c r="B390" s="2" t="s">
        <v>1181</v>
      </c>
      <c r="C390" s="2" t="s">
        <v>1516</v>
      </c>
      <c r="D390" s="2" t="s">
        <v>1519</v>
      </c>
      <c r="E390" s="2" t="s">
        <v>202</v>
      </c>
      <c r="F390" s="2" t="s">
        <v>1390</v>
      </c>
      <c r="G390" s="3" t="s">
        <v>45</v>
      </c>
      <c r="H390" s="2" t="s">
        <v>1233</v>
      </c>
      <c r="I390" s="2" t="s">
        <v>47</v>
      </c>
      <c r="J390" s="2" t="s">
        <v>48</v>
      </c>
      <c r="K390" s="2" t="s">
        <v>49</v>
      </c>
      <c r="L390" s="2" t="s">
        <v>49</v>
      </c>
      <c r="M390" s="2" t="s">
        <v>365</v>
      </c>
      <c r="N390" s="2" t="s">
        <v>49</v>
      </c>
      <c r="O390" s="2" t="s">
        <v>1505</v>
      </c>
    </row>
    <row r="391" spans="1:15" ht="38.25" x14ac:dyDescent="0.25">
      <c r="A391" s="2" t="s">
        <v>1520</v>
      </c>
      <c r="B391" s="2" t="s">
        <v>1181</v>
      </c>
      <c r="C391" s="2" t="s">
        <v>1521</v>
      </c>
      <c r="D391" s="2" t="s">
        <v>1522</v>
      </c>
      <c r="E391" s="2" t="s">
        <v>283</v>
      </c>
      <c r="F391" s="2" t="s">
        <v>1331</v>
      </c>
      <c r="G391" s="3" t="s">
        <v>45</v>
      </c>
      <c r="H391" s="2" t="s">
        <v>1332</v>
      </c>
      <c r="I391" s="2" t="s">
        <v>47</v>
      </c>
      <c r="J391" s="2" t="s">
        <v>48</v>
      </c>
      <c r="K391" s="2" t="s">
        <v>49</v>
      </c>
      <c r="L391" s="2" t="s">
        <v>49</v>
      </c>
      <c r="M391" s="2" t="s">
        <v>50</v>
      </c>
      <c r="N391" s="2" t="s">
        <v>49</v>
      </c>
      <c r="O391" s="2" t="s">
        <v>1505</v>
      </c>
    </row>
    <row r="392" spans="1:15" ht="38.25" x14ac:dyDescent="0.25">
      <c r="A392" s="2" t="s">
        <v>1523</v>
      </c>
      <c r="B392" s="2" t="s">
        <v>1181</v>
      </c>
      <c r="C392" s="2" t="s">
        <v>1521</v>
      </c>
      <c r="D392" s="2" t="s">
        <v>1524</v>
      </c>
      <c r="E392" s="2" t="s">
        <v>84</v>
      </c>
      <c r="F392" s="2" t="s">
        <v>1331</v>
      </c>
      <c r="G392" s="3" t="s">
        <v>45</v>
      </c>
      <c r="H392" s="2" t="s">
        <v>1258</v>
      </c>
      <c r="I392" s="2" t="s">
        <v>47</v>
      </c>
      <c r="J392" s="2" t="s">
        <v>48</v>
      </c>
      <c r="K392" s="2" t="s">
        <v>49</v>
      </c>
      <c r="L392" s="2" t="s">
        <v>49</v>
      </c>
      <c r="M392" s="2" t="s">
        <v>365</v>
      </c>
      <c r="N392" s="2" t="s">
        <v>49</v>
      </c>
      <c r="O392" s="2" t="s">
        <v>1505</v>
      </c>
    </row>
    <row r="393" spans="1:15" ht="38.25" x14ac:dyDescent="0.25">
      <c r="A393" s="2" t="s">
        <v>1525</v>
      </c>
      <c r="B393" s="2" t="s">
        <v>1181</v>
      </c>
      <c r="C393" s="2" t="s">
        <v>1521</v>
      </c>
      <c r="D393" s="2" t="s">
        <v>1526</v>
      </c>
      <c r="E393" s="2" t="s">
        <v>283</v>
      </c>
      <c r="F393" s="2" t="s">
        <v>1331</v>
      </c>
      <c r="G393" s="3" t="s">
        <v>45</v>
      </c>
      <c r="H393" s="2" t="s">
        <v>1258</v>
      </c>
      <c r="I393" s="2" t="s">
        <v>47</v>
      </c>
      <c r="J393" s="2" t="s">
        <v>48</v>
      </c>
      <c r="K393" s="2" t="s">
        <v>49</v>
      </c>
      <c r="L393" s="2" t="s">
        <v>49</v>
      </c>
      <c r="M393" s="2" t="s">
        <v>365</v>
      </c>
      <c r="N393" s="2" t="s">
        <v>49</v>
      </c>
      <c r="O393" s="2" t="s">
        <v>1505</v>
      </c>
    </row>
    <row r="394" spans="1:15" ht="51" x14ac:dyDescent="0.25">
      <c r="A394" s="2" t="s">
        <v>1527</v>
      </c>
      <c r="B394" s="2" t="s">
        <v>1181</v>
      </c>
      <c r="C394" s="2" t="s">
        <v>1528</v>
      </c>
      <c r="D394" s="2" t="s">
        <v>1529</v>
      </c>
      <c r="E394" s="2" t="s">
        <v>1530</v>
      </c>
      <c r="F394" s="2" t="s">
        <v>1192</v>
      </c>
      <c r="G394" s="3" t="s">
        <v>34</v>
      </c>
      <c r="H394" s="2" t="s">
        <v>1531</v>
      </c>
      <c r="I394" s="2" t="s">
        <v>1194</v>
      </c>
      <c r="J394" s="2" t="s">
        <v>1195</v>
      </c>
      <c r="K394" s="2" t="s">
        <v>1196</v>
      </c>
      <c r="L394" s="2" t="s">
        <v>179</v>
      </c>
      <c r="M394" s="2" t="s">
        <v>1197</v>
      </c>
      <c r="N394" s="2" t="s">
        <v>41</v>
      </c>
      <c r="O394" s="2" t="s">
        <v>1505</v>
      </c>
    </row>
    <row r="395" spans="1:15" ht="38.25" x14ac:dyDescent="0.25">
      <c r="A395" s="2" t="s">
        <v>1532</v>
      </c>
      <c r="B395" s="2" t="s">
        <v>1181</v>
      </c>
      <c r="C395" s="2" t="s">
        <v>1528</v>
      </c>
      <c r="D395" s="2" t="s">
        <v>1533</v>
      </c>
      <c r="E395" s="2" t="s">
        <v>1534</v>
      </c>
      <c r="F395" s="2" t="s">
        <v>1192</v>
      </c>
      <c r="G395" s="3" t="s">
        <v>93</v>
      </c>
      <c r="H395" s="2" t="s">
        <v>1535</v>
      </c>
      <c r="I395" s="2" t="s">
        <v>1194</v>
      </c>
      <c r="J395" s="2" t="s">
        <v>1195</v>
      </c>
      <c r="K395" s="2" t="s">
        <v>1196</v>
      </c>
      <c r="L395" s="2" t="s">
        <v>179</v>
      </c>
      <c r="M395" s="2" t="s">
        <v>1197</v>
      </c>
      <c r="N395" s="2" t="s">
        <v>28</v>
      </c>
      <c r="O395" s="2" t="s">
        <v>1505</v>
      </c>
    </row>
    <row r="396" spans="1:15" ht="38.25" x14ac:dyDescent="0.25">
      <c r="A396" s="2" t="s">
        <v>1536</v>
      </c>
      <c r="B396" s="2" t="s">
        <v>1181</v>
      </c>
      <c r="C396" s="2" t="s">
        <v>1537</v>
      </c>
      <c r="D396" s="2" t="s">
        <v>1538</v>
      </c>
      <c r="E396" s="2" t="s">
        <v>283</v>
      </c>
      <c r="F396" s="2" t="s">
        <v>1539</v>
      </c>
      <c r="G396" s="3" t="s">
        <v>34</v>
      </c>
      <c r="H396" s="2" t="s">
        <v>1540</v>
      </c>
      <c r="I396" s="2" t="s">
        <v>1541</v>
      </c>
      <c r="J396" s="2" t="s">
        <v>1542</v>
      </c>
      <c r="K396" s="2" t="s">
        <v>1543</v>
      </c>
      <c r="L396" s="2" t="s">
        <v>1544</v>
      </c>
      <c r="M396" s="2" t="s">
        <v>1545</v>
      </c>
      <c r="N396" s="2" t="s">
        <v>41</v>
      </c>
      <c r="O396" s="2" t="s">
        <v>1505</v>
      </c>
    </row>
    <row r="397" spans="1:15" ht="38.25" x14ac:dyDescent="0.25">
      <c r="A397" s="2" t="s">
        <v>1546</v>
      </c>
      <c r="B397" s="2" t="s">
        <v>1181</v>
      </c>
      <c r="C397" s="2" t="s">
        <v>1547</v>
      </c>
      <c r="D397" s="2" t="s">
        <v>1548</v>
      </c>
      <c r="E397" s="2" t="s">
        <v>639</v>
      </c>
      <c r="F397" s="2" t="s">
        <v>1321</v>
      </c>
      <c r="G397" s="3" t="s">
        <v>21</v>
      </c>
      <c r="H397" s="2" t="s">
        <v>1549</v>
      </c>
      <c r="I397" s="2" t="s">
        <v>1264</v>
      </c>
      <c r="J397" s="2" t="s">
        <v>1265</v>
      </c>
      <c r="K397" s="2" t="s">
        <v>1266</v>
      </c>
      <c r="L397" s="2" t="s">
        <v>179</v>
      </c>
      <c r="M397" s="2" t="s">
        <v>1189</v>
      </c>
      <c r="N397" s="2" t="s">
        <v>28</v>
      </c>
      <c r="O397" s="2" t="s">
        <v>1505</v>
      </c>
    </row>
    <row r="398" spans="1:15" ht="38.25" x14ac:dyDescent="0.25">
      <c r="A398" s="2" t="s">
        <v>1550</v>
      </c>
      <c r="B398" s="2" t="s">
        <v>1181</v>
      </c>
      <c r="C398" s="2" t="s">
        <v>1551</v>
      </c>
      <c r="D398" s="2" t="s">
        <v>1552</v>
      </c>
      <c r="E398" s="2" t="s">
        <v>1553</v>
      </c>
      <c r="F398" s="2" t="s">
        <v>1336</v>
      </c>
      <c r="G398" s="3" t="s">
        <v>45</v>
      </c>
      <c r="H398" s="2" t="s">
        <v>1233</v>
      </c>
      <c r="I398" s="2" t="s">
        <v>47</v>
      </c>
      <c r="J398" s="2" t="s">
        <v>48</v>
      </c>
      <c r="K398" s="2" t="s">
        <v>49</v>
      </c>
      <c r="L398" s="2" t="s">
        <v>49</v>
      </c>
      <c r="M398" s="2" t="s">
        <v>365</v>
      </c>
      <c r="N398" s="2" t="s">
        <v>49</v>
      </c>
      <c r="O398" s="2" t="s">
        <v>1505</v>
      </c>
    </row>
    <row r="399" spans="1:15" ht="38.25" x14ac:dyDescent="0.25">
      <c r="A399" s="2" t="s">
        <v>1554</v>
      </c>
      <c r="B399" s="2" t="s">
        <v>1181</v>
      </c>
      <c r="C399" s="2" t="s">
        <v>1551</v>
      </c>
      <c r="D399" s="2" t="s">
        <v>1555</v>
      </c>
      <c r="E399" s="2" t="s">
        <v>330</v>
      </c>
      <c r="F399" s="2" t="s">
        <v>1336</v>
      </c>
      <c r="G399" s="3" t="s">
        <v>45</v>
      </c>
      <c r="H399" s="2" t="s">
        <v>1233</v>
      </c>
      <c r="I399" s="2" t="s">
        <v>47</v>
      </c>
      <c r="J399" s="2" t="s">
        <v>48</v>
      </c>
      <c r="K399" s="2" t="s">
        <v>49</v>
      </c>
      <c r="L399" s="2" t="s">
        <v>49</v>
      </c>
      <c r="M399" s="2" t="s">
        <v>365</v>
      </c>
      <c r="N399" s="2" t="s">
        <v>49</v>
      </c>
      <c r="O399" s="2" t="s">
        <v>1505</v>
      </c>
    </row>
    <row r="400" spans="1:15" ht="38.25" x14ac:dyDescent="0.25">
      <c r="A400" s="2" t="s">
        <v>1556</v>
      </c>
      <c r="B400" s="2" t="s">
        <v>1181</v>
      </c>
      <c r="C400" s="2" t="s">
        <v>1551</v>
      </c>
      <c r="D400" s="2" t="s">
        <v>1557</v>
      </c>
      <c r="E400" s="2" t="s">
        <v>135</v>
      </c>
      <c r="F400" s="2" t="s">
        <v>1336</v>
      </c>
      <c r="G400" s="3" t="s">
        <v>45</v>
      </c>
      <c r="H400" s="2" t="s">
        <v>1233</v>
      </c>
      <c r="I400" s="2" t="s">
        <v>47</v>
      </c>
      <c r="J400" s="2" t="s">
        <v>48</v>
      </c>
      <c r="K400" s="2" t="s">
        <v>49</v>
      </c>
      <c r="L400" s="2" t="s">
        <v>49</v>
      </c>
      <c r="M400" s="2" t="s">
        <v>365</v>
      </c>
      <c r="N400" s="2" t="s">
        <v>49</v>
      </c>
      <c r="O400" s="2" t="s">
        <v>1505</v>
      </c>
    </row>
    <row r="401" spans="1:15" ht="38.25" x14ac:dyDescent="0.25">
      <c r="A401" s="2" t="s">
        <v>1558</v>
      </c>
      <c r="B401" s="2" t="s">
        <v>1181</v>
      </c>
      <c r="C401" s="2" t="s">
        <v>1551</v>
      </c>
      <c r="D401" s="2" t="s">
        <v>1559</v>
      </c>
      <c r="E401" s="2" t="s">
        <v>135</v>
      </c>
      <c r="F401" s="2" t="s">
        <v>1336</v>
      </c>
      <c r="G401" s="3" t="s">
        <v>45</v>
      </c>
      <c r="H401" s="2" t="s">
        <v>1233</v>
      </c>
      <c r="I401" s="2" t="s">
        <v>47</v>
      </c>
      <c r="J401" s="2" t="s">
        <v>48</v>
      </c>
      <c r="K401" s="2" t="s">
        <v>49</v>
      </c>
      <c r="L401" s="2" t="s">
        <v>49</v>
      </c>
      <c r="M401" s="2" t="s">
        <v>365</v>
      </c>
      <c r="N401" s="2" t="s">
        <v>49</v>
      </c>
      <c r="O401" s="2" t="s">
        <v>1505</v>
      </c>
    </row>
    <row r="402" spans="1:15" ht="38.25" x14ac:dyDescent="0.25">
      <c r="A402" s="2" t="s">
        <v>1560</v>
      </c>
      <c r="B402" s="2" t="s">
        <v>1181</v>
      </c>
      <c r="C402" s="2" t="s">
        <v>1561</v>
      </c>
      <c r="D402" s="2" t="s">
        <v>1562</v>
      </c>
      <c r="E402" s="2" t="s">
        <v>1563</v>
      </c>
      <c r="F402" s="2" t="s">
        <v>1314</v>
      </c>
      <c r="G402" s="3" t="s">
        <v>45</v>
      </c>
      <c r="H402" s="2" t="s">
        <v>1233</v>
      </c>
      <c r="I402" s="2" t="s">
        <v>47</v>
      </c>
      <c r="J402" s="2" t="s">
        <v>48</v>
      </c>
      <c r="K402" s="2" t="s">
        <v>49</v>
      </c>
      <c r="L402" s="2" t="s">
        <v>49</v>
      </c>
      <c r="M402" s="2" t="s">
        <v>365</v>
      </c>
      <c r="N402" s="2" t="s">
        <v>49</v>
      </c>
      <c r="O402" s="2" t="s">
        <v>1505</v>
      </c>
    </row>
    <row r="403" spans="1:15" ht="38.25" x14ac:dyDescent="0.25">
      <c r="A403" s="2" t="s">
        <v>1564</v>
      </c>
      <c r="B403" s="2" t="s">
        <v>1181</v>
      </c>
      <c r="C403" s="2" t="s">
        <v>1565</v>
      </c>
      <c r="D403" s="2" t="s">
        <v>1566</v>
      </c>
      <c r="E403" s="2" t="s">
        <v>1567</v>
      </c>
      <c r="F403" s="2" t="s">
        <v>1314</v>
      </c>
      <c r="G403" s="3" t="s">
        <v>45</v>
      </c>
      <c r="H403" s="2" t="s">
        <v>1233</v>
      </c>
      <c r="I403" s="2" t="s">
        <v>47</v>
      </c>
      <c r="J403" s="2" t="s">
        <v>48</v>
      </c>
      <c r="K403" s="2" t="s">
        <v>49</v>
      </c>
      <c r="L403" s="2" t="s">
        <v>49</v>
      </c>
      <c r="M403" s="2" t="s">
        <v>365</v>
      </c>
      <c r="N403" s="2" t="s">
        <v>49</v>
      </c>
      <c r="O403" s="2" t="s">
        <v>1505</v>
      </c>
    </row>
    <row r="404" spans="1:15" ht="38.25" x14ac:dyDescent="0.25">
      <c r="A404" s="2" t="s">
        <v>1568</v>
      </c>
      <c r="B404" s="2" t="s">
        <v>1181</v>
      </c>
      <c r="C404" s="2" t="s">
        <v>1565</v>
      </c>
      <c r="D404" s="2" t="s">
        <v>1569</v>
      </c>
      <c r="E404" s="2" t="s">
        <v>1570</v>
      </c>
      <c r="F404" s="2" t="s">
        <v>1314</v>
      </c>
      <c r="G404" s="3" t="s">
        <v>45</v>
      </c>
      <c r="H404" s="2" t="s">
        <v>1233</v>
      </c>
      <c r="I404" s="2" t="s">
        <v>47</v>
      </c>
      <c r="J404" s="2" t="s">
        <v>48</v>
      </c>
      <c r="K404" s="2" t="s">
        <v>49</v>
      </c>
      <c r="L404" s="2" t="s">
        <v>49</v>
      </c>
      <c r="M404" s="2" t="s">
        <v>365</v>
      </c>
      <c r="N404" s="2" t="s">
        <v>49</v>
      </c>
      <c r="O404" s="2" t="s">
        <v>1505</v>
      </c>
    </row>
    <row r="405" spans="1:15" ht="38.25" x14ac:dyDescent="0.25">
      <c r="A405" s="2" t="s">
        <v>1571</v>
      </c>
      <c r="B405" s="2" t="s">
        <v>1181</v>
      </c>
      <c r="C405" s="2" t="s">
        <v>1565</v>
      </c>
      <c r="D405" s="2" t="s">
        <v>1572</v>
      </c>
      <c r="E405" s="2" t="s">
        <v>1573</v>
      </c>
      <c r="F405" s="2" t="s">
        <v>1314</v>
      </c>
      <c r="G405" s="3" t="s">
        <v>45</v>
      </c>
      <c r="H405" s="2" t="s">
        <v>1233</v>
      </c>
      <c r="I405" s="2" t="s">
        <v>47</v>
      </c>
      <c r="J405" s="2" t="s">
        <v>48</v>
      </c>
      <c r="K405" s="2" t="s">
        <v>49</v>
      </c>
      <c r="L405" s="2" t="s">
        <v>49</v>
      </c>
      <c r="M405" s="2" t="s">
        <v>365</v>
      </c>
      <c r="N405" s="2" t="s">
        <v>49</v>
      </c>
      <c r="O405" s="2" t="s">
        <v>1505</v>
      </c>
    </row>
    <row r="406" spans="1:15" ht="38.25" x14ac:dyDescent="0.25">
      <c r="A406" s="2" t="s">
        <v>1574</v>
      </c>
      <c r="B406" s="2" t="s">
        <v>1181</v>
      </c>
      <c r="C406" s="2" t="s">
        <v>1575</v>
      </c>
      <c r="D406" s="2" t="s">
        <v>1576</v>
      </c>
      <c r="E406" s="2" t="s">
        <v>1567</v>
      </c>
      <c r="F406" s="2" t="s">
        <v>1314</v>
      </c>
      <c r="G406" s="3" t="s">
        <v>45</v>
      </c>
      <c r="H406" s="2" t="s">
        <v>1233</v>
      </c>
      <c r="I406" s="2" t="s">
        <v>47</v>
      </c>
      <c r="J406" s="2" t="s">
        <v>48</v>
      </c>
      <c r="K406" s="2" t="s">
        <v>49</v>
      </c>
      <c r="L406" s="2" t="s">
        <v>49</v>
      </c>
      <c r="M406" s="2" t="s">
        <v>365</v>
      </c>
      <c r="N406" s="2" t="s">
        <v>49</v>
      </c>
      <c r="O406" s="2" t="s">
        <v>1505</v>
      </c>
    </row>
    <row r="407" spans="1:15" ht="38.25" x14ac:dyDescent="0.25">
      <c r="A407" s="2" t="s">
        <v>1577</v>
      </c>
      <c r="B407" s="2" t="s">
        <v>1181</v>
      </c>
      <c r="C407" s="2" t="s">
        <v>1575</v>
      </c>
      <c r="D407" s="2" t="s">
        <v>1569</v>
      </c>
      <c r="E407" s="2" t="s">
        <v>1570</v>
      </c>
      <c r="F407" s="2" t="s">
        <v>1314</v>
      </c>
      <c r="G407" s="3" t="s">
        <v>45</v>
      </c>
      <c r="H407" s="2" t="s">
        <v>1233</v>
      </c>
      <c r="I407" s="2" t="s">
        <v>47</v>
      </c>
      <c r="J407" s="2" t="s">
        <v>48</v>
      </c>
      <c r="K407" s="2" t="s">
        <v>49</v>
      </c>
      <c r="L407" s="2" t="s">
        <v>49</v>
      </c>
      <c r="M407" s="2" t="s">
        <v>365</v>
      </c>
      <c r="N407" s="2" t="s">
        <v>49</v>
      </c>
      <c r="O407" s="2" t="s">
        <v>1505</v>
      </c>
    </row>
    <row r="408" spans="1:15" ht="38.25" x14ac:dyDescent="0.25">
      <c r="A408" s="2" t="s">
        <v>1578</v>
      </c>
      <c r="B408" s="2" t="s">
        <v>1181</v>
      </c>
      <c r="C408" s="2" t="s">
        <v>1579</v>
      </c>
      <c r="D408" s="2" t="s">
        <v>1580</v>
      </c>
      <c r="E408" s="2" t="s">
        <v>1570</v>
      </c>
      <c r="F408" s="2" t="s">
        <v>1581</v>
      </c>
      <c r="G408" s="3" t="s">
        <v>45</v>
      </c>
      <c r="H408" s="2" t="s">
        <v>1582</v>
      </c>
      <c r="I408" s="2" t="s">
        <v>47</v>
      </c>
      <c r="J408" s="2" t="s">
        <v>48</v>
      </c>
      <c r="K408" s="2" t="s">
        <v>49</v>
      </c>
      <c r="L408" s="2" t="s">
        <v>49</v>
      </c>
      <c r="M408" s="2" t="s">
        <v>394</v>
      </c>
      <c r="N408" s="2" t="s">
        <v>49</v>
      </c>
      <c r="O408" s="2" t="s">
        <v>1505</v>
      </c>
    </row>
    <row r="409" spans="1:15" ht="38.25" x14ac:dyDescent="0.25">
      <c r="A409" s="2" t="s">
        <v>1583</v>
      </c>
      <c r="B409" s="2" t="s">
        <v>1181</v>
      </c>
      <c r="C409" s="2" t="s">
        <v>1584</v>
      </c>
      <c r="D409" s="2" t="s">
        <v>1585</v>
      </c>
      <c r="E409" s="2" t="s">
        <v>135</v>
      </c>
      <c r="F409" s="2" t="s">
        <v>1586</v>
      </c>
      <c r="G409" s="3" t="s">
        <v>21</v>
      </c>
      <c r="H409" s="2" t="s">
        <v>1587</v>
      </c>
      <c r="I409" s="2" t="s">
        <v>1541</v>
      </c>
      <c r="J409" s="2" t="s">
        <v>1542</v>
      </c>
      <c r="K409" s="2" t="s">
        <v>1543</v>
      </c>
      <c r="L409" s="2" t="s">
        <v>1544</v>
      </c>
      <c r="M409" s="2" t="s">
        <v>1545</v>
      </c>
      <c r="N409" s="2" t="s">
        <v>28</v>
      </c>
      <c r="O409" s="2" t="s">
        <v>1505</v>
      </c>
    </row>
    <row r="410" spans="1:15" ht="38.25" x14ac:dyDescent="0.25">
      <c r="A410" s="2" t="s">
        <v>1588</v>
      </c>
      <c r="B410" s="2" t="s">
        <v>1181</v>
      </c>
      <c r="C410" s="2" t="s">
        <v>1584</v>
      </c>
      <c r="D410" s="2" t="s">
        <v>1589</v>
      </c>
      <c r="E410" s="2" t="s">
        <v>202</v>
      </c>
      <c r="F410" s="2" t="s">
        <v>1262</v>
      </c>
      <c r="G410" s="3" t="s">
        <v>45</v>
      </c>
      <c r="H410" s="2" t="s">
        <v>1233</v>
      </c>
      <c r="I410" s="2" t="s">
        <v>47</v>
      </c>
      <c r="J410" s="2" t="s">
        <v>48</v>
      </c>
      <c r="K410" s="2" t="s">
        <v>49</v>
      </c>
      <c r="L410" s="2" t="s">
        <v>49</v>
      </c>
      <c r="M410" s="2" t="s">
        <v>365</v>
      </c>
      <c r="N410" s="2" t="s">
        <v>49</v>
      </c>
      <c r="O410" s="2" t="s">
        <v>1505</v>
      </c>
    </row>
    <row r="411" spans="1:15" ht="38.25" x14ac:dyDescent="0.25">
      <c r="A411" s="2" t="s">
        <v>1590</v>
      </c>
      <c r="B411" s="2" t="s">
        <v>1181</v>
      </c>
      <c r="C411" s="2" t="s">
        <v>1584</v>
      </c>
      <c r="D411" s="2" t="s">
        <v>1591</v>
      </c>
      <c r="E411" s="2" t="s">
        <v>202</v>
      </c>
      <c r="F411" s="2" t="s">
        <v>1262</v>
      </c>
      <c r="G411" s="3" t="s">
        <v>45</v>
      </c>
      <c r="H411" s="2" t="s">
        <v>1233</v>
      </c>
      <c r="I411" s="2" t="s">
        <v>47</v>
      </c>
      <c r="J411" s="2" t="s">
        <v>48</v>
      </c>
      <c r="K411" s="2" t="s">
        <v>49</v>
      </c>
      <c r="L411" s="2" t="s">
        <v>49</v>
      </c>
      <c r="M411" s="2" t="s">
        <v>365</v>
      </c>
      <c r="N411" s="2" t="s">
        <v>49</v>
      </c>
      <c r="O411" s="2" t="s">
        <v>1505</v>
      </c>
    </row>
    <row r="412" spans="1:15" ht="51" x14ac:dyDescent="0.25">
      <c r="A412" s="2" t="s">
        <v>1592</v>
      </c>
      <c r="B412" s="2" t="s">
        <v>1593</v>
      </c>
      <c r="C412" s="2" t="s">
        <v>1182</v>
      </c>
      <c r="D412" s="2" t="s">
        <v>1594</v>
      </c>
      <c r="E412" s="2" t="s">
        <v>124</v>
      </c>
      <c r="F412" s="2" t="s">
        <v>1211</v>
      </c>
      <c r="G412" s="3" t="s">
        <v>93</v>
      </c>
      <c r="H412" s="2" t="s">
        <v>1595</v>
      </c>
      <c r="I412" s="2" t="s">
        <v>1213</v>
      </c>
      <c r="J412" s="2" t="s">
        <v>1214</v>
      </c>
      <c r="K412" s="2" t="s">
        <v>1215</v>
      </c>
      <c r="L412" s="2" t="s">
        <v>179</v>
      </c>
      <c r="M412" s="2" t="s">
        <v>1216</v>
      </c>
      <c r="N412" s="2" t="s">
        <v>28</v>
      </c>
      <c r="O412" s="2"/>
    </row>
    <row r="413" spans="1:15" ht="25.5" x14ac:dyDescent="0.25">
      <c r="A413" s="2" t="s">
        <v>1596</v>
      </c>
      <c r="B413" s="2" t="s">
        <v>1593</v>
      </c>
      <c r="C413" s="2" t="s">
        <v>1182</v>
      </c>
      <c r="D413" s="2" t="s">
        <v>1597</v>
      </c>
      <c r="E413" s="2" t="s">
        <v>283</v>
      </c>
      <c r="F413" s="2" t="s">
        <v>1598</v>
      </c>
      <c r="G413" s="3" t="s">
        <v>21</v>
      </c>
      <c r="H413" s="2" t="s">
        <v>1599</v>
      </c>
      <c r="I413" s="2" t="s">
        <v>1600</v>
      </c>
      <c r="J413" s="2" t="s">
        <v>1601</v>
      </c>
      <c r="K413" s="2" t="s">
        <v>1602</v>
      </c>
      <c r="L413" s="2" t="s">
        <v>1603</v>
      </c>
      <c r="M413" s="2" t="s">
        <v>1604</v>
      </c>
      <c r="N413" s="2" t="s">
        <v>28</v>
      </c>
      <c r="O413" s="2"/>
    </row>
    <row r="414" spans="1:15" ht="38.25" x14ac:dyDescent="0.25">
      <c r="A414" s="2" t="s">
        <v>1605</v>
      </c>
      <c r="B414" s="2" t="s">
        <v>1593</v>
      </c>
      <c r="C414" s="2" t="s">
        <v>1182</v>
      </c>
      <c r="D414" s="2" t="s">
        <v>1606</v>
      </c>
      <c r="E414" s="2" t="s">
        <v>660</v>
      </c>
      <c r="F414" s="2" t="s">
        <v>1598</v>
      </c>
      <c r="G414" s="3" t="s">
        <v>21</v>
      </c>
      <c r="H414" s="2" t="s">
        <v>1607</v>
      </c>
      <c r="I414" s="2" t="s">
        <v>1600</v>
      </c>
      <c r="J414" s="2" t="s">
        <v>1608</v>
      </c>
      <c r="K414" s="2" t="s">
        <v>1602</v>
      </c>
      <c r="L414" s="2" t="s">
        <v>1603</v>
      </c>
      <c r="M414" s="2" t="s">
        <v>1604</v>
      </c>
      <c r="N414" s="2" t="s">
        <v>28</v>
      </c>
      <c r="O414" s="2"/>
    </row>
    <row r="415" spans="1:15" ht="51" x14ac:dyDescent="0.25">
      <c r="A415" s="2" t="s">
        <v>1609</v>
      </c>
      <c r="B415" s="2" t="s">
        <v>1593</v>
      </c>
      <c r="C415" s="2" t="s">
        <v>1182</v>
      </c>
      <c r="D415" s="2" t="s">
        <v>1610</v>
      </c>
      <c r="E415" s="2" t="s">
        <v>283</v>
      </c>
      <c r="F415" s="2" t="s">
        <v>1611</v>
      </c>
      <c r="G415" s="3" t="s">
        <v>93</v>
      </c>
      <c r="H415" s="2" t="s">
        <v>1612</v>
      </c>
      <c r="I415" s="2" t="s">
        <v>1600</v>
      </c>
      <c r="J415" s="2" t="s">
        <v>1613</v>
      </c>
      <c r="K415" s="2" t="s">
        <v>1602</v>
      </c>
      <c r="L415" s="2" t="s">
        <v>1603</v>
      </c>
      <c r="M415" s="2" t="s">
        <v>1604</v>
      </c>
      <c r="N415" s="2" t="s">
        <v>28</v>
      </c>
      <c r="O415" s="2"/>
    </row>
    <row r="416" spans="1:15" ht="38.25" x14ac:dyDescent="0.25">
      <c r="A416" s="2" t="s">
        <v>1614</v>
      </c>
      <c r="B416" s="2" t="s">
        <v>1593</v>
      </c>
      <c r="C416" s="2" t="s">
        <v>1182</v>
      </c>
      <c r="D416" s="2" t="s">
        <v>1615</v>
      </c>
      <c r="E416" s="2" t="s">
        <v>283</v>
      </c>
      <c r="F416" s="2" t="s">
        <v>1598</v>
      </c>
      <c r="G416" s="3" t="s">
        <v>21</v>
      </c>
      <c r="H416" s="2" t="s">
        <v>1616</v>
      </c>
      <c r="I416" s="2" t="s">
        <v>1600</v>
      </c>
      <c r="J416" s="2" t="s">
        <v>1617</v>
      </c>
      <c r="K416" s="2" t="s">
        <v>1602</v>
      </c>
      <c r="L416" s="2" t="s">
        <v>1603</v>
      </c>
      <c r="M416" s="2" t="s">
        <v>1604</v>
      </c>
      <c r="N416" s="2" t="s">
        <v>28</v>
      </c>
      <c r="O416" s="2"/>
    </row>
    <row r="417" spans="1:15" ht="25.5" x14ac:dyDescent="0.25">
      <c r="A417" s="2" t="s">
        <v>1618</v>
      </c>
      <c r="B417" s="2" t="s">
        <v>1593</v>
      </c>
      <c r="C417" s="2" t="s">
        <v>1182</v>
      </c>
      <c r="D417" s="2" t="s">
        <v>1619</v>
      </c>
      <c r="E417" s="2" t="s">
        <v>283</v>
      </c>
      <c r="F417" s="2" t="s">
        <v>1598</v>
      </c>
      <c r="G417" s="3" t="s">
        <v>34</v>
      </c>
      <c r="H417" s="2" t="s">
        <v>1620</v>
      </c>
      <c r="I417" s="2" t="s">
        <v>1600</v>
      </c>
      <c r="J417" s="2" t="s">
        <v>1621</v>
      </c>
      <c r="K417" s="2" t="s">
        <v>1602</v>
      </c>
      <c r="L417" s="2" t="s">
        <v>1603</v>
      </c>
      <c r="M417" s="2" t="s">
        <v>1604</v>
      </c>
      <c r="N417" s="2" t="s">
        <v>41</v>
      </c>
      <c r="O417" s="2"/>
    </row>
    <row r="418" spans="1:15" ht="38.25" x14ac:dyDescent="0.25">
      <c r="A418" s="2" t="s">
        <v>1622</v>
      </c>
      <c r="B418" s="2" t="s">
        <v>1593</v>
      </c>
      <c r="C418" s="2" t="s">
        <v>1182</v>
      </c>
      <c r="D418" s="2" t="s">
        <v>1623</v>
      </c>
      <c r="E418" s="2" t="s">
        <v>1624</v>
      </c>
      <c r="F418" s="2" t="s">
        <v>1611</v>
      </c>
      <c r="G418" s="3" t="s">
        <v>93</v>
      </c>
      <c r="H418" s="2" t="s">
        <v>1625</v>
      </c>
      <c r="I418" s="2" t="s">
        <v>1626</v>
      </c>
      <c r="J418" s="2" t="s">
        <v>1627</v>
      </c>
      <c r="K418" s="2" t="s">
        <v>1628</v>
      </c>
      <c r="L418" s="2" t="s">
        <v>1629</v>
      </c>
      <c r="M418" s="2" t="s">
        <v>1630</v>
      </c>
      <c r="N418" s="2" t="s">
        <v>28</v>
      </c>
      <c r="O418" s="2"/>
    </row>
    <row r="419" spans="1:15" ht="38.25" x14ac:dyDescent="0.25">
      <c r="A419" s="2" t="s">
        <v>1631</v>
      </c>
      <c r="B419" s="2" t="s">
        <v>1593</v>
      </c>
      <c r="C419" s="2" t="s">
        <v>1632</v>
      </c>
      <c r="D419" s="2" t="s">
        <v>1633</v>
      </c>
      <c r="E419" s="2" t="s">
        <v>1634</v>
      </c>
      <c r="F419" s="2" t="s">
        <v>1635</v>
      </c>
      <c r="G419" s="3" t="s">
        <v>93</v>
      </c>
      <c r="H419" s="2" t="s">
        <v>1636</v>
      </c>
      <c r="I419" s="2" t="s">
        <v>1637</v>
      </c>
      <c r="J419" s="2" t="s">
        <v>1638</v>
      </c>
      <c r="K419" s="2" t="s">
        <v>1639</v>
      </c>
      <c r="L419" s="2" t="s">
        <v>179</v>
      </c>
      <c r="M419" s="2" t="s">
        <v>1640</v>
      </c>
      <c r="N419" s="2" t="s">
        <v>28</v>
      </c>
      <c r="O419" s="2"/>
    </row>
    <row r="420" spans="1:15" ht="63.75" x14ac:dyDescent="0.25">
      <c r="A420" s="2" t="s">
        <v>1641</v>
      </c>
      <c r="B420" s="2" t="s">
        <v>1593</v>
      </c>
      <c r="C420" s="2" t="s">
        <v>1642</v>
      </c>
      <c r="D420" s="2" t="s">
        <v>1643</v>
      </c>
      <c r="E420" s="2" t="s">
        <v>275</v>
      </c>
      <c r="F420" s="2" t="s">
        <v>1644</v>
      </c>
      <c r="G420" s="3" t="s">
        <v>67</v>
      </c>
      <c r="H420" s="2" t="s">
        <v>1645</v>
      </c>
      <c r="I420" s="2" t="s">
        <v>1646</v>
      </c>
      <c r="J420" s="2" t="s">
        <v>1647</v>
      </c>
      <c r="K420" s="2" t="s">
        <v>1648</v>
      </c>
      <c r="L420" s="2" t="s">
        <v>266</v>
      </c>
      <c r="M420" s="2" t="s">
        <v>1649</v>
      </c>
      <c r="N420" s="2" t="s">
        <v>41</v>
      </c>
      <c r="O420" s="2" t="s">
        <v>1650</v>
      </c>
    </row>
    <row r="421" spans="1:15" ht="51" x14ac:dyDescent="0.25">
      <c r="A421" s="2" t="s">
        <v>1651</v>
      </c>
      <c r="B421" s="2" t="s">
        <v>1593</v>
      </c>
      <c r="C421" s="2" t="s">
        <v>1642</v>
      </c>
      <c r="D421" s="2" t="s">
        <v>1652</v>
      </c>
      <c r="E421" s="2" t="s">
        <v>275</v>
      </c>
      <c r="F421" s="2" t="s">
        <v>1644</v>
      </c>
      <c r="G421" s="3" t="s">
        <v>93</v>
      </c>
      <c r="H421" s="2" t="s">
        <v>1653</v>
      </c>
      <c r="I421" s="2" t="s">
        <v>1646</v>
      </c>
      <c r="J421" s="2" t="s">
        <v>1654</v>
      </c>
      <c r="K421" s="2" t="s">
        <v>1648</v>
      </c>
      <c r="L421" s="2" t="s">
        <v>266</v>
      </c>
      <c r="M421" s="2" t="s">
        <v>1649</v>
      </c>
      <c r="N421" s="2" t="s">
        <v>41</v>
      </c>
      <c r="O421" s="2" t="s">
        <v>1650</v>
      </c>
    </row>
    <row r="422" spans="1:15" ht="51" x14ac:dyDescent="0.25">
      <c r="A422" s="2" t="s">
        <v>1655</v>
      </c>
      <c r="B422" s="2" t="s">
        <v>1593</v>
      </c>
      <c r="C422" s="2" t="s">
        <v>1642</v>
      </c>
      <c r="D422" s="2" t="s">
        <v>1656</v>
      </c>
      <c r="E422" s="2" t="s">
        <v>275</v>
      </c>
      <c r="F422" s="2" t="s">
        <v>1644</v>
      </c>
      <c r="G422" s="3" t="s">
        <v>21</v>
      </c>
      <c r="H422" s="2" t="s">
        <v>1657</v>
      </c>
      <c r="I422" s="2" t="s">
        <v>1646</v>
      </c>
      <c r="J422" s="2" t="s">
        <v>1658</v>
      </c>
      <c r="K422" s="2" t="s">
        <v>1648</v>
      </c>
      <c r="L422" s="2" t="s">
        <v>266</v>
      </c>
      <c r="M422" s="2" t="s">
        <v>1649</v>
      </c>
      <c r="N422" s="2" t="s">
        <v>28</v>
      </c>
      <c r="O422" s="2" t="s">
        <v>1650</v>
      </c>
    </row>
    <row r="423" spans="1:15" ht="51" x14ac:dyDescent="0.25">
      <c r="A423" s="2" t="s">
        <v>1659</v>
      </c>
      <c r="B423" s="2" t="s">
        <v>1593</v>
      </c>
      <c r="C423" s="2" t="s">
        <v>1642</v>
      </c>
      <c r="D423" s="2" t="s">
        <v>1660</v>
      </c>
      <c r="E423" s="2" t="s">
        <v>1271</v>
      </c>
      <c r="F423" s="2" t="s">
        <v>1644</v>
      </c>
      <c r="G423" s="3" t="s">
        <v>34</v>
      </c>
      <c r="H423" s="2" t="s">
        <v>1661</v>
      </c>
      <c r="I423" s="2" t="s">
        <v>1646</v>
      </c>
      <c r="J423" s="2" t="s">
        <v>1662</v>
      </c>
      <c r="K423" s="2" t="s">
        <v>1648</v>
      </c>
      <c r="L423" s="2" t="s">
        <v>266</v>
      </c>
      <c r="M423" s="2" t="s">
        <v>1649</v>
      </c>
      <c r="N423" s="2" t="s">
        <v>41</v>
      </c>
      <c r="O423" s="2" t="s">
        <v>1650</v>
      </c>
    </row>
    <row r="424" spans="1:15" ht="38.25" x14ac:dyDescent="0.25">
      <c r="A424" s="2" t="s">
        <v>1663</v>
      </c>
      <c r="B424" s="2" t="s">
        <v>1593</v>
      </c>
      <c r="C424" s="2" t="s">
        <v>1664</v>
      </c>
      <c r="D424" s="2" t="s">
        <v>1665</v>
      </c>
      <c r="E424" s="2" t="s">
        <v>1271</v>
      </c>
      <c r="F424" s="2" t="s">
        <v>1666</v>
      </c>
      <c r="G424" s="3" t="s">
        <v>34</v>
      </c>
      <c r="H424" s="2" t="s">
        <v>1667</v>
      </c>
      <c r="I424" s="2" t="s">
        <v>1668</v>
      </c>
      <c r="J424" s="2" t="s">
        <v>1669</v>
      </c>
      <c r="K424" s="2" t="s">
        <v>1670</v>
      </c>
      <c r="L424" s="2" t="s">
        <v>1671</v>
      </c>
      <c r="M424" s="2" t="s">
        <v>1672</v>
      </c>
      <c r="N424" s="2" t="s">
        <v>41</v>
      </c>
      <c r="O424" s="2" t="s">
        <v>1673</v>
      </c>
    </row>
    <row r="425" spans="1:15" ht="38.25" x14ac:dyDescent="0.25">
      <c r="A425" s="2" t="s">
        <v>1674</v>
      </c>
      <c r="B425" s="2" t="s">
        <v>1593</v>
      </c>
      <c r="C425" s="2" t="s">
        <v>1664</v>
      </c>
      <c r="D425" s="2" t="s">
        <v>1675</v>
      </c>
      <c r="E425" s="2" t="s">
        <v>1253</v>
      </c>
      <c r="F425" s="2" t="s">
        <v>1666</v>
      </c>
      <c r="G425" s="3" t="s">
        <v>21</v>
      </c>
      <c r="H425" s="2" t="s">
        <v>1676</v>
      </c>
      <c r="I425" s="2" t="s">
        <v>1668</v>
      </c>
      <c r="J425" s="2" t="s">
        <v>1677</v>
      </c>
      <c r="K425" s="2" t="s">
        <v>1670</v>
      </c>
      <c r="L425" s="2" t="s">
        <v>1671</v>
      </c>
      <c r="M425" s="2" t="s">
        <v>1672</v>
      </c>
      <c r="N425" s="2" t="s">
        <v>28</v>
      </c>
      <c r="O425" s="2" t="s">
        <v>1673</v>
      </c>
    </row>
    <row r="426" spans="1:15" ht="25.5" x14ac:dyDescent="0.25">
      <c r="A426" s="2" t="s">
        <v>1678</v>
      </c>
      <c r="B426" s="2" t="s">
        <v>1593</v>
      </c>
      <c r="C426" s="2" t="s">
        <v>1664</v>
      </c>
      <c r="D426" s="2" t="s">
        <v>1679</v>
      </c>
      <c r="E426" s="2" t="s">
        <v>275</v>
      </c>
      <c r="F426" s="2" t="s">
        <v>1666</v>
      </c>
      <c r="G426" s="3" t="s">
        <v>21</v>
      </c>
      <c r="H426" s="2" t="s">
        <v>1680</v>
      </c>
      <c r="I426" s="2" t="s">
        <v>1668</v>
      </c>
      <c r="J426" s="2" t="s">
        <v>1681</v>
      </c>
      <c r="K426" s="2" t="s">
        <v>1670</v>
      </c>
      <c r="L426" s="2" t="s">
        <v>1671</v>
      </c>
      <c r="M426" s="2" t="s">
        <v>1672</v>
      </c>
      <c r="N426" s="2" t="s">
        <v>28</v>
      </c>
      <c r="O426" s="2" t="s">
        <v>1673</v>
      </c>
    </row>
    <row r="427" spans="1:15" ht="38.25" x14ac:dyDescent="0.25">
      <c r="A427" s="2" t="s">
        <v>1682</v>
      </c>
      <c r="B427" s="2" t="s">
        <v>1593</v>
      </c>
      <c r="C427" s="2" t="s">
        <v>1664</v>
      </c>
      <c r="D427" s="2" t="s">
        <v>1683</v>
      </c>
      <c r="E427" s="2" t="s">
        <v>1327</v>
      </c>
      <c r="F427" s="2" t="s">
        <v>1666</v>
      </c>
      <c r="G427" s="3" t="s">
        <v>21</v>
      </c>
      <c r="H427" s="2" t="s">
        <v>1684</v>
      </c>
      <c r="I427" s="2" t="s">
        <v>1668</v>
      </c>
      <c r="J427" s="2" t="s">
        <v>1685</v>
      </c>
      <c r="K427" s="2" t="s">
        <v>1670</v>
      </c>
      <c r="L427" s="2" t="s">
        <v>1671</v>
      </c>
      <c r="M427" s="2" t="s">
        <v>1672</v>
      </c>
      <c r="N427" s="2" t="s">
        <v>28</v>
      </c>
      <c r="O427" s="2" t="s">
        <v>1673</v>
      </c>
    </row>
    <row r="428" spans="1:15" ht="25.5" x14ac:dyDescent="0.25">
      <c r="A428" s="2" t="s">
        <v>1686</v>
      </c>
      <c r="B428" s="2" t="s">
        <v>1593</v>
      </c>
      <c r="C428" s="2" t="s">
        <v>1687</v>
      </c>
      <c r="D428" s="2" t="s">
        <v>1688</v>
      </c>
      <c r="E428" s="2" t="s">
        <v>275</v>
      </c>
      <c r="F428" s="2" t="s">
        <v>1689</v>
      </c>
      <c r="G428" s="3" t="s">
        <v>21</v>
      </c>
      <c r="H428" s="2" t="s">
        <v>1690</v>
      </c>
      <c r="I428" s="2" t="s">
        <v>1691</v>
      </c>
      <c r="J428" s="2" t="s">
        <v>1692</v>
      </c>
      <c r="K428" s="2" t="s">
        <v>1693</v>
      </c>
      <c r="L428" s="2" t="s">
        <v>179</v>
      </c>
      <c r="M428" s="2" t="s">
        <v>1694</v>
      </c>
      <c r="N428" s="2" t="s">
        <v>28</v>
      </c>
      <c r="O428" s="2"/>
    </row>
    <row r="429" spans="1:15" ht="38.25" x14ac:dyDescent="0.25">
      <c r="A429" s="2" t="s">
        <v>1695</v>
      </c>
      <c r="B429" s="2" t="s">
        <v>1593</v>
      </c>
      <c r="C429" s="2" t="s">
        <v>1687</v>
      </c>
      <c r="D429" s="2" t="s">
        <v>1696</v>
      </c>
      <c r="E429" s="2" t="s">
        <v>275</v>
      </c>
      <c r="F429" s="2" t="s">
        <v>1697</v>
      </c>
      <c r="G429" s="3" t="s">
        <v>93</v>
      </c>
      <c r="H429" s="2" t="s">
        <v>1698</v>
      </c>
      <c r="I429" s="2" t="s">
        <v>1691</v>
      </c>
      <c r="J429" s="2" t="s">
        <v>1692</v>
      </c>
      <c r="K429" s="2" t="s">
        <v>1693</v>
      </c>
      <c r="L429" s="2" t="s">
        <v>179</v>
      </c>
      <c r="M429" s="2" t="s">
        <v>1694</v>
      </c>
      <c r="N429" s="2" t="s">
        <v>28</v>
      </c>
      <c r="O429" s="2"/>
    </row>
    <row r="430" spans="1:15" ht="51" x14ac:dyDescent="0.25">
      <c r="A430" s="2" t="s">
        <v>1699</v>
      </c>
      <c r="B430" s="2" t="s">
        <v>1593</v>
      </c>
      <c r="C430" s="2" t="s">
        <v>1687</v>
      </c>
      <c r="D430" s="2" t="s">
        <v>1700</v>
      </c>
      <c r="E430" s="2" t="s">
        <v>1701</v>
      </c>
      <c r="F430" s="2" t="s">
        <v>1689</v>
      </c>
      <c r="G430" s="3" t="s">
        <v>34</v>
      </c>
      <c r="H430" s="2" t="s">
        <v>1702</v>
      </c>
      <c r="I430" s="2" t="s">
        <v>1691</v>
      </c>
      <c r="J430" s="2" t="s">
        <v>1692</v>
      </c>
      <c r="K430" s="2" t="s">
        <v>1693</v>
      </c>
      <c r="L430" s="2" t="s">
        <v>179</v>
      </c>
      <c r="M430" s="2" t="s">
        <v>1694</v>
      </c>
      <c r="N430" s="2" t="s">
        <v>41</v>
      </c>
      <c r="O430" s="2"/>
    </row>
    <row r="431" spans="1:15" ht="38.25" x14ac:dyDescent="0.25">
      <c r="A431" s="2" t="s">
        <v>1703</v>
      </c>
      <c r="B431" s="2" t="s">
        <v>1593</v>
      </c>
      <c r="C431" s="2" t="s">
        <v>1704</v>
      </c>
      <c r="D431" s="2" t="s">
        <v>1705</v>
      </c>
      <c r="E431" s="2" t="s">
        <v>283</v>
      </c>
      <c r="F431" s="2" t="s">
        <v>1706</v>
      </c>
      <c r="G431" s="3" t="s">
        <v>21</v>
      </c>
      <c r="H431" s="2" t="s">
        <v>1707</v>
      </c>
      <c r="I431" s="2" t="s">
        <v>1626</v>
      </c>
      <c r="J431" s="2" t="s">
        <v>1708</v>
      </c>
      <c r="K431" s="2" t="s">
        <v>1628</v>
      </c>
      <c r="L431" s="2" t="s">
        <v>1629</v>
      </c>
      <c r="M431" s="2" t="s">
        <v>1630</v>
      </c>
      <c r="N431" s="2" t="s">
        <v>28</v>
      </c>
      <c r="O431" s="2"/>
    </row>
    <row r="432" spans="1:15" ht="38.25" x14ac:dyDescent="0.25">
      <c r="A432" s="2" t="s">
        <v>1709</v>
      </c>
      <c r="B432" s="2" t="s">
        <v>1593</v>
      </c>
      <c r="C432" s="2" t="s">
        <v>1704</v>
      </c>
      <c r="D432" s="2" t="s">
        <v>1710</v>
      </c>
      <c r="E432" s="2" t="s">
        <v>275</v>
      </c>
      <c r="F432" s="2" t="s">
        <v>1706</v>
      </c>
      <c r="G432" s="3" t="s">
        <v>93</v>
      </c>
      <c r="H432" s="2" t="s">
        <v>1711</v>
      </c>
      <c r="I432" s="2" t="s">
        <v>1626</v>
      </c>
      <c r="J432" s="2" t="s">
        <v>1712</v>
      </c>
      <c r="K432" s="2" t="s">
        <v>1628</v>
      </c>
      <c r="L432" s="2" t="s">
        <v>1629</v>
      </c>
      <c r="M432" s="2" t="s">
        <v>1630</v>
      </c>
      <c r="N432" s="2" t="s">
        <v>28</v>
      </c>
      <c r="O432" s="2"/>
    </row>
    <row r="433" spans="1:15" ht="51" x14ac:dyDescent="0.25">
      <c r="A433" s="2" t="s">
        <v>1713</v>
      </c>
      <c r="B433" s="2" t="s">
        <v>1593</v>
      </c>
      <c r="C433" s="2" t="s">
        <v>1714</v>
      </c>
      <c r="D433" s="2" t="s">
        <v>1715</v>
      </c>
      <c r="E433" s="2" t="s">
        <v>275</v>
      </c>
      <c r="F433" s="2" t="s">
        <v>1706</v>
      </c>
      <c r="G433" s="3" t="s">
        <v>93</v>
      </c>
      <c r="H433" s="2" t="s">
        <v>1716</v>
      </c>
      <c r="I433" s="2" t="s">
        <v>1626</v>
      </c>
      <c r="J433" s="2" t="s">
        <v>1717</v>
      </c>
      <c r="K433" s="2" t="s">
        <v>1628</v>
      </c>
      <c r="L433" s="2" t="s">
        <v>1629</v>
      </c>
      <c r="M433" s="2" t="s">
        <v>1630</v>
      </c>
      <c r="N433" s="2" t="s">
        <v>28</v>
      </c>
      <c r="O433" s="2"/>
    </row>
    <row r="434" spans="1:15" ht="38.25" x14ac:dyDescent="0.25">
      <c r="A434" s="2" t="s">
        <v>1718</v>
      </c>
      <c r="B434" s="2" t="s">
        <v>1593</v>
      </c>
      <c r="C434" s="2" t="s">
        <v>1714</v>
      </c>
      <c r="D434" s="2" t="s">
        <v>1719</v>
      </c>
      <c r="E434" s="2" t="s">
        <v>275</v>
      </c>
      <c r="F434" s="2" t="s">
        <v>1706</v>
      </c>
      <c r="G434" s="3" t="s">
        <v>21</v>
      </c>
      <c r="H434" s="2" t="s">
        <v>1720</v>
      </c>
      <c r="I434" s="2" t="s">
        <v>1626</v>
      </c>
      <c r="J434" s="2" t="s">
        <v>1721</v>
      </c>
      <c r="K434" s="2" t="s">
        <v>1628</v>
      </c>
      <c r="L434" s="2" t="s">
        <v>1629</v>
      </c>
      <c r="M434" s="2" t="s">
        <v>1630</v>
      </c>
      <c r="N434" s="2" t="s">
        <v>28</v>
      </c>
      <c r="O434" s="2"/>
    </row>
    <row r="435" spans="1:15" ht="51" x14ac:dyDescent="0.25">
      <c r="A435" s="2" t="s">
        <v>1722</v>
      </c>
      <c r="B435" s="2" t="s">
        <v>1593</v>
      </c>
      <c r="C435" s="2" t="s">
        <v>1714</v>
      </c>
      <c r="D435" s="2" t="s">
        <v>1723</v>
      </c>
      <c r="E435" s="2" t="s">
        <v>275</v>
      </c>
      <c r="F435" s="2" t="s">
        <v>1706</v>
      </c>
      <c r="G435" s="3" t="s">
        <v>21</v>
      </c>
      <c r="H435" s="2" t="s">
        <v>1724</v>
      </c>
      <c r="I435" s="2" t="s">
        <v>1626</v>
      </c>
      <c r="J435" s="2" t="s">
        <v>1725</v>
      </c>
      <c r="K435" s="2" t="s">
        <v>1628</v>
      </c>
      <c r="L435" s="2" t="s">
        <v>1629</v>
      </c>
      <c r="M435" s="2" t="s">
        <v>1630</v>
      </c>
      <c r="N435" s="2" t="s">
        <v>28</v>
      </c>
      <c r="O435" s="2" t="s">
        <v>1726</v>
      </c>
    </row>
    <row r="436" spans="1:15" ht="38.25" x14ac:dyDescent="0.25">
      <c r="A436" s="2" t="s">
        <v>1727</v>
      </c>
      <c r="B436" s="2" t="s">
        <v>1593</v>
      </c>
      <c r="C436" s="2" t="s">
        <v>1728</v>
      </c>
      <c r="D436" s="2" t="s">
        <v>1729</v>
      </c>
      <c r="E436" s="2" t="s">
        <v>275</v>
      </c>
      <c r="F436" s="2" t="s">
        <v>1730</v>
      </c>
      <c r="G436" s="3" t="s">
        <v>93</v>
      </c>
      <c r="H436" s="2" t="s">
        <v>1731</v>
      </c>
      <c r="I436" s="2" t="s">
        <v>1626</v>
      </c>
      <c r="J436" s="2" t="s">
        <v>1732</v>
      </c>
      <c r="K436" s="2" t="s">
        <v>1628</v>
      </c>
      <c r="L436" s="2" t="s">
        <v>1629</v>
      </c>
      <c r="M436" s="2" t="s">
        <v>1630</v>
      </c>
      <c r="N436" s="2" t="s">
        <v>28</v>
      </c>
      <c r="O436" s="2"/>
    </row>
    <row r="437" spans="1:15" ht="25.5" x14ac:dyDescent="0.25">
      <c r="A437" s="2" t="s">
        <v>1733</v>
      </c>
      <c r="B437" s="2" t="s">
        <v>1593</v>
      </c>
      <c r="C437" s="2" t="s">
        <v>1734</v>
      </c>
      <c r="D437" s="2" t="s">
        <v>1735</v>
      </c>
      <c r="E437" s="2" t="s">
        <v>275</v>
      </c>
      <c r="F437" s="2" t="s">
        <v>1730</v>
      </c>
      <c r="G437" s="3" t="s">
        <v>21</v>
      </c>
      <c r="H437" s="2" t="s">
        <v>1736</v>
      </c>
      <c r="I437" s="2" t="s">
        <v>1626</v>
      </c>
      <c r="J437" s="2" t="s">
        <v>1737</v>
      </c>
      <c r="K437" s="2" t="s">
        <v>1628</v>
      </c>
      <c r="L437" s="2" t="s">
        <v>1629</v>
      </c>
      <c r="M437" s="2" t="s">
        <v>1630</v>
      </c>
      <c r="N437" s="2" t="s">
        <v>28</v>
      </c>
      <c r="O437" s="2"/>
    </row>
    <row r="438" spans="1:15" ht="38.25" x14ac:dyDescent="0.25">
      <c r="A438" s="2" t="s">
        <v>1738</v>
      </c>
      <c r="B438" s="2" t="s">
        <v>1593</v>
      </c>
      <c r="C438" s="2" t="s">
        <v>1734</v>
      </c>
      <c r="D438" s="2" t="s">
        <v>1739</v>
      </c>
      <c r="E438" s="2" t="s">
        <v>275</v>
      </c>
      <c r="F438" s="2" t="s">
        <v>1730</v>
      </c>
      <c r="G438" s="3" t="s">
        <v>34</v>
      </c>
      <c r="H438" s="2" t="s">
        <v>1740</v>
      </c>
      <c r="I438" s="2" t="s">
        <v>1626</v>
      </c>
      <c r="J438" s="2" t="s">
        <v>1741</v>
      </c>
      <c r="K438" s="2" t="s">
        <v>1628</v>
      </c>
      <c r="L438" s="2" t="s">
        <v>1629</v>
      </c>
      <c r="M438" s="2" t="s">
        <v>1630</v>
      </c>
      <c r="N438" s="2" t="s">
        <v>41</v>
      </c>
      <c r="O438" s="2"/>
    </row>
    <row r="439" spans="1:15" ht="38.25" x14ac:dyDescent="0.25">
      <c r="A439" s="2" t="s">
        <v>1742</v>
      </c>
      <c r="B439" s="2" t="s">
        <v>1593</v>
      </c>
      <c r="C439" s="2" t="s">
        <v>1734</v>
      </c>
      <c r="D439" s="2" t="s">
        <v>1743</v>
      </c>
      <c r="E439" s="2" t="s">
        <v>275</v>
      </c>
      <c r="F439" s="2" t="s">
        <v>1730</v>
      </c>
      <c r="G439" s="3" t="s">
        <v>34</v>
      </c>
      <c r="H439" s="2" t="s">
        <v>1744</v>
      </c>
      <c r="I439" s="2" t="s">
        <v>1626</v>
      </c>
      <c r="J439" s="2" t="s">
        <v>1745</v>
      </c>
      <c r="K439" s="2" t="s">
        <v>1628</v>
      </c>
      <c r="L439" s="2" t="s">
        <v>1629</v>
      </c>
      <c r="M439" s="2" t="s">
        <v>1630</v>
      </c>
      <c r="N439" s="2" t="s">
        <v>41</v>
      </c>
      <c r="O439" s="2"/>
    </row>
    <row r="440" spans="1:15" ht="38.25" x14ac:dyDescent="0.25">
      <c r="A440" s="2" t="s">
        <v>1746</v>
      </c>
      <c r="B440" s="2" t="s">
        <v>1593</v>
      </c>
      <c r="C440" s="2" t="s">
        <v>1734</v>
      </c>
      <c r="D440" s="2" t="s">
        <v>1747</v>
      </c>
      <c r="E440" s="2" t="s">
        <v>275</v>
      </c>
      <c r="F440" s="2" t="s">
        <v>1730</v>
      </c>
      <c r="G440" s="3" t="s">
        <v>34</v>
      </c>
      <c r="H440" s="2" t="s">
        <v>1748</v>
      </c>
      <c r="I440" s="2" t="s">
        <v>1626</v>
      </c>
      <c r="J440" s="2" t="s">
        <v>1749</v>
      </c>
      <c r="K440" s="2" t="s">
        <v>1628</v>
      </c>
      <c r="L440" s="2" t="s">
        <v>1629</v>
      </c>
      <c r="M440" s="2" t="s">
        <v>1630</v>
      </c>
      <c r="N440" s="2" t="s">
        <v>41</v>
      </c>
      <c r="O440" s="2"/>
    </row>
    <row r="441" spans="1:15" ht="38.25" x14ac:dyDescent="0.25">
      <c r="A441" s="2" t="s">
        <v>1750</v>
      </c>
      <c r="B441" s="2" t="s">
        <v>1593</v>
      </c>
      <c r="C441" s="2" t="s">
        <v>1734</v>
      </c>
      <c r="D441" s="2" t="s">
        <v>1751</v>
      </c>
      <c r="E441" s="2" t="s">
        <v>275</v>
      </c>
      <c r="F441" s="2" t="s">
        <v>1730</v>
      </c>
      <c r="G441" s="3" t="s">
        <v>21</v>
      </c>
      <c r="H441" s="2" t="s">
        <v>1752</v>
      </c>
      <c r="I441" s="2" t="s">
        <v>1626</v>
      </c>
      <c r="J441" s="2" t="s">
        <v>1753</v>
      </c>
      <c r="K441" s="2" t="s">
        <v>1628</v>
      </c>
      <c r="L441" s="2" t="s">
        <v>1629</v>
      </c>
      <c r="M441" s="2" t="s">
        <v>1630</v>
      </c>
      <c r="N441" s="2" t="s">
        <v>28</v>
      </c>
      <c r="O441" s="2"/>
    </row>
    <row r="442" spans="1:15" ht="25.5" x14ac:dyDescent="0.25">
      <c r="A442" s="2" t="s">
        <v>1754</v>
      </c>
      <c r="B442" s="2" t="s">
        <v>1593</v>
      </c>
      <c r="C442" s="2" t="s">
        <v>1755</v>
      </c>
      <c r="D442" s="2" t="s">
        <v>1756</v>
      </c>
      <c r="E442" s="2" t="s">
        <v>275</v>
      </c>
      <c r="F442" s="2" t="s">
        <v>1730</v>
      </c>
      <c r="G442" s="3" t="s">
        <v>34</v>
      </c>
      <c r="H442" s="2" t="s">
        <v>1757</v>
      </c>
      <c r="I442" s="2" t="s">
        <v>1626</v>
      </c>
      <c r="J442" s="2" t="s">
        <v>1758</v>
      </c>
      <c r="K442" s="2" t="s">
        <v>1628</v>
      </c>
      <c r="L442" s="2" t="s">
        <v>1629</v>
      </c>
      <c r="M442" s="2" t="s">
        <v>1630</v>
      </c>
      <c r="N442" s="2" t="s">
        <v>41</v>
      </c>
      <c r="O442" s="2"/>
    </row>
    <row r="443" spans="1:15" ht="25.5" x14ac:dyDescent="0.25">
      <c r="A443" s="2" t="s">
        <v>1759</v>
      </c>
      <c r="B443" s="2" t="s">
        <v>1593</v>
      </c>
      <c r="C443" s="2" t="s">
        <v>1755</v>
      </c>
      <c r="D443" s="2" t="s">
        <v>1760</v>
      </c>
      <c r="E443" s="2" t="s">
        <v>275</v>
      </c>
      <c r="F443" s="2" t="s">
        <v>1730</v>
      </c>
      <c r="G443" s="3" t="s">
        <v>34</v>
      </c>
      <c r="H443" s="2" t="s">
        <v>1761</v>
      </c>
      <c r="I443" s="2" t="s">
        <v>1626</v>
      </c>
      <c r="J443" s="2" t="s">
        <v>1762</v>
      </c>
      <c r="K443" s="2" t="s">
        <v>1628</v>
      </c>
      <c r="L443" s="2" t="s">
        <v>1629</v>
      </c>
      <c r="M443" s="2" t="s">
        <v>1630</v>
      </c>
      <c r="N443" s="2" t="s">
        <v>41</v>
      </c>
      <c r="O443" s="2"/>
    </row>
    <row r="444" spans="1:15" ht="38.25" x14ac:dyDescent="0.25">
      <c r="A444" s="2" t="s">
        <v>1763</v>
      </c>
      <c r="B444" s="2" t="s">
        <v>1593</v>
      </c>
      <c r="C444" s="2" t="s">
        <v>1755</v>
      </c>
      <c r="D444" s="2" t="s">
        <v>1764</v>
      </c>
      <c r="E444" s="2" t="s">
        <v>275</v>
      </c>
      <c r="F444" s="2" t="s">
        <v>1730</v>
      </c>
      <c r="G444" s="3" t="s">
        <v>34</v>
      </c>
      <c r="H444" s="2" t="s">
        <v>1765</v>
      </c>
      <c r="I444" s="2" t="s">
        <v>1626</v>
      </c>
      <c r="J444" s="2" t="s">
        <v>1766</v>
      </c>
      <c r="K444" s="2" t="s">
        <v>1628</v>
      </c>
      <c r="L444" s="2" t="s">
        <v>1629</v>
      </c>
      <c r="M444" s="2" t="s">
        <v>1630</v>
      </c>
      <c r="N444" s="2" t="s">
        <v>41</v>
      </c>
      <c r="O444" s="2"/>
    </row>
    <row r="445" spans="1:15" ht="38.25" x14ac:dyDescent="0.25">
      <c r="A445" s="2" t="s">
        <v>1767</v>
      </c>
      <c r="B445" s="2" t="s">
        <v>1593</v>
      </c>
      <c r="C445" s="2" t="s">
        <v>1755</v>
      </c>
      <c r="D445" s="2" t="s">
        <v>1768</v>
      </c>
      <c r="E445" s="2" t="s">
        <v>275</v>
      </c>
      <c r="F445" s="2" t="s">
        <v>1730</v>
      </c>
      <c r="G445" s="3" t="s">
        <v>34</v>
      </c>
      <c r="H445" s="2" t="s">
        <v>1769</v>
      </c>
      <c r="I445" s="2" t="s">
        <v>1626</v>
      </c>
      <c r="J445" s="2" t="s">
        <v>1770</v>
      </c>
      <c r="K445" s="2" t="s">
        <v>1628</v>
      </c>
      <c r="L445" s="2" t="s">
        <v>1629</v>
      </c>
      <c r="M445" s="2" t="s">
        <v>1630</v>
      </c>
      <c r="N445" s="2" t="s">
        <v>41</v>
      </c>
      <c r="O445" s="2"/>
    </row>
    <row r="446" spans="1:15" ht="38.25" x14ac:dyDescent="0.25">
      <c r="A446" s="2" t="s">
        <v>1771</v>
      </c>
      <c r="B446" s="2" t="s">
        <v>1593</v>
      </c>
      <c r="C446" s="2" t="s">
        <v>1755</v>
      </c>
      <c r="D446" s="2" t="s">
        <v>1772</v>
      </c>
      <c r="E446" s="2" t="s">
        <v>1271</v>
      </c>
      <c r="F446" s="2" t="s">
        <v>1730</v>
      </c>
      <c r="G446" s="3" t="s">
        <v>34</v>
      </c>
      <c r="H446" s="2" t="s">
        <v>1773</v>
      </c>
      <c r="I446" s="2" t="s">
        <v>1626</v>
      </c>
      <c r="J446" s="2" t="s">
        <v>1774</v>
      </c>
      <c r="K446" s="2" t="s">
        <v>1628</v>
      </c>
      <c r="L446" s="2" t="s">
        <v>1629</v>
      </c>
      <c r="M446" s="2" t="s">
        <v>1630</v>
      </c>
      <c r="N446" s="2" t="s">
        <v>41</v>
      </c>
      <c r="O446" s="2"/>
    </row>
    <row r="447" spans="1:15" ht="38.25" x14ac:dyDescent="0.25">
      <c r="A447" s="2" t="s">
        <v>1775</v>
      </c>
      <c r="B447" s="2" t="s">
        <v>1593</v>
      </c>
      <c r="C447" s="2" t="s">
        <v>1776</v>
      </c>
      <c r="D447" s="2" t="s">
        <v>1777</v>
      </c>
      <c r="E447" s="2" t="s">
        <v>275</v>
      </c>
      <c r="F447" s="2" t="s">
        <v>1730</v>
      </c>
      <c r="G447" s="3" t="s">
        <v>21</v>
      </c>
      <c r="H447" s="2" t="s">
        <v>1778</v>
      </c>
      <c r="I447" s="2" t="s">
        <v>1626</v>
      </c>
      <c r="J447" s="2" t="s">
        <v>1779</v>
      </c>
      <c r="K447" s="2" t="s">
        <v>1628</v>
      </c>
      <c r="L447" s="2" t="s">
        <v>1629</v>
      </c>
      <c r="M447" s="2" t="s">
        <v>1630</v>
      </c>
      <c r="N447" s="2" t="s">
        <v>28</v>
      </c>
      <c r="O447" s="2"/>
    </row>
    <row r="448" spans="1:15" ht="38.25" x14ac:dyDescent="0.25">
      <c r="A448" s="2" t="s">
        <v>1780</v>
      </c>
      <c r="B448" s="2" t="s">
        <v>1593</v>
      </c>
      <c r="C448" s="2" t="s">
        <v>1776</v>
      </c>
      <c r="D448" s="2" t="s">
        <v>1781</v>
      </c>
      <c r="E448" s="2" t="s">
        <v>275</v>
      </c>
      <c r="F448" s="2" t="s">
        <v>1730</v>
      </c>
      <c r="G448" s="3" t="s">
        <v>21</v>
      </c>
      <c r="H448" s="2" t="s">
        <v>1782</v>
      </c>
      <c r="I448" s="2" t="s">
        <v>1626</v>
      </c>
      <c r="J448" s="2" t="s">
        <v>1783</v>
      </c>
      <c r="K448" s="2" t="s">
        <v>1628</v>
      </c>
      <c r="L448" s="2" t="s">
        <v>1629</v>
      </c>
      <c r="M448" s="2" t="s">
        <v>1630</v>
      </c>
      <c r="N448" s="2" t="s">
        <v>28</v>
      </c>
      <c r="O448" s="2"/>
    </row>
    <row r="449" spans="1:15" ht="38.25" x14ac:dyDescent="0.25">
      <c r="A449" s="2" t="s">
        <v>1784</v>
      </c>
      <c r="B449" s="2" t="s">
        <v>1593</v>
      </c>
      <c r="C449" s="2" t="s">
        <v>1776</v>
      </c>
      <c r="D449" s="2" t="s">
        <v>1785</v>
      </c>
      <c r="E449" s="2" t="s">
        <v>275</v>
      </c>
      <c r="F449" s="2" t="s">
        <v>1730</v>
      </c>
      <c r="G449" s="3" t="s">
        <v>21</v>
      </c>
      <c r="H449" s="2" t="s">
        <v>1786</v>
      </c>
      <c r="I449" s="2" t="s">
        <v>1626</v>
      </c>
      <c r="J449" s="2" t="s">
        <v>1787</v>
      </c>
      <c r="K449" s="2" t="s">
        <v>1628</v>
      </c>
      <c r="L449" s="2" t="s">
        <v>1629</v>
      </c>
      <c r="M449" s="2" t="s">
        <v>1630</v>
      </c>
      <c r="N449" s="2" t="s">
        <v>28</v>
      </c>
      <c r="O449" s="2"/>
    </row>
    <row r="450" spans="1:15" ht="38.25" x14ac:dyDescent="0.25">
      <c r="A450" s="2" t="s">
        <v>1788</v>
      </c>
      <c r="B450" s="2" t="s">
        <v>1593</v>
      </c>
      <c r="C450" s="2" t="s">
        <v>1776</v>
      </c>
      <c r="D450" s="2" t="s">
        <v>1789</v>
      </c>
      <c r="E450" s="2" t="s">
        <v>275</v>
      </c>
      <c r="F450" s="2" t="s">
        <v>1730</v>
      </c>
      <c r="G450" s="3" t="s">
        <v>34</v>
      </c>
      <c r="H450" s="2" t="s">
        <v>1790</v>
      </c>
      <c r="I450" s="2" t="s">
        <v>1626</v>
      </c>
      <c r="J450" s="2" t="s">
        <v>1791</v>
      </c>
      <c r="K450" s="2" t="s">
        <v>1628</v>
      </c>
      <c r="L450" s="2" t="s">
        <v>1629</v>
      </c>
      <c r="M450" s="2" t="s">
        <v>1630</v>
      </c>
      <c r="N450" s="2" t="s">
        <v>41</v>
      </c>
      <c r="O450" s="2"/>
    </row>
    <row r="451" spans="1:15" ht="38.25" x14ac:dyDescent="0.25">
      <c r="A451" s="2" t="s">
        <v>1792</v>
      </c>
      <c r="B451" s="2" t="s">
        <v>1593</v>
      </c>
      <c r="C451" s="2" t="s">
        <v>1776</v>
      </c>
      <c r="D451" s="2" t="s">
        <v>1793</v>
      </c>
      <c r="E451" s="2" t="s">
        <v>1271</v>
      </c>
      <c r="F451" s="2" t="s">
        <v>1730</v>
      </c>
      <c r="G451" s="3" t="s">
        <v>34</v>
      </c>
      <c r="H451" s="2" t="s">
        <v>1773</v>
      </c>
      <c r="I451" s="2" t="s">
        <v>1626</v>
      </c>
      <c r="J451" s="2" t="s">
        <v>1794</v>
      </c>
      <c r="K451" s="2" t="s">
        <v>1628</v>
      </c>
      <c r="L451" s="2" t="s">
        <v>1629</v>
      </c>
      <c r="M451" s="2" t="s">
        <v>1630</v>
      </c>
      <c r="N451" s="2" t="s">
        <v>41</v>
      </c>
      <c r="O451" s="2"/>
    </row>
    <row r="452" spans="1:15" ht="38.25" x14ac:dyDescent="0.25">
      <c r="A452" s="2" t="s">
        <v>1795</v>
      </c>
      <c r="B452" s="2" t="s">
        <v>1593</v>
      </c>
      <c r="C452" s="2" t="s">
        <v>1796</v>
      </c>
      <c r="D452" s="2" t="s">
        <v>1797</v>
      </c>
      <c r="E452" s="2" t="s">
        <v>275</v>
      </c>
      <c r="F452" s="2" t="s">
        <v>1730</v>
      </c>
      <c r="G452" s="3" t="s">
        <v>21</v>
      </c>
      <c r="H452" s="2" t="s">
        <v>1798</v>
      </c>
      <c r="I452" s="2" t="s">
        <v>1626</v>
      </c>
      <c r="J452" s="2" t="s">
        <v>1799</v>
      </c>
      <c r="K452" s="2" t="s">
        <v>1628</v>
      </c>
      <c r="L452" s="2" t="s">
        <v>1629</v>
      </c>
      <c r="M452" s="2" t="s">
        <v>1630</v>
      </c>
      <c r="N452" s="2" t="s">
        <v>28</v>
      </c>
      <c r="O452" s="2"/>
    </row>
    <row r="453" spans="1:15" ht="38.25" x14ac:dyDescent="0.25">
      <c r="A453" s="2" t="s">
        <v>1800</v>
      </c>
      <c r="B453" s="2" t="s">
        <v>1593</v>
      </c>
      <c r="C453" s="2" t="s">
        <v>1796</v>
      </c>
      <c r="D453" s="2" t="s">
        <v>1801</v>
      </c>
      <c r="E453" s="2" t="s">
        <v>275</v>
      </c>
      <c r="F453" s="2" t="s">
        <v>1730</v>
      </c>
      <c r="G453" s="3" t="s">
        <v>34</v>
      </c>
      <c r="H453" s="2" t="s">
        <v>1802</v>
      </c>
      <c r="I453" s="2" t="s">
        <v>1626</v>
      </c>
      <c r="J453" s="2" t="s">
        <v>1803</v>
      </c>
      <c r="K453" s="2" t="s">
        <v>1628</v>
      </c>
      <c r="L453" s="2" t="s">
        <v>1629</v>
      </c>
      <c r="M453" s="2" t="s">
        <v>1630</v>
      </c>
      <c r="N453" s="2" t="s">
        <v>41</v>
      </c>
      <c r="O453" s="2"/>
    </row>
    <row r="454" spans="1:15" ht="38.25" x14ac:dyDescent="0.25">
      <c r="A454" s="2" t="s">
        <v>1804</v>
      </c>
      <c r="B454" s="2" t="s">
        <v>1593</v>
      </c>
      <c r="C454" s="2" t="s">
        <v>1796</v>
      </c>
      <c r="D454" s="2" t="s">
        <v>1805</v>
      </c>
      <c r="E454" s="2" t="s">
        <v>1271</v>
      </c>
      <c r="F454" s="2" t="s">
        <v>1730</v>
      </c>
      <c r="G454" s="3" t="s">
        <v>34</v>
      </c>
      <c r="H454" s="2" t="s">
        <v>1773</v>
      </c>
      <c r="I454" s="2" t="s">
        <v>1626</v>
      </c>
      <c r="J454" s="2" t="s">
        <v>1806</v>
      </c>
      <c r="K454" s="2" t="s">
        <v>1628</v>
      </c>
      <c r="L454" s="2" t="s">
        <v>1629</v>
      </c>
      <c r="M454" s="2" t="s">
        <v>1630</v>
      </c>
      <c r="N454" s="2" t="s">
        <v>41</v>
      </c>
      <c r="O454" s="2"/>
    </row>
    <row r="455" spans="1:15" ht="38.25" x14ac:dyDescent="0.25">
      <c r="A455" s="2" t="s">
        <v>1807</v>
      </c>
      <c r="B455" s="2" t="s">
        <v>1593</v>
      </c>
      <c r="C455" s="2" t="s">
        <v>1808</v>
      </c>
      <c r="D455" s="2" t="s">
        <v>1809</v>
      </c>
      <c r="E455" s="2" t="s">
        <v>1271</v>
      </c>
      <c r="F455" s="2" t="s">
        <v>1730</v>
      </c>
      <c r="G455" s="3" t="s">
        <v>34</v>
      </c>
      <c r="H455" s="2" t="s">
        <v>1810</v>
      </c>
      <c r="I455" s="2" t="s">
        <v>1626</v>
      </c>
      <c r="J455" s="2" t="s">
        <v>1811</v>
      </c>
      <c r="K455" s="2" t="s">
        <v>1628</v>
      </c>
      <c r="L455" s="2" t="s">
        <v>1629</v>
      </c>
      <c r="M455" s="2" t="s">
        <v>1630</v>
      </c>
      <c r="N455" s="2" t="s">
        <v>41</v>
      </c>
      <c r="O455" s="2"/>
    </row>
    <row r="456" spans="1:15" ht="38.25" x14ac:dyDescent="0.25">
      <c r="A456" s="2" t="s">
        <v>1812</v>
      </c>
      <c r="B456" s="2" t="s">
        <v>1593</v>
      </c>
      <c r="C456" s="2" t="s">
        <v>1808</v>
      </c>
      <c r="D456" s="2" t="s">
        <v>1813</v>
      </c>
      <c r="E456" s="2" t="s">
        <v>1271</v>
      </c>
      <c r="F456" s="2" t="s">
        <v>1730</v>
      </c>
      <c r="G456" s="3" t="s">
        <v>34</v>
      </c>
      <c r="H456" s="2" t="s">
        <v>1773</v>
      </c>
      <c r="I456" s="2" t="s">
        <v>1626</v>
      </c>
      <c r="J456" s="2" t="s">
        <v>1814</v>
      </c>
      <c r="K456" s="2" t="s">
        <v>1628</v>
      </c>
      <c r="L456" s="2" t="s">
        <v>1629</v>
      </c>
      <c r="M456" s="2" t="s">
        <v>1630</v>
      </c>
      <c r="N456" s="2" t="s">
        <v>41</v>
      </c>
      <c r="O456" s="2"/>
    </row>
    <row r="457" spans="1:15" ht="38.25" x14ac:dyDescent="0.25">
      <c r="A457" s="2" t="s">
        <v>1815</v>
      </c>
      <c r="B457" s="2" t="s">
        <v>1593</v>
      </c>
      <c r="C457" s="2" t="s">
        <v>1816</v>
      </c>
      <c r="D457" s="2" t="s">
        <v>1817</v>
      </c>
      <c r="E457" s="2" t="s">
        <v>275</v>
      </c>
      <c r="F457" s="2" t="s">
        <v>1730</v>
      </c>
      <c r="G457" s="3" t="s">
        <v>34</v>
      </c>
      <c r="H457" s="2" t="s">
        <v>1818</v>
      </c>
      <c r="I457" s="2" t="s">
        <v>1626</v>
      </c>
      <c r="J457" s="2" t="s">
        <v>1819</v>
      </c>
      <c r="K457" s="2" t="s">
        <v>1628</v>
      </c>
      <c r="L457" s="2" t="s">
        <v>1629</v>
      </c>
      <c r="M457" s="2" t="s">
        <v>1630</v>
      </c>
      <c r="N457" s="2" t="s">
        <v>41</v>
      </c>
      <c r="O457" s="2"/>
    </row>
    <row r="458" spans="1:15" ht="25.5" x14ac:dyDescent="0.25">
      <c r="A458" s="2" t="s">
        <v>1820</v>
      </c>
      <c r="B458" s="2" t="s">
        <v>1593</v>
      </c>
      <c r="C458" s="2" t="s">
        <v>1816</v>
      </c>
      <c r="D458" s="2" t="s">
        <v>1821</v>
      </c>
      <c r="E458" s="2" t="s">
        <v>275</v>
      </c>
      <c r="F458" s="2" t="s">
        <v>1730</v>
      </c>
      <c r="G458" s="3" t="s">
        <v>34</v>
      </c>
      <c r="H458" s="2" t="s">
        <v>1822</v>
      </c>
      <c r="I458" s="2" t="s">
        <v>1626</v>
      </c>
      <c r="J458" s="2" t="s">
        <v>1823</v>
      </c>
      <c r="K458" s="2" t="s">
        <v>1628</v>
      </c>
      <c r="L458" s="2" t="s">
        <v>1629</v>
      </c>
      <c r="M458" s="2" t="s">
        <v>1630</v>
      </c>
      <c r="N458" s="2" t="s">
        <v>41</v>
      </c>
      <c r="O458" s="2"/>
    </row>
    <row r="459" spans="1:15" ht="38.25" x14ac:dyDescent="0.25">
      <c r="A459" s="2" t="s">
        <v>1824</v>
      </c>
      <c r="B459" s="2" t="s">
        <v>1593</v>
      </c>
      <c r="C459" s="2" t="s">
        <v>1816</v>
      </c>
      <c r="D459" s="2" t="s">
        <v>1825</v>
      </c>
      <c r="E459" s="2" t="s">
        <v>1271</v>
      </c>
      <c r="F459" s="2" t="s">
        <v>1730</v>
      </c>
      <c r="G459" s="3" t="s">
        <v>34</v>
      </c>
      <c r="H459" s="2" t="s">
        <v>1773</v>
      </c>
      <c r="I459" s="2" t="s">
        <v>1626</v>
      </c>
      <c r="J459" s="2" t="s">
        <v>1826</v>
      </c>
      <c r="K459" s="2" t="s">
        <v>1628</v>
      </c>
      <c r="L459" s="2" t="s">
        <v>1629</v>
      </c>
      <c r="M459" s="2" t="s">
        <v>1630</v>
      </c>
      <c r="N459" s="2" t="s">
        <v>41</v>
      </c>
      <c r="O459" s="2"/>
    </row>
    <row r="460" spans="1:15" ht="38.25" x14ac:dyDescent="0.25">
      <c r="A460" s="2" t="s">
        <v>1827</v>
      </c>
      <c r="B460" s="2" t="s">
        <v>1593</v>
      </c>
      <c r="C460" s="2" t="s">
        <v>1828</v>
      </c>
      <c r="D460" s="2" t="s">
        <v>1829</v>
      </c>
      <c r="E460" s="2" t="s">
        <v>275</v>
      </c>
      <c r="F460" s="2" t="s">
        <v>1730</v>
      </c>
      <c r="G460" s="3" t="s">
        <v>21</v>
      </c>
      <c r="H460" s="2" t="s">
        <v>1830</v>
      </c>
      <c r="I460" s="2" t="s">
        <v>1626</v>
      </c>
      <c r="J460" s="2" t="s">
        <v>1831</v>
      </c>
      <c r="K460" s="2" t="s">
        <v>1628</v>
      </c>
      <c r="L460" s="2" t="s">
        <v>1629</v>
      </c>
      <c r="M460" s="2" t="s">
        <v>1630</v>
      </c>
      <c r="N460" s="2" t="s">
        <v>28</v>
      </c>
      <c r="O460" s="2"/>
    </row>
    <row r="461" spans="1:15" ht="38.25" x14ac:dyDescent="0.25">
      <c r="A461" s="2" t="s">
        <v>1832</v>
      </c>
      <c r="B461" s="2" t="s">
        <v>1593</v>
      </c>
      <c r="C461" s="2" t="s">
        <v>1828</v>
      </c>
      <c r="D461" s="2" t="s">
        <v>1833</v>
      </c>
      <c r="E461" s="2" t="s">
        <v>1271</v>
      </c>
      <c r="F461" s="2" t="s">
        <v>1730</v>
      </c>
      <c r="G461" s="3" t="s">
        <v>34</v>
      </c>
      <c r="H461" s="2" t="s">
        <v>1773</v>
      </c>
      <c r="I461" s="2" t="s">
        <v>1626</v>
      </c>
      <c r="J461" s="2" t="s">
        <v>1834</v>
      </c>
      <c r="K461" s="2" t="s">
        <v>1628</v>
      </c>
      <c r="L461" s="2" t="s">
        <v>1629</v>
      </c>
      <c r="M461" s="2" t="s">
        <v>1630</v>
      </c>
      <c r="N461" s="2" t="s">
        <v>41</v>
      </c>
      <c r="O461" s="2"/>
    </row>
    <row r="462" spans="1:15" ht="38.25" x14ac:dyDescent="0.25">
      <c r="A462" s="2" t="s">
        <v>1835</v>
      </c>
      <c r="B462" s="2" t="s">
        <v>1593</v>
      </c>
      <c r="C462" s="2" t="s">
        <v>1836</v>
      </c>
      <c r="D462" s="2" t="s">
        <v>1837</v>
      </c>
      <c r="E462" s="2" t="s">
        <v>1271</v>
      </c>
      <c r="F462" s="2" t="s">
        <v>1730</v>
      </c>
      <c r="G462" s="3" t="s">
        <v>21</v>
      </c>
      <c r="H462" s="2" t="s">
        <v>1838</v>
      </c>
      <c r="I462" s="2" t="s">
        <v>1626</v>
      </c>
      <c r="J462" s="2" t="s">
        <v>1839</v>
      </c>
      <c r="K462" s="2" t="s">
        <v>1628</v>
      </c>
      <c r="L462" s="2" t="s">
        <v>1629</v>
      </c>
      <c r="M462" s="2" t="s">
        <v>1630</v>
      </c>
      <c r="N462" s="2" t="s">
        <v>28</v>
      </c>
      <c r="O462" s="2"/>
    </row>
    <row r="463" spans="1:15" ht="38.25" x14ac:dyDescent="0.25">
      <c r="A463" s="2" t="s">
        <v>1840</v>
      </c>
      <c r="B463" s="2" t="s">
        <v>1593</v>
      </c>
      <c r="C463" s="2" t="s">
        <v>1836</v>
      </c>
      <c r="D463" s="2" t="s">
        <v>1841</v>
      </c>
      <c r="E463" s="2" t="s">
        <v>275</v>
      </c>
      <c r="F463" s="2" t="s">
        <v>1730</v>
      </c>
      <c r="G463" s="3" t="s">
        <v>34</v>
      </c>
      <c r="H463" s="2" t="s">
        <v>1842</v>
      </c>
      <c r="I463" s="2" t="s">
        <v>1626</v>
      </c>
      <c r="J463" s="2" t="s">
        <v>1843</v>
      </c>
      <c r="K463" s="2" t="s">
        <v>1628</v>
      </c>
      <c r="L463" s="2" t="s">
        <v>1629</v>
      </c>
      <c r="M463" s="2" t="s">
        <v>1630</v>
      </c>
      <c r="N463" s="2" t="s">
        <v>41</v>
      </c>
      <c r="O463" s="2"/>
    </row>
    <row r="464" spans="1:15" ht="38.25" x14ac:dyDescent="0.25">
      <c r="A464" s="2" t="s">
        <v>1844</v>
      </c>
      <c r="B464" s="2" t="s">
        <v>1593</v>
      </c>
      <c r="C464" s="2" t="s">
        <v>1836</v>
      </c>
      <c r="D464" s="2" t="s">
        <v>1845</v>
      </c>
      <c r="E464" s="2" t="s">
        <v>1271</v>
      </c>
      <c r="F464" s="2" t="s">
        <v>1730</v>
      </c>
      <c r="G464" s="3" t="s">
        <v>34</v>
      </c>
      <c r="H464" s="2" t="s">
        <v>1773</v>
      </c>
      <c r="I464" s="2" t="s">
        <v>1626</v>
      </c>
      <c r="J464" s="2" t="s">
        <v>1846</v>
      </c>
      <c r="K464" s="2" t="s">
        <v>1628</v>
      </c>
      <c r="L464" s="2" t="s">
        <v>1629</v>
      </c>
      <c r="M464" s="2" t="s">
        <v>1630</v>
      </c>
      <c r="N464" s="2" t="s">
        <v>41</v>
      </c>
      <c r="O464" s="2"/>
    </row>
    <row r="465" spans="1:15" ht="38.25" x14ac:dyDescent="0.25">
      <c r="A465" s="2" t="s">
        <v>1847</v>
      </c>
      <c r="B465" s="2" t="s">
        <v>1593</v>
      </c>
      <c r="C465" s="2" t="s">
        <v>1848</v>
      </c>
      <c r="D465" s="2" t="s">
        <v>1849</v>
      </c>
      <c r="E465" s="2" t="s">
        <v>275</v>
      </c>
      <c r="F465" s="2" t="s">
        <v>1730</v>
      </c>
      <c r="G465" s="3" t="s">
        <v>34</v>
      </c>
      <c r="H465" s="2" t="s">
        <v>1850</v>
      </c>
      <c r="I465" s="2" t="s">
        <v>1626</v>
      </c>
      <c r="J465" s="2" t="s">
        <v>1851</v>
      </c>
      <c r="K465" s="2" t="s">
        <v>1628</v>
      </c>
      <c r="L465" s="2" t="s">
        <v>1629</v>
      </c>
      <c r="M465" s="2" t="s">
        <v>1630</v>
      </c>
      <c r="N465" s="2" t="s">
        <v>41</v>
      </c>
      <c r="O465" s="2"/>
    </row>
    <row r="466" spans="1:15" ht="38.25" x14ac:dyDescent="0.25">
      <c r="A466" s="2" t="s">
        <v>1852</v>
      </c>
      <c r="B466" s="2" t="s">
        <v>1593</v>
      </c>
      <c r="C466" s="2" t="s">
        <v>1848</v>
      </c>
      <c r="D466" s="2" t="s">
        <v>1853</v>
      </c>
      <c r="E466" s="2" t="s">
        <v>275</v>
      </c>
      <c r="F466" s="2" t="s">
        <v>1730</v>
      </c>
      <c r="G466" s="3" t="s">
        <v>34</v>
      </c>
      <c r="H466" s="2" t="s">
        <v>1854</v>
      </c>
      <c r="I466" s="2" t="s">
        <v>1626</v>
      </c>
      <c r="J466" s="2" t="s">
        <v>1855</v>
      </c>
      <c r="K466" s="2" t="s">
        <v>1628</v>
      </c>
      <c r="L466" s="2" t="s">
        <v>1629</v>
      </c>
      <c r="M466" s="2" t="s">
        <v>1630</v>
      </c>
      <c r="N466" s="2" t="s">
        <v>41</v>
      </c>
      <c r="O466" s="2"/>
    </row>
    <row r="467" spans="1:15" ht="25.5" x14ac:dyDescent="0.25">
      <c r="A467" s="2" t="s">
        <v>1856</v>
      </c>
      <c r="B467" s="2" t="s">
        <v>1593</v>
      </c>
      <c r="C467" s="2" t="s">
        <v>1848</v>
      </c>
      <c r="D467" s="2" t="s">
        <v>1857</v>
      </c>
      <c r="E467" s="2" t="s">
        <v>1253</v>
      </c>
      <c r="F467" s="2" t="s">
        <v>1730</v>
      </c>
      <c r="G467" s="3" t="s">
        <v>34</v>
      </c>
      <c r="H467" s="2" t="s">
        <v>1854</v>
      </c>
      <c r="I467" s="2" t="s">
        <v>1626</v>
      </c>
      <c r="J467" s="2" t="s">
        <v>1858</v>
      </c>
      <c r="K467" s="2" t="s">
        <v>1628</v>
      </c>
      <c r="L467" s="2" t="s">
        <v>1629</v>
      </c>
      <c r="M467" s="2" t="s">
        <v>1630</v>
      </c>
      <c r="N467" s="2" t="s">
        <v>41</v>
      </c>
      <c r="O467" s="2"/>
    </row>
    <row r="468" spans="1:15" ht="38.25" x14ac:dyDescent="0.25">
      <c r="A468" s="2" t="s">
        <v>1859</v>
      </c>
      <c r="B468" s="2" t="s">
        <v>1593</v>
      </c>
      <c r="C468" s="2" t="s">
        <v>1848</v>
      </c>
      <c r="D468" s="2" t="s">
        <v>1860</v>
      </c>
      <c r="E468" s="2" t="s">
        <v>275</v>
      </c>
      <c r="F468" s="2" t="s">
        <v>1730</v>
      </c>
      <c r="G468" s="3" t="s">
        <v>34</v>
      </c>
      <c r="H468" s="2" t="s">
        <v>1854</v>
      </c>
      <c r="I468" s="2" t="s">
        <v>1626</v>
      </c>
      <c r="J468" s="2" t="s">
        <v>1861</v>
      </c>
      <c r="K468" s="2" t="s">
        <v>1628</v>
      </c>
      <c r="L468" s="2" t="s">
        <v>1629</v>
      </c>
      <c r="M468" s="2" t="s">
        <v>1630</v>
      </c>
      <c r="N468" s="2" t="s">
        <v>41</v>
      </c>
      <c r="O468" s="2"/>
    </row>
    <row r="469" spans="1:15" ht="38.25" x14ac:dyDescent="0.25">
      <c r="A469" s="2" t="s">
        <v>1862</v>
      </c>
      <c r="B469" s="2" t="s">
        <v>1593</v>
      </c>
      <c r="C469" s="2" t="s">
        <v>1848</v>
      </c>
      <c r="D469" s="2" t="s">
        <v>1863</v>
      </c>
      <c r="E469" s="2" t="s">
        <v>1271</v>
      </c>
      <c r="F469" s="2" t="s">
        <v>1730</v>
      </c>
      <c r="G469" s="3" t="s">
        <v>34</v>
      </c>
      <c r="H469" s="2" t="s">
        <v>1864</v>
      </c>
      <c r="I469" s="2" t="s">
        <v>1626</v>
      </c>
      <c r="J469" s="2" t="s">
        <v>1865</v>
      </c>
      <c r="K469" s="2" t="s">
        <v>1628</v>
      </c>
      <c r="L469" s="2" t="s">
        <v>1629</v>
      </c>
      <c r="M469" s="2" t="s">
        <v>1630</v>
      </c>
      <c r="N469" s="2" t="s">
        <v>41</v>
      </c>
      <c r="O469" s="2"/>
    </row>
    <row r="470" spans="1:15" ht="25.5" x14ac:dyDescent="0.25">
      <c r="A470" s="2" t="s">
        <v>1866</v>
      </c>
      <c r="B470" s="2" t="s">
        <v>1593</v>
      </c>
      <c r="C470" s="2" t="s">
        <v>1848</v>
      </c>
      <c r="D470" s="2" t="s">
        <v>1867</v>
      </c>
      <c r="E470" s="2" t="s">
        <v>275</v>
      </c>
      <c r="F470" s="2" t="s">
        <v>1730</v>
      </c>
      <c r="G470" s="3" t="s">
        <v>21</v>
      </c>
      <c r="H470" s="2" t="s">
        <v>1868</v>
      </c>
      <c r="I470" s="2" t="s">
        <v>1626</v>
      </c>
      <c r="J470" s="2" t="s">
        <v>1869</v>
      </c>
      <c r="K470" s="2" t="s">
        <v>1628</v>
      </c>
      <c r="L470" s="2" t="s">
        <v>1629</v>
      </c>
      <c r="M470" s="2" t="s">
        <v>1630</v>
      </c>
      <c r="N470" s="2" t="s">
        <v>28</v>
      </c>
      <c r="O470" s="2"/>
    </row>
    <row r="471" spans="1:15" ht="38.25" x14ac:dyDescent="0.25">
      <c r="A471" s="2" t="s">
        <v>1870</v>
      </c>
      <c r="B471" s="2" t="s">
        <v>1593</v>
      </c>
      <c r="C471" s="2" t="s">
        <v>1871</v>
      </c>
      <c r="D471" s="2" t="s">
        <v>1872</v>
      </c>
      <c r="E471" s="2" t="s">
        <v>275</v>
      </c>
      <c r="F471" s="2" t="s">
        <v>1730</v>
      </c>
      <c r="G471" s="3" t="s">
        <v>21</v>
      </c>
      <c r="H471" s="2" t="s">
        <v>1873</v>
      </c>
      <c r="I471" s="2" t="s">
        <v>1626</v>
      </c>
      <c r="J471" s="2" t="s">
        <v>1874</v>
      </c>
      <c r="K471" s="2" t="s">
        <v>1628</v>
      </c>
      <c r="L471" s="2" t="s">
        <v>1629</v>
      </c>
      <c r="M471" s="2" t="s">
        <v>1630</v>
      </c>
      <c r="N471" s="2" t="s">
        <v>28</v>
      </c>
      <c r="O471" s="2"/>
    </row>
    <row r="472" spans="1:15" ht="38.25" x14ac:dyDescent="0.25">
      <c r="A472" s="2" t="s">
        <v>1875</v>
      </c>
      <c r="B472" s="2" t="s">
        <v>1593</v>
      </c>
      <c r="C472" s="2" t="s">
        <v>1871</v>
      </c>
      <c r="D472" s="2" t="s">
        <v>1876</v>
      </c>
      <c r="E472" s="2" t="s">
        <v>1271</v>
      </c>
      <c r="F472" s="2" t="s">
        <v>1730</v>
      </c>
      <c r="G472" s="3" t="s">
        <v>34</v>
      </c>
      <c r="H472" s="2" t="s">
        <v>1877</v>
      </c>
      <c r="I472" s="2" t="s">
        <v>1626</v>
      </c>
      <c r="J472" s="2" t="s">
        <v>1878</v>
      </c>
      <c r="K472" s="2" t="s">
        <v>1628</v>
      </c>
      <c r="L472" s="2" t="s">
        <v>1629</v>
      </c>
      <c r="M472" s="2" t="s">
        <v>1630</v>
      </c>
      <c r="N472" s="2" t="s">
        <v>41</v>
      </c>
      <c r="O472" s="2"/>
    </row>
    <row r="473" spans="1:15" ht="38.25" x14ac:dyDescent="0.25">
      <c r="A473" s="2" t="s">
        <v>1879</v>
      </c>
      <c r="B473" s="2" t="s">
        <v>1593</v>
      </c>
      <c r="C473" s="2" t="s">
        <v>1871</v>
      </c>
      <c r="D473" s="2" t="s">
        <v>1880</v>
      </c>
      <c r="E473" s="2" t="s">
        <v>275</v>
      </c>
      <c r="F473" s="2" t="s">
        <v>1730</v>
      </c>
      <c r="G473" s="3" t="s">
        <v>34</v>
      </c>
      <c r="H473" s="2" t="s">
        <v>1881</v>
      </c>
      <c r="I473" s="2" t="s">
        <v>1626</v>
      </c>
      <c r="J473" s="2" t="s">
        <v>1882</v>
      </c>
      <c r="K473" s="2" t="s">
        <v>1628</v>
      </c>
      <c r="L473" s="2" t="s">
        <v>1629</v>
      </c>
      <c r="M473" s="2" t="s">
        <v>1630</v>
      </c>
      <c r="N473" s="2" t="s">
        <v>41</v>
      </c>
      <c r="O473" s="2"/>
    </row>
    <row r="474" spans="1:15" ht="38.25" x14ac:dyDescent="0.25">
      <c r="A474" s="2" t="s">
        <v>1883</v>
      </c>
      <c r="B474" s="2" t="s">
        <v>1593</v>
      </c>
      <c r="C474" s="2" t="s">
        <v>1871</v>
      </c>
      <c r="D474" s="2" t="s">
        <v>1884</v>
      </c>
      <c r="E474" s="2" t="s">
        <v>275</v>
      </c>
      <c r="F474" s="2" t="s">
        <v>1730</v>
      </c>
      <c r="G474" s="3" t="s">
        <v>21</v>
      </c>
      <c r="H474" s="2" t="s">
        <v>1885</v>
      </c>
      <c r="I474" s="2" t="s">
        <v>1626</v>
      </c>
      <c r="J474" s="2" t="s">
        <v>1886</v>
      </c>
      <c r="K474" s="2" t="s">
        <v>1628</v>
      </c>
      <c r="L474" s="2" t="s">
        <v>1629</v>
      </c>
      <c r="M474" s="2" t="s">
        <v>1630</v>
      </c>
      <c r="N474" s="2" t="s">
        <v>28</v>
      </c>
      <c r="O474" s="2"/>
    </row>
    <row r="475" spans="1:15" ht="38.25" x14ac:dyDescent="0.25">
      <c r="A475" s="2" t="s">
        <v>1887</v>
      </c>
      <c r="B475" s="2" t="s">
        <v>1593</v>
      </c>
      <c r="C475" s="2" t="s">
        <v>1871</v>
      </c>
      <c r="D475" s="2" t="s">
        <v>1888</v>
      </c>
      <c r="E475" s="2" t="s">
        <v>1253</v>
      </c>
      <c r="F475" s="2" t="s">
        <v>1730</v>
      </c>
      <c r="G475" s="3" t="s">
        <v>34</v>
      </c>
      <c r="H475" s="2" t="s">
        <v>1889</v>
      </c>
      <c r="I475" s="2" t="s">
        <v>1626</v>
      </c>
      <c r="J475" s="2" t="s">
        <v>1890</v>
      </c>
      <c r="K475" s="2" t="s">
        <v>1628</v>
      </c>
      <c r="L475" s="2" t="s">
        <v>1629</v>
      </c>
      <c r="M475" s="2" t="s">
        <v>1630</v>
      </c>
      <c r="N475" s="2" t="s">
        <v>41</v>
      </c>
      <c r="O475" s="2"/>
    </row>
    <row r="476" spans="1:15" ht="38.25" x14ac:dyDescent="0.25">
      <c r="A476" s="2" t="s">
        <v>1891</v>
      </c>
      <c r="B476" s="2" t="s">
        <v>1593</v>
      </c>
      <c r="C476" s="2" t="s">
        <v>1892</v>
      </c>
      <c r="D476" s="2" t="s">
        <v>1893</v>
      </c>
      <c r="E476" s="2" t="s">
        <v>275</v>
      </c>
      <c r="F476" s="2" t="s">
        <v>1730</v>
      </c>
      <c r="G476" s="3" t="s">
        <v>21</v>
      </c>
      <c r="H476" s="2" t="s">
        <v>1894</v>
      </c>
      <c r="I476" s="2" t="s">
        <v>1626</v>
      </c>
      <c r="J476" s="2" t="s">
        <v>1895</v>
      </c>
      <c r="K476" s="2" t="s">
        <v>1628</v>
      </c>
      <c r="L476" s="2" t="s">
        <v>1629</v>
      </c>
      <c r="M476" s="2" t="s">
        <v>1630</v>
      </c>
      <c r="N476" s="2" t="s">
        <v>28</v>
      </c>
      <c r="O476" s="2"/>
    </row>
    <row r="477" spans="1:15" ht="38.25" x14ac:dyDescent="0.25">
      <c r="A477" s="2" t="s">
        <v>1896</v>
      </c>
      <c r="B477" s="2" t="s">
        <v>1593</v>
      </c>
      <c r="C477" s="2" t="s">
        <v>1892</v>
      </c>
      <c r="D477" s="2" t="s">
        <v>1897</v>
      </c>
      <c r="E477" s="2" t="s">
        <v>135</v>
      </c>
      <c r="F477" s="2" t="s">
        <v>1730</v>
      </c>
      <c r="G477" s="3" t="s">
        <v>21</v>
      </c>
      <c r="H477" s="2" t="s">
        <v>1898</v>
      </c>
      <c r="I477" s="2" t="s">
        <v>1626</v>
      </c>
      <c r="J477" s="2" t="s">
        <v>1899</v>
      </c>
      <c r="K477" s="2" t="s">
        <v>1628</v>
      </c>
      <c r="L477" s="2" t="s">
        <v>1629</v>
      </c>
      <c r="M477" s="2" t="s">
        <v>1630</v>
      </c>
      <c r="N477" s="2" t="s">
        <v>28</v>
      </c>
      <c r="O477" s="2"/>
    </row>
    <row r="478" spans="1:15" ht="38.25" x14ac:dyDescent="0.25">
      <c r="A478" s="2" t="s">
        <v>1900</v>
      </c>
      <c r="B478" s="2" t="s">
        <v>1593</v>
      </c>
      <c r="C478" s="2" t="s">
        <v>1901</v>
      </c>
      <c r="D478" s="2" t="s">
        <v>1902</v>
      </c>
      <c r="E478" s="2" t="s">
        <v>202</v>
      </c>
      <c r="F478" s="2" t="s">
        <v>1903</v>
      </c>
      <c r="G478" s="3" t="s">
        <v>93</v>
      </c>
      <c r="H478" s="2" t="s">
        <v>1904</v>
      </c>
      <c r="I478" s="2" t="s">
        <v>1905</v>
      </c>
      <c r="J478" s="2" t="s">
        <v>1906</v>
      </c>
      <c r="K478" s="2" t="s">
        <v>1907</v>
      </c>
      <c r="L478" s="2" t="s">
        <v>1908</v>
      </c>
      <c r="M478" s="2" t="s">
        <v>1909</v>
      </c>
      <c r="N478" s="2" t="s">
        <v>28</v>
      </c>
      <c r="O478" s="2"/>
    </row>
    <row r="479" spans="1:15" ht="38.25" x14ac:dyDescent="0.25">
      <c r="A479" s="2" t="s">
        <v>1910</v>
      </c>
      <c r="B479" s="2" t="s">
        <v>1593</v>
      </c>
      <c r="C479" s="2" t="s">
        <v>1911</v>
      </c>
      <c r="D479" s="2" t="s">
        <v>1912</v>
      </c>
      <c r="E479" s="2" t="s">
        <v>275</v>
      </c>
      <c r="F479" s="2" t="s">
        <v>1903</v>
      </c>
      <c r="G479" s="3" t="s">
        <v>67</v>
      </c>
      <c r="H479" s="2" t="s">
        <v>1913</v>
      </c>
      <c r="I479" s="2" t="s">
        <v>1905</v>
      </c>
      <c r="J479" s="2" t="s">
        <v>1914</v>
      </c>
      <c r="K479" s="2" t="s">
        <v>1907</v>
      </c>
      <c r="L479" s="2" t="s">
        <v>1908</v>
      </c>
      <c r="M479" s="2" t="s">
        <v>1909</v>
      </c>
      <c r="N479" s="2" t="s">
        <v>74</v>
      </c>
      <c r="O479" s="2"/>
    </row>
    <row r="480" spans="1:15" ht="38.25" x14ac:dyDescent="0.25">
      <c r="A480" s="2" t="s">
        <v>1915</v>
      </c>
      <c r="B480" s="2" t="s">
        <v>1593</v>
      </c>
      <c r="C480" s="2" t="s">
        <v>1911</v>
      </c>
      <c r="D480" s="2" t="s">
        <v>1916</v>
      </c>
      <c r="E480" s="2" t="s">
        <v>1253</v>
      </c>
      <c r="F480" s="2" t="s">
        <v>1903</v>
      </c>
      <c r="G480" s="3" t="s">
        <v>93</v>
      </c>
      <c r="H480" s="2" t="s">
        <v>1917</v>
      </c>
      <c r="I480" s="2" t="s">
        <v>1905</v>
      </c>
      <c r="J480" s="2" t="s">
        <v>1918</v>
      </c>
      <c r="K480" s="2" t="s">
        <v>1907</v>
      </c>
      <c r="L480" s="2" t="s">
        <v>1908</v>
      </c>
      <c r="M480" s="2" t="s">
        <v>1909</v>
      </c>
      <c r="N480" s="2" t="s">
        <v>28</v>
      </c>
      <c r="O480" s="2" t="s">
        <v>1919</v>
      </c>
    </row>
    <row r="481" spans="1:15" ht="38.25" x14ac:dyDescent="0.25">
      <c r="A481" s="2" t="s">
        <v>1920</v>
      </c>
      <c r="B481" s="2" t="s">
        <v>1593</v>
      </c>
      <c r="C481" s="2" t="s">
        <v>1911</v>
      </c>
      <c r="D481" s="2" t="s">
        <v>1921</v>
      </c>
      <c r="E481" s="2" t="s">
        <v>275</v>
      </c>
      <c r="F481" s="2" t="s">
        <v>1903</v>
      </c>
      <c r="G481" s="3" t="s">
        <v>21</v>
      </c>
      <c r="H481" s="2" t="s">
        <v>1922</v>
      </c>
      <c r="I481" s="2" t="s">
        <v>1905</v>
      </c>
      <c r="J481" s="2" t="s">
        <v>1923</v>
      </c>
      <c r="K481" s="2" t="s">
        <v>1907</v>
      </c>
      <c r="L481" s="2" t="s">
        <v>1908</v>
      </c>
      <c r="M481" s="2" t="s">
        <v>1909</v>
      </c>
      <c r="N481" s="2" t="s">
        <v>28</v>
      </c>
      <c r="O481" s="2"/>
    </row>
    <row r="482" spans="1:15" ht="38.25" x14ac:dyDescent="0.25">
      <c r="A482" s="2" t="s">
        <v>1924</v>
      </c>
      <c r="B482" s="2" t="s">
        <v>1593</v>
      </c>
      <c r="C482" s="2" t="s">
        <v>1911</v>
      </c>
      <c r="D482" s="2" t="s">
        <v>1925</v>
      </c>
      <c r="E482" s="2" t="s">
        <v>275</v>
      </c>
      <c r="F482" s="2" t="s">
        <v>1903</v>
      </c>
      <c r="G482" s="3" t="s">
        <v>34</v>
      </c>
      <c r="H482" s="2" t="s">
        <v>1926</v>
      </c>
      <c r="I482" s="2" t="s">
        <v>1905</v>
      </c>
      <c r="J482" s="2" t="s">
        <v>1927</v>
      </c>
      <c r="K482" s="2" t="s">
        <v>1907</v>
      </c>
      <c r="L482" s="2" t="s">
        <v>1908</v>
      </c>
      <c r="M482" s="2" t="s">
        <v>1909</v>
      </c>
      <c r="N482" s="2" t="s">
        <v>41</v>
      </c>
      <c r="O482" s="2"/>
    </row>
    <row r="483" spans="1:15" ht="38.25" x14ac:dyDescent="0.25">
      <c r="A483" s="2" t="s">
        <v>1928</v>
      </c>
      <c r="B483" s="2" t="s">
        <v>1593</v>
      </c>
      <c r="C483" s="2" t="s">
        <v>1911</v>
      </c>
      <c r="D483" s="2" t="s">
        <v>1929</v>
      </c>
      <c r="E483" s="2" t="s">
        <v>275</v>
      </c>
      <c r="F483" s="2" t="s">
        <v>1903</v>
      </c>
      <c r="G483" s="3" t="s">
        <v>21</v>
      </c>
      <c r="H483" s="2" t="s">
        <v>1930</v>
      </c>
      <c r="I483" s="2" t="s">
        <v>1905</v>
      </c>
      <c r="J483" s="2" t="s">
        <v>1931</v>
      </c>
      <c r="K483" s="2" t="s">
        <v>1907</v>
      </c>
      <c r="L483" s="2" t="s">
        <v>1908</v>
      </c>
      <c r="M483" s="2" t="s">
        <v>1909</v>
      </c>
      <c r="N483" s="2" t="s">
        <v>28</v>
      </c>
      <c r="O483" s="2"/>
    </row>
    <row r="484" spans="1:15" ht="38.25" x14ac:dyDescent="0.25">
      <c r="A484" s="2" t="s">
        <v>1932</v>
      </c>
      <c r="B484" s="2" t="s">
        <v>1593</v>
      </c>
      <c r="C484" s="2" t="s">
        <v>1911</v>
      </c>
      <c r="D484" s="2" t="s">
        <v>1933</v>
      </c>
      <c r="E484" s="2" t="s">
        <v>275</v>
      </c>
      <c r="F484" s="2" t="s">
        <v>1903</v>
      </c>
      <c r="G484" s="3" t="s">
        <v>21</v>
      </c>
      <c r="H484" s="2" t="s">
        <v>1934</v>
      </c>
      <c r="I484" s="2" t="s">
        <v>1905</v>
      </c>
      <c r="J484" s="2" t="s">
        <v>1935</v>
      </c>
      <c r="K484" s="2" t="s">
        <v>1907</v>
      </c>
      <c r="L484" s="2" t="s">
        <v>1908</v>
      </c>
      <c r="M484" s="2" t="s">
        <v>1909</v>
      </c>
      <c r="N484" s="2" t="s">
        <v>28</v>
      </c>
      <c r="O484" s="2"/>
    </row>
    <row r="485" spans="1:15" ht="38.25" x14ac:dyDescent="0.25">
      <c r="A485" s="2" t="s">
        <v>1936</v>
      </c>
      <c r="B485" s="2" t="s">
        <v>1593</v>
      </c>
      <c r="C485" s="2" t="s">
        <v>1911</v>
      </c>
      <c r="D485" s="2" t="s">
        <v>1937</v>
      </c>
      <c r="E485" s="2" t="s">
        <v>275</v>
      </c>
      <c r="F485" s="2" t="s">
        <v>1903</v>
      </c>
      <c r="G485" s="3" t="s">
        <v>93</v>
      </c>
      <c r="H485" s="2" t="s">
        <v>1938</v>
      </c>
      <c r="I485" s="2" t="s">
        <v>1905</v>
      </c>
      <c r="J485" s="2" t="s">
        <v>1939</v>
      </c>
      <c r="K485" s="2" t="s">
        <v>1907</v>
      </c>
      <c r="L485" s="2" t="s">
        <v>1908</v>
      </c>
      <c r="M485" s="2" t="s">
        <v>1909</v>
      </c>
      <c r="N485" s="2" t="s">
        <v>28</v>
      </c>
      <c r="O485" s="2"/>
    </row>
    <row r="486" spans="1:15" ht="38.25" x14ac:dyDescent="0.25">
      <c r="A486" s="2" t="s">
        <v>1940</v>
      </c>
      <c r="B486" s="2" t="s">
        <v>1593</v>
      </c>
      <c r="C486" s="2" t="s">
        <v>1911</v>
      </c>
      <c r="D486" s="2" t="s">
        <v>1941</v>
      </c>
      <c r="E486" s="2" t="s">
        <v>275</v>
      </c>
      <c r="F486" s="2" t="s">
        <v>1903</v>
      </c>
      <c r="G486" s="3" t="s">
        <v>34</v>
      </c>
      <c r="H486" s="2" t="s">
        <v>1942</v>
      </c>
      <c r="I486" s="2" t="s">
        <v>1905</v>
      </c>
      <c r="J486" s="2" t="s">
        <v>1943</v>
      </c>
      <c r="K486" s="2" t="s">
        <v>1907</v>
      </c>
      <c r="L486" s="2" t="s">
        <v>1908</v>
      </c>
      <c r="M486" s="2" t="s">
        <v>1909</v>
      </c>
      <c r="N486" s="2" t="s">
        <v>41</v>
      </c>
      <c r="O486" s="2"/>
    </row>
    <row r="487" spans="1:15" ht="38.25" x14ac:dyDescent="0.25">
      <c r="A487" s="2" t="s">
        <v>1944</v>
      </c>
      <c r="B487" s="2" t="s">
        <v>1593</v>
      </c>
      <c r="C487" s="2" t="s">
        <v>1911</v>
      </c>
      <c r="D487" s="2" t="s">
        <v>1945</v>
      </c>
      <c r="E487" s="2" t="s">
        <v>1271</v>
      </c>
      <c r="F487" s="2" t="s">
        <v>1903</v>
      </c>
      <c r="G487" s="3" t="s">
        <v>34</v>
      </c>
      <c r="H487" s="2" t="s">
        <v>1942</v>
      </c>
      <c r="I487" s="2" t="s">
        <v>1905</v>
      </c>
      <c r="J487" s="2" t="s">
        <v>1946</v>
      </c>
      <c r="K487" s="2" t="s">
        <v>1907</v>
      </c>
      <c r="L487" s="2" t="s">
        <v>1908</v>
      </c>
      <c r="M487" s="2" t="s">
        <v>1909</v>
      </c>
      <c r="N487" s="2" t="s">
        <v>41</v>
      </c>
      <c r="O487" s="2"/>
    </row>
    <row r="488" spans="1:15" ht="38.25" x14ac:dyDescent="0.25">
      <c r="A488" s="2" t="s">
        <v>1947</v>
      </c>
      <c r="B488" s="2" t="s">
        <v>1593</v>
      </c>
      <c r="C488" s="2" t="s">
        <v>1911</v>
      </c>
      <c r="D488" s="2" t="s">
        <v>1948</v>
      </c>
      <c r="E488" s="2" t="s">
        <v>275</v>
      </c>
      <c r="F488" s="2" t="s">
        <v>1903</v>
      </c>
      <c r="G488" s="3" t="s">
        <v>21</v>
      </c>
      <c r="H488" s="2" t="s">
        <v>1949</v>
      </c>
      <c r="I488" s="2" t="s">
        <v>1905</v>
      </c>
      <c r="J488" s="2" t="s">
        <v>1950</v>
      </c>
      <c r="K488" s="2" t="s">
        <v>1907</v>
      </c>
      <c r="L488" s="2" t="s">
        <v>1908</v>
      </c>
      <c r="M488" s="2" t="s">
        <v>1909</v>
      </c>
      <c r="N488" s="2" t="s">
        <v>28</v>
      </c>
      <c r="O488" s="2"/>
    </row>
    <row r="489" spans="1:15" ht="38.25" x14ac:dyDescent="0.25">
      <c r="A489" s="2" t="s">
        <v>1951</v>
      </c>
      <c r="B489" s="2" t="s">
        <v>1593</v>
      </c>
      <c r="C489" s="2" t="s">
        <v>1911</v>
      </c>
      <c r="D489" s="2" t="s">
        <v>1952</v>
      </c>
      <c r="E489" s="2" t="s">
        <v>275</v>
      </c>
      <c r="F489" s="2" t="s">
        <v>1903</v>
      </c>
      <c r="G489" s="3" t="s">
        <v>34</v>
      </c>
      <c r="H489" s="2" t="s">
        <v>1942</v>
      </c>
      <c r="I489" s="2" t="s">
        <v>1905</v>
      </c>
      <c r="J489" s="2" t="s">
        <v>1953</v>
      </c>
      <c r="K489" s="2" t="s">
        <v>1907</v>
      </c>
      <c r="L489" s="2" t="s">
        <v>1908</v>
      </c>
      <c r="M489" s="2" t="s">
        <v>1909</v>
      </c>
      <c r="N489" s="2" t="s">
        <v>41</v>
      </c>
      <c r="O489" s="2"/>
    </row>
    <row r="490" spans="1:15" ht="38.25" x14ac:dyDescent="0.25">
      <c r="A490" s="2" t="s">
        <v>1954</v>
      </c>
      <c r="B490" s="2" t="s">
        <v>1593</v>
      </c>
      <c r="C490" s="2" t="s">
        <v>1911</v>
      </c>
      <c r="D490" s="2" t="s">
        <v>1955</v>
      </c>
      <c r="E490" s="2" t="s">
        <v>1271</v>
      </c>
      <c r="F490" s="2" t="s">
        <v>1903</v>
      </c>
      <c r="G490" s="3" t="s">
        <v>34</v>
      </c>
      <c r="H490" s="2" t="s">
        <v>1942</v>
      </c>
      <c r="I490" s="2" t="s">
        <v>1905</v>
      </c>
      <c r="J490" s="2" t="s">
        <v>1956</v>
      </c>
      <c r="K490" s="2" t="s">
        <v>1907</v>
      </c>
      <c r="L490" s="2" t="s">
        <v>1908</v>
      </c>
      <c r="M490" s="2" t="s">
        <v>1909</v>
      </c>
      <c r="N490" s="2" t="s">
        <v>41</v>
      </c>
      <c r="O490" s="2"/>
    </row>
    <row r="491" spans="1:15" ht="51" x14ac:dyDescent="0.25">
      <c r="A491" s="2" t="s">
        <v>1957</v>
      </c>
      <c r="B491" s="2" t="s">
        <v>1593</v>
      </c>
      <c r="C491" s="2" t="s">
        <v>1911</v>
      </c>
      <c r="D491" s="2" t="s">
        <v>1958</v>
      </c>
      <c r="E491" s="2" t="s">
        <v>275</v>
      </c>
      <c r="F491" s="2" t="s">
        <v>1959</v>
      </c>
      <c r="G491" s="3" t="s">
        <v>21</v>
      </c>
      <c r="H491" s="2" t="s">
        <v>1960</v>
      </c>
      <c r="I491" s="2" t="s">
        <v>1905</v>
      </c>
      <c r="J491" s="2" t="s">
        <v>1961</v>
      </c>
      <c r="K491" s="2" t="s">
        <v>1907</v>
      </c>
      <c r="L491" s="2" t="s">
        <v>1908</v>
      </c>
      <c r="M491" s="2" t="s">
        <v>1909</v>
      </c>
      <c r="N491" s="2" t="s">
        <v>28</v>
      </c>
      <c r="O491" s="2"/>
    </row>
    <row r="492" spans="1:15" ht="38.25" x14ac:dyDescent="0.25">
      <c r="A492" s="2" t="s">
        <v>1962</v>
      </c>
      <c r="B492" s="2" t="s">
        <v>1593</v>
      </c>
      <c r="C492" s="2" t="s">
        <v>1911</v>
      </c>
      <c r="D492" s="2" t="s">
        <v>1963</v>
      </c>
      <c r="E492" s="2" t="s">
        <v>275</v>
      </c>
      <c r="F492" s="2" t="s">
        <v>1959</v>
      </c>
      <c r="G492" s="3" t="s">
        <v>21</v>
      </c>
      <c r="H492" s="2" t="s">
        <v>1964</v>
      </c>
      <c r="I492" s="2" t="s">
        <v>1905</v>
      </c>
      <c r="J492" s="2" t="s">
        <v>1965</v>
      </c>
      <c r="K492" s="2" t="s">
        <v>1907</v>
      </c>
      <c r="L492" s="2" t="s">
        <v>1908</v>
      </c>
      <c r="M492" s="2" t="s">
        <v>1909</v>
      </c>
      <c r="N492" s="2" t="s">
        <v>28</v>
      </c>
      <c r="O492" s="2"/>
    </row>
    <row r="493" spans="1:15" ht="63.75" x14ac:dyDescent="0.25">
      <c r="A493" s="2" t="s">
        <v>1966</v>
      </c>
      <c r="B493" s="2" t="s">
        <v>1593</v>
      </c>
      <c r="C493" s="2" t="s">
        <v>1911</v>
      </c>
      <c r="D493" s="2" t="s">
        <v>1967</v>
      </c>
      <c r="E493" s="2" t="s">
        <v>898</v>
      </c>
      <c r="F493" s="2" t="s">
        <v>1959</v>
      </c>
      <c r="G493" s="3" t="s">
        <v>34</v>
      </c>
      <c r="H493" s="2" t="s">
        <v>1968</v>
      </c>
      <c r="I493" s="2" t="s">
        <v>1905</v>
      </c>
      <c r="J493" s="2" t="s">
        <v>1969</v>
      </c>
      <c r="K493" s="2" t="s">
        <v>1907</v>
      </c>
      <c r="L493" s="2" t="s">
        <v>1908</v>
      </c>
      <c r="M493" s="2" t="s">
        <v>1909</v>
      </c>
      <c r="N493" s="2" t="s">
        <v>41</v>
      </c>
      <c r="O493" s="2"/>
    </row>
    <row r="494" spans="1:15" ht="38.25" x14ac:dyDescent="0.25">
      <c r="A494" s="2" t="s">
        <v>1970</v>
      </c>
      <c r="B494" s="2" t="s">
        <v>1593</v>
      </c>
      <c r="C494" s="2" t="s">
        <v>1911</v>
      </c>
      <c r="D494" s="2" t="s">
        <v>1971</v>
      </c>
      <c r="E494" s="2" t="s">
        <v>1253</v>
      </c>
      <c r="F494" s="2" t="s">
        <v>1959</v>
      </c>
      <c r="G494" s="3" t="s">
        <v>34</v>
      </c>
      <c r="H494" s="2" t="s">
        <v>1972</v>
      </c>
      <c r="I494" s="2" t="s">
        <v>1905</v>
      </c>
      <c r="J494" s="2" t="s">
        <v>1973</v>
      </c>
      <c r="K494" s="2" t="s">
        <v>1907</v>
      </c>
      <c r="L494" s="2" t="s">
        <v>1908</v>
      </c>
      <c r="M494" s="2" t="s">
        <v>1909</v>
      </c>
      <c r="N494" s="2" t="s">
        <v>41</v>
      </c>
      <c r="O494" s="2"/>
    </row>
    <row r="495" spans="1:15" ht="51" x14ac:dyDescent="0.25">
      <c r="A495" s="2" t="s">
        <v>1974</v>
      </c>
      <c r="B495" s="2" t="s">
        <v>1593</v>
      </c>
      <c r="C495" s="2" t="s">
        <v>1911</v>
      </c>
      <c r="D495" s="2" t="s">
        <v>1975</v>
      </c>
      <c r="E495" s="2" t="s">
        <v>1271</v>
      </c>
      <c r="F495" s="2" t="s">
        <v>1903</v>
      </c>
      <c r="G495" s="3" t="s">
        <v>93</v>
      </c>
      <c r="H495" s="2" t="s">
        <v>1976</v>
      </c>
      <c r="I495" s="2" t="s">
        <v>1905</v>
      </c>
      <c r="J495" s="2" t="s">
        <v>1977</v>
      </c>
      <c r="K495" s="2" t="s">
        <v>1907</v>
      </c>
      <c r="L495" s="2" t="s">
        <v>1908</v>
      </c>
      <c r="M495" s="2" t="s">
        <v>1909</v>
      </c>
      <c r="N495" s="2" t="s">
        <v>28</v>
      </c>
      <c r="O495" s="2"/>
    </row>
    <row r="496" spans="1:15" ht="38.25" x14ac:dyDescent="0.25">
      <c r="A496" s="2" t="s">
        <v>1978</v>
      </c>
      <c r="B496" s="2" t="s">
        <v>1593</v>
      </c>
      <c r="C496" s="2" t="s">
        <v>1911</v>
      </c>
      <c r="D496" s="2" t="s">
        <v>1979</v>
      </c>
      <c r="E496" s="2" t="s">
        <v>275</v>
      </c>
      <c r="F496" s="2" t="s">
        <v>1903</v>
      </c>
      <c r="G496" s="3" t="s">
        <v>21</v>
      </c>
      <c r="H496" s="2" t="s">
        <v>1980</v>
      </c>
      <c r="I496" s="2" t="s">
        <v>1905</v>
      </c>
      <c r="J496" s="2" t="s">
        <v>1981</v>
      </c>
      <c r="K496" s="2" t="s">
        <v>1907</v>
      </c>
      <c r="L496" s="2" t="s">
        <v>1908</v>
      </c>
      <c r="M496" s="2" t="s">
        <v>1909</v>
      </c>
      <c r="N496" s="2" t="s">
        <v>28</v>
      </c>
      <c r="O496" s="2"/>
    </row>
    <row r="497" spans="1:15" ht="38.25" x14ac:dyDescent="0.25">
      <c r="A497" s="2" t="s">
        <v>1982</v>
      </c>
      <c r="B497" s="2" t="s">
        <v>1593</v>
      </c>
      <c r="C497" s="2" t="s">
        <v>1911</v>
      </c>
      <c r="D497" s="2" t="s">
        <v>1983</v>
      </c>
      <c r="E497" s="2" t="s">
        <v>275</v>
      </c>
      <c r="F497" s="2" t="s">
        <v>1903</v>
      </c>
      <c r="G497" s="3" t="s">
        <v>21</v>
      </c>
      <c r="H497" s="2" t="s">
        <v>1984</v>
      </c>
      <c r="I497" s="2" t="s">
        <v>1905</v>
      </c>
      <c r="J497" s="2" t="s">
        <v>1985</v>
      </c>
      <c r="K497" s="2" t="s">
        <v>1907</v>
      </c>
      <c r="L497" s="2" t="s">
        <v>1908</v>
      </c>
      <c r="M497" s="2" t="s">
        <v>1909</v>
      </c>
      <c r="N497" s="2" t="s">
        <v>28</v>
      </c>
      <c r="O497" s="2"/>
    </row>
    <row r="498" spans="1:15" ht="38.25" x14ac:dyDescent="0.25">
      <c r="A498" s="2" t="s">
        <v>1986</v>
      </c>
      <c r="B498" s="2" t="s">
        <v>1593</v>
      </c>
      <c r="C498" s="2" t="s">
        <v>1911</v>
      </c>
      <c r="D498" s="2" t="s">
        <v>1987</v>
      </c>
      <c r="E498" s="2" t="s">
        <v>275</v>
      </c>
      <c r="F498" s="2" t="s">
        <v>1903</v>
      </c>
      <c r="G498" s="3" t="s">
        <v>21</v>
      </c>
      <c r="H498" s="2" t="s">
        <v>1988</v>
      </c>
      <c r="I498" s="2" t="s">
        <v>1905</v>
      </c>
      <c r="J498" s="2" t="s">
        <v>1989</v>
      </c>
      <c r="K498" s="2" t="s">
        <v>1907</v>
      </c>
      <c r="L498" s="2" t="s">
        <v>1908</v>
      </c>
      <c r="M498" s="2" t="s">
        <v>1909</v>
      </c>
      <c r="N498" s="2" t="s">
        <v>28</v>
      </c>
      <c r="O498" s="2"/>
    </row>
    <row r="499" spans="1:15" ht="38.25" x14ac:dyDescent="0.25">
      <c r="A499" s="2" t="s">
        <v>1990</v>
      </c>
      <c r="B499" s="2" t="s">
        <v>1593</v>
      </c>
      <c r="C499" s="2" t="s">
        <v>1911</v>
      </c>
      <c r="D499" s="2" t="s">
        <v>1991</v>
      </c>
      <c r="E499" s="2" t="s">
        <v>1271</v>
      </c>
      <c r="F499" s="2" t="s">
        <v>1903</v>
      </c>
      <c r="G499" s="3" t="s">
        <v>34</v>
      </c>
      <c r="H499" s="2" t="s">
        <v>1992</v>
      </c>
      <c r="I499" s="2" t="s">
        <v>1905</v>
      </c>
      <c r="J499" s="2" t="s">
        <v>1993</v>
      </c>
      <c r="K499" s="2" t="s">
        <v>1907</v>
      </c>
      <c r="L499" s="2" t="s">
        <v>1908</v>
      </c>
      <c r="M499" s="2" t="s">
        <v>1909</v>
      </c>
      <c r="N499" s="2" t="s">
        <v>41</v>
      </c>
      <c r="O499" s="2"/>
    </row>
    <row r="500" spans="1:15" ht="38.25" x14ac:dyDescent="0.25">
      <c r="A500" s="2" t="s">
        <v>1994</v>
      </c>
      <c r="B500" s="2" t="s">
        <v>1593</v>
      </c>
      <c r="C500" s="2" t="s">
        <v>1911</v>
      </c>
      <c r="D500" s="2" t="s">
        <v>1995</v>
      </c>
      <c r="E500" s="2" t="s">
        <v>1271</v>
      </c>
      <c r="F500" s="2" t="s">
        <v>1903</v>
      </c>
      <c r="G500" s="3" t="s">
        <v>21</v>
      </c>
      <c r="H500" s="2" t="s">
        <v>1996</v>
      </c>
      <c r="I500" s="2" t="s">
        <v>1905</v>
      </c>
      <c r="J500" s="2" t="s">
        <v>1997</v>
      </c>
      <c r="K500" s="2" t="s">
        <v>1907</v>
      </c>
      <c r="L500" s="2" t="s">
        <v>1908</v>
      </c>
      <c r="M500" s="2" t="s">
        <v>1909</v>
      </c>
      <c r="N500" s="2" t="s">
        <v>28</v>
      </c>
      <c r="O500" s="2"/>
    </row>
    <row r="501" spans="1:15" ht="76.5" x14ac:dyDescent="0.25">
      <c r="A501" s="2" t="s">
        <v>1998</v>
      </c>
      <c r="B501" s="2" t="s">
        <v>1593</v>
      </c>
      <c r="C501" s="2" t="s">
        <v>1999</v>
      </c>
      <c r="D501" s="2" t="s">
        <v>2000</v>
      </c>
      <c r="E501" s="2" t="s">
        <v>275</v>
      </c>
      <c r="F501" s="2" t="s">
        <v>1959</v>
      </c>
      <c r="G501" s="3" t="s">
        <v>34</v>
      </c>
      <c r="H501" s="2" t="s">
        <v>2001</v>
      </c>
      <c r="I501" s="2" t="s">
        <v>1626</v>
      </c>
      <c r="J501" s="2" t="s">
        <v>2002</v>
      </c>
      <c r="K501" s="2" t="s">
        <v>1628</v>
      </c>
      <c r="L501" s="2" t="s">
        <v>1629</v>
      </c>
      <c r="M501" s="2" t="s">
        <v>1630</v>
      </c>
      <c r="N501" s="2" t="s">
        <v>41</v>
      </c>
      <c r="O501" s="2"/>
    </row>
    <row r="502" spans="1:15" ht="51" x14ac:dyDescent="0.25">
      <c r="A502" s="2" t="s">
        <v>2003</v>
      </c>
      <c r="B502" s="2" t="s">
        <v>1593</v>
      </c>
      <c r="C502" s="2" t="s">
        <v>1999</v>
      </c>
      <c r="D502" s="2" t="s">
        <v>2004</v>
      </c>
      <c r="E502" s="2" t="s">
        <v>275</v>
      </c>
      <c r="F502" s="2" t="s">
        <v>1959</v>
      </c>
      <c r="G502" s="3" t="s">
        <v>34</v>
      </c>
      <c r="H502" s="2" t="s">
        <v>2005</v>
      </c>
      <c r="I502" s="2" t="s">
        <v>1626</v>
      </c>
      <c r="J502" s="2" t="s">
        <v>2006</v>
      </c>
      <c r="K502" s="2" t="s">
        <v>1628</v>
      </c>
      <c r="L502" s="2" t="s">
        <v>1629</v>
      </c>
      <c r="M502" s="2" t="s">
        <v>1630</v>
      </c>
      <c r="N502" s="2" t="s">
        <v>41</v>
      </c>
      <c r="O502" s="2"/>
    </row>
    <row r="503" spans="1:15" ht="76.5" x14ac:dyDescent="0.25">
      <c r="A503" s="2" t="s">
        <v>2007</v>
      </c>
      <c r="B503" s="2" t="s">
        <v>1593</v>
      </c>
      <c r="C503" s="2" t="s">
        <v>1999</v>
      </c>
      <c r="D503" s="2" t="s">
        <v>2008</v>
      </c>
      <c r="E503" s="2" t="s">
        <v>1271</v>
      </c>
      <c r="F503" s="2" t="s">
        <v>1959</v>
      </c>
      <c r="G503" s="3" t="s">
        <v>34</v>
      </c>
      <c r="H503" s="2" t="s">
        <v>2009</v>
      </c>
      <c r="I503" s="2" t="s">
        <v>1626</v>
      </c>
      <c r="J503" s="2" t="s">
        <v>2010</v>
      </c>
      <c r="K503" s="2" t="s">
        <v>1628</v>
      </c>
      <c r="L503" s="2" t="s">
        <v>1629</v>
      </c>
      <c r="M503" s="2" t="s">
        <v>1630</v>
      </c>
      <c r="N503" s="2" t="s">
        <v>41</v>
      </c>
      <c r="O503" s="2"/>
    </row>
    <row r="504" spans="1:15" ht="63.75" x14ac:dyDescent="0.25">
      <c r="A504" s="2" t="s">
        <v>2011</v>
      </c>
      <c r="B504" s="2" t="s">
        <v>1593</v>
      </c>
      <c r="C504" s="2" t="s">
        <v>1999</v>
      </c>
      <c r="D504" s="2" t="s">
        <v>2012</v>
      </c>
      <c r="E504" s="2" t="s">
        <v>275</v>
      </c>
      <c r="F504" s="2" t="s">
        <v>1959</v>
      </c>
      <c r="G504" s="3" t="s">
        <v>34</v>
      </c>
      <c r="H504" s="2" t="s">
        <v>2013</v>
      </c>
      <c r="I504" s="2" t="s">
        <v>1626</v>
      </c>
      <c r="J504" s="2" t="s">
        <v>2014</v>
      </c>
      <c r="K504" s="2" t="s">
        <v>1628</v>
      </c>
      <c r="L504" s="2" t="s">
        <v>1629</v>
      </c>
      <c r="M504" s="2" t="s">
        <v>1630</v>
      </c>
      <c r="N504" s="2" t="s">
        <v>41</v>
      </c>
      <c r="O504" s="2"/>
    </row>
    <row r="505" spans="1:15" ht="38.25" x14ac:dyDescent="0.25">
      <c r="A505" s="2" t="s">
        <v>2015</v>
      </c>
      <c r="B505" s="2" t="s">
        <v>1593</v>
      </c>
      <c r="C505" s="2" t="s">
        <v>2016</v>
      </c>
      <c r="D505" s="2" t="s">
        <v>2017</v>
      </c>
      <c r="E505" s="2" t="s">
        <v>275</v>
      </c>
      <c r="F505" s="2" t="s">
        <v>2018</v>
      </c>
      <c r="G505" s="3" t="s">
        <v>93</v>
      </c>
      <c r="H505" s="2" t="s">
        <v>2019</v>
      </c>
      <c r="I505" s="2" t="s">
        <v>1626</v>
      </c>
      <c r="J505" s="2" t="s">
        <v>2020</v>
      </c>
      <c r="K505" s="2" t="s">
        <v>1628</v>
      </c>
      <c r="L505" s="2" t="s">
        <v>1629</v>
      </c>
      <c r="M505" s="2" t="s">
        <v>1630</v>
      </c>
      <c r="N505" s="2" t="s">
        <v>28</v>
      </c>
      <c r="O505" s="2"/>
    </row>
    <row r="506" spans="1:15" ht="38.25" x14ac:dyDescent="0.25">
      <c r="A506" s="2" t="s">
        <v>2021</v>
      </c>
      <c r="B506" s="2" t="s">
        <v>1593</v>
      </c>
      <c r="C506" s="2" t="s">
        <v>2016</v>
      </c>
      <c r="D506" s="2" t="s">
        <v>2022</v>
      </c>
      <c r="E506" s="2" t="s">
        <v>202</v>
      </c>
      <c r="F506" s="2" t="s">
        <v>2018</v>
      </c>
      <c r="G506" s="3" t="s">
        <v>21</v>
      </c>
      <c r="H506" s="2" t="s">
        <v>2023</v>
      </c>
      <c r="I506" s="2" t="s">
        <v>1626</v>
      </c>
      <c r="J506" s="2" t="s">
        <v>2024</v>
      </c>
      <c r="K506" s="2" t="s">
        <v>1628</v>
      </c>
      <c r="L506" s="2" t="s">
        <v>1629</v>
      </c>
      <c r="M506" s="2" t="s">
        <v>1630</v>
      </c>
      <c r="N506" s="2" t="s">
        <v>28</v>
      </c>
      <c r="O506" s="2"/>
    </row>
    <row r="507" spans="1:15" ht="38.25" x14ac:dyDescent="0.25">
      <c r="A507" s="2" t="s">
        <v>2025</v>
      </c>
      <c r="B507" s="2" t="s">
        <v>1593</v>
      </c>
      <c r="C507" s="2" t="s">
        <v>2016</v>
      </c>
      <c r="D507" s="2" t="s">
        <v>2026</v>
      </c>
      <c r="E507" s="2" t="s">
        <v>275</v>
      </c>
      <c r="F507" s="2" t="s">
        <v>2018</v>
      </c>
      <c r="G507" s="3" t="s">
        <v>34</v>
      </c>
      <c r="H507" s="2" t="s">
        <v>2027</v>
      </c>
      <c r="I507" s="2" t="s">
        <v>1626</v>
      </c>
      <c r="J507" s="2" t="s">
        <v>2028</v>
      </c>
      <c r="K507" s="2" t="s">
        <v>1628</v>
      </c>
      <c r="L507" s="2" t="s">
        <v>1629</v>
      </c>
      <c r="M507" s="2" t="s">
        <v>1630</v>
      </c>
      <c r="N507" s="2" t="s">
        <v>41</v>
      </c>
      <c r="O507" s="2"/>
    </row>
    <row r="508" spans="1:15" ht="25.5" x14ac:dyDescent="0.25">
      <c r="A508" s="2" t="s">
        <v>2029</v>
      </c>
      <c r="B508" s="2" t="s">
        <v>1593</v>
      </c>
      <c r="C508" s="2" t="s">
        <v>2016</v>
      </c>
      <c r="D508" s="2" t="s">
        <v>2030</v>
      </c>
      <c r="E508" s="2" t="s">
        <v>275</v>
      </c>
      <c r="F508" s="2" t="s">
        <v>2018</v>
      </c>
      <c r="G508" s="3" t="s">
        <v>21</v>
      </c>
      <c r="H508" s="2" t="s">
        <v>2031</v>
      </c>
      <c r="I508" s="2" t="s">
        <v>1668</v>
      </c>
      <c r="J508" s="2" t="s">
        <v>2032</v>
      </c>
      <c r="K508" s="2" t="s">
        <v>1670</v>
      </c>
      <c r="L508" s="2" t="s">
        <v>1671</v>
      </c>
      <c r="M508" s="2" t="s">
        <v>1672</v>
      </c>
      <c r="N508" s="2" t="s">
        <v>28</v>
      </c>
      <c r="O508" s="2" t="s">
        <v>1673</v>
      </c>
    </row>
    <row r="509" spans="1:15" ht="25.5" x14ac:dyDescent="0.25">
      <c r="A509" s="2" t="s">
        <v>2033</v>
      </c>
      <c r="B509" s="2" t="s">
        <v>1593</v>
      </c>
      <c r="C509" s="2" t="s">
        <v>2016</v>
      </c>
      <c r="D509" s="2" t="s">
        <v>2034</v>
      </c>
      <c r="E509" s="2" t="s">
        <v>275</v>
      </c>
      <c r="F509" s="2" t="s">
        <v>2018</v>
      </c>
      <c r="G509" s="3" t="s">
        <v>34</v>
      </c>
      <c r="H509" s="2" t="s">
        <v>2035</v>
      </c>
      <c r="I509" s="2" t="s">
        <v>1626</v>
      </c>
      <c r="J509" s="2" t="s">
        <v>2036</v>
      </c>
      <c r="K509" s="2" t="s">
        <v>1628</v>
      </c>
      <c r="L509" s="2" t="s">
        <v>1629</v>
      </c>
      <c r="M509" s="2" t="s">
        <v>1630</v>
      </c>
      <c r="N509" s="2" t="s">
        <v>41</v>
      </c>
      <c r="O509" s="2"/>
    </row>
    <row r="510" spans="1:15" ht="38.25" x14ac:dyDescent="0.25">
      <c r="A510" s="2" t="s">
        <v>2037</v>
      </c>
      <c r="B510" s="2" t="s">
        <v>1593</v>
      </c>
      <c r="C510" s="2" t="s">
        <v>2016</v>
      </c>
      <c r="D510" s="2" t="s">
        <v>2038</v>
      </c>
      <c r="E510" s="2" t="s">
        <v>275</v>
      </c>
      <c r="F510" s="2" t="s">
        <v>2018</v>
      </c>
      <c r="G510" s="3" t="s">
        <v>34</v>
      </c>
      <c r="H510" s="2" t="s">
        <v>2039</v>
      </c>
      <c r="I510" s="2" t="s">
        <v>1626</v>
      </c>
      <c r="J510" s="2" t="s">
        <v>2040</v>
      </c>
      <c r="K510" s="2" t="s">
        <v>1628</v>
      </c>
      <c r="L510" s="2" t="s">
        <v>1629</v>
      </c>
      <c r="M510" s="2" t="s">
        <v>1630</v>
      </c>
      <c r="N510" s="2" t="s">
        <v>41</v>
      </c>
      <c r="O510" s="2"/>
    </row>
    <row r="511" spans="1:15" ht="38.25" x14ac:dyDescent="0.25">
      <c r="A511" s="2" t="s">
        <v>2041</v>
      </c>
      <c r="B511" s="2" t="s">
        <v>1593</v>
      </c>
      <c r="C511" s="2" t="s">
        <v>2016</v>
      </c>
      <c r="D511" s="2" t="s">
        <v>2042</v>
      </c>
      <c r="E511" s="2" t="s">
        <v>1271</v>
      </c>
      <c r="F511" s="2" t="s">
        <v>2018</v>
      </c>
      <c r="G511" s="3" t="s">
        <v>34</v>
      </c>
      <c r="H511" s="2" t="s">
        <v>2043</v>
      </c>
      <c r="I511" s="2" t="s">
        <v>1626</v>
      </c>
      <c r="J511" s="2" t="s">
        <v>2044</v>
      </c>
      <c r="K511" s="2" t="s">
        <v>1628</v>
      </c>
      <c r="L511" s="2" t="s">
        <v>1629</v>
      </c>
      <c r="M511" s="2" t="s">
        <v>1630</v>
      </c>
      <c r="N511" s="2" t="s">
        <v>41</v>
      </c>
      <c r="O511" s="2"/>
    </row>
    <row r="512" spans="1:15" ht="25.5" x14ac:dyDescent="0.25">
      <c r="A512" s="2" t="s">
        <v>2045</v>
      </c>
      <c r="B512" s="2" t="s">
        <v>1593</v>
      </c>
      <c r="C512" s="2" t="s">
        <v>2016</v>
      </c>
      <c r="D512" s="2" t="s">
        <v>2046</v>
      </c>
      <c r="E512" s="2" t="s">
        <v>1271</v>
      </c>
      <c r="F512" s="2" t="s">
        <v>2018</v>
      </c>
      <c r="G512" s="3" t="s">
        <v>34</v>
      </c>
      <c r="H512" s="2" t="s">
        <v>2047</v>
      </c>
      <c r="I512" s="2" t="s">
        <v>1626</v>
      </c>
      <c r="J512" s="2" t="s">
        <v>2048</v>
      </c>
      <c r="K512" s="2" t="s">
        <v>1628</v>
      </c>
      <c r="L512" s="2" t="s">
        <v>1629</v>
      </c>
      <c r="M512" s="2" t="s">
        <v>1630</v>
      </c>
      <c r="N512" s="2" t="s">
        <v>41</v>
      </c>
      <c r="O512" s="2"/>
    </row>
    <row r="513" spans="1:15" ht="38.25" x14ac:dyDescent="0.25">
      <c r="A513" s="2" t="s">
        <v>2049</v>
      </c>
      <c r="B513" s="2" t="s">
        <v>1593</v>
      </c>
      <c r="C513" s="2" t="s">
        <v>2016</v>
      </c>
      <c r="D513" s="2" t="s">
        <v>2050</v>
      </c>
      <c r="E513" s="2" t="s">
        <v>1271</v>
      </c>
      <c r="F513" s="2" t="s">
        <v>2018</v>
      </c>
      <c r="G513" s="3" t="s">
        <v>21</v>
      </c>
      <c r="H513" s="2" t="s">
        <v>2051</v>
      </c>
      <c r="I513" s="2" t="s">
        <v>1626</v>
      </c>
      <c r="J513" s="2" t="s">
        <v>2052</v>
      </c>
      <c r="K513" s="2" t="s">
        <v>1628</v>
      </c>
      <c r="L513" s="2" t="s">
        <v>1629</v>
      </c>
      <c r="M513" s="2" t="s">
        <v>1630</v>
      </c>
      <c r="N513" s="2" t="s">
        <v>28</v>
      </c>
      <c r="O513" s="2"/>
    </row>
    <row r="514" spans="1:15" ht="38.25" x14ac:dyDescent="0.25">
      <c r="A514" s="2" t="s">
        <v>2053</v>
      </c>
      <c r="B514" s="2" t="s">
        <v>1593</v>
      </c>
      <c r="C514" s="2" t="s">
        <v>2054</v>
      </c>
      <c r="D514" s="2" t="s">
        <v>2055</v>
      </c>
      <c r="E514" s="2" t="s">
        <v>275</v>
      </c>
      <c r="F514" s="2" t="s">
        <v>2056</v>
      </c>
      <c r="G514" s="3" t="s">
        <v>67</v>
      </c>
      <c r="H514" s="2" t="s">
        <v>2057</v>
      </c>
      <c r="I514" s="2" t="s">
        <v>1626</v>
      </c>
      <c r="J514" s="2" t="s">
        <v>2058</v>
      </c>
      <c r="K514" s="2" t="s">
        <v>1628</v>
      </c>
      <c r="L514" s="2" t="s">
        <v>1629</v>
      </c>
      <c r="M514" s="2" t="s">
        <v>1630</v>
      </c>
      <c r="N514" s="2" t="s">
        <v>28</v>
      </c>
      <c r="O514" s="2"/>
    </row>
    <row r="515" spans="1:15" ht="38.25" x14ac:dyDescent="0.25">
      <c r="A515" s="2" t="s">
        <v>2059</v>
      </c>
      <c r="B515" s="2" t="s">
        <v>1593</v>
      </c>
      <c r="C515" s="2" t="s">
        <v>2060</v>
      </c>
      <c r="D515" s="2" t="s">
        <v>2061</v>
      </c>
      <c r="E515" s="2" t="s">
        <v>275</v>
      </c>
      <c r="F515" s="2" t="s">
        <v>2062</v>
      </c>
      <c r="G515" s="3" t="s">
        <v>67</v>
      </c>
      <c r="H515" s="2" t="s">
        <v>2063</v>
      </c>
      <c r="I515" s="2" t="s">
        <v>1600</v>
      </c>
      <c r="J515" s="2" t="s">
        <v>2064</v>
      </c>
      <c r="K515" s="2" t="s">
        <v>1602</v>
      </c>
      <c r="L515" s="2" t="s">
        <v>1603</v>
      </c>
      <c r="M515" s="2" t="s">
        <v>1604</v>
      </c>
      <c r="N515" s="2" t="s">
        <v>74</v>
      </c>
      <c r="O515" s="2"/>
    </row>
    <row r="516" spans="1:15" ht="38.25" x14ac:dyDescent="0.25">
      <c r="A516" s="2" t="s">
        <v>2065</v>
      </c>
      <c r="B516" s="2" t="s">
        <v>1593</v>
      </c>
      <c r="C516" s="2" t="s">
        <v>2060</v>
      </c>
      <c r="D516" s="2" t="s">
        <v>2066</v>
      </c>
      <c r="E516" s="2" t="s">
        <v>2067</v>
      </c>
      <c r="F516" s="2" t="s">
        <v>2068</v>
      </c>
      <c r="G516" s="3" t="s">
        <v>34</v>
      </c>
      <c r="H516" s="2" t="s">
        <v>2069</v>
      </c>
      <c r="I516" s="2" t="s">
        <v>1600</v>
      </c>
      <c r="J516" s="2" t="s">
        <v>2070</v>
      </c>
      <c r="K516" s="2" t="s">
        <v>1602</v>
      </c>
      <c r="L516" s="2" t="s">
        <v>1603</v>
      </c>
      <c r="M516" s="2" t="s">
        <v>1604</v>
      </c>
      <c r="N516" s="2" t="s">
        <v>41</v>
      </c>
      <c r="O516" s="2"/>
    </row>
    <row r="517" spans="1:15" ht="38.25" x14ac:dyDescent="0.25">
      <c r="A517" s="2" t="s">
        <v>2071</v>
      </c>
      <c r="B517" s="2" t="s">
        <v>1593</v>
      </c>
      <c r="C517" s="2" t="s">
        <v>2072</v>
      </c>
      <c r="D517" s="2" t="s">
        <v>2073</v>
      </c>
      <c r="E517" s="2" t="s">
        <v>275</v>
      </c>
      <c r="F517" s="2" t="s">
        <v>2062</v>
      </c>
      <c r="G517" s="3" t="s">
        <v>34</v>
      </c>
      <c r="H517" s="2" t="s">
        <v>2074</v>
      </c>
      <c r="I517" s="2" t="s">
        <v>1600</v>
      </c>
      <c r="J517" s="2" t="s">
        <v>2075</v>
      </c>
      <c r="K517" s="2" t="s">
        <v>1602</v>
      </c>
      <c r="L517" s="2" t="s">
        <v>1603</v>
      </c>
      <c r="M517" s="2" t="s">
        <v>1604</v>
      </c>
      <c r="N517" s="2" t="s">
        <v>41</v>
      </c>
      <c r="O517" s="2"/>
    </row>
    <row r="518" spans="1:15" ht="38.25" x14ac:dyDescent="0.25">
      <c r="A518" s="2" t="s">
        <v>2076</v>
      </c>
      <c r="B518" s="2" t="s">
        <v>1593</v>
      </c>
      <c r="C518" s="2" t="s">
        <v>2072</v>
      </c>
      <c r="D518" s="2" t="s">
        <v>2077</v>
      </c>
      <c r="E518" s="2" t="s">
        <v>275</v>
      </c>
      <c r="F518" s="2" t="s">
        <v>2062</v>
      </c>
      <c r="G518" s="3" t="s">
        <v>34</v>
      </c>
      <c r="H518" s="2" t="s">
        <v>2078</v>
      </c>
      <c r="I518" s="2" t="s">
        <v>1600</v>
      </c>
      <c r="J518" s="2" t="s">
        <v>2079</v>
      </c>
      <c r="K518" s="2" t="s">
        <v>1602</v>
      </c>
      <c r="L518" s="2" t="s">
        <v>1603</v>
      </c>
      <c r="M518" s="2" t="s">
        <v>1604</v>
      </c>
      <c r="N518" s="2" t="s">
        <v>41</v>
      </c>
      <c r="O518" s="2"/>
    </row>
    <row r="519" spans="1:15" ht="25.5" x14ac:dyDescent="0.25">
      <c r="A519" s="2" t="s">
        <v>2080</v>
      </c>
      <c r="B519" s="2" t="s">
        <v>1593</v>
      </c>
      <c r="C519" s="2" t="s">
        <v>2072</v>
      </c>
      <c r="D519" s="2" t="s">
        <v>2081</v>
      </c>
      <c r="E519" s="2" t="s">
        <v>275</v>
      </c>
      <c r="F519" s="2" t="s">
        <v>2062</v>
      </c>
      <c r="G519" s="3" t="s">
        <v>21</v>
      </c>
      <c r="H519" s="2" t="s">
        <v>2082</v>
      </c>
      <c r="I519" s="2" t="s">
        <v>1600</v>
      </c>
      <c r="J519" s="2" t="s">
        <v>2083</v>
      </c>
      <c r="K519" s="2" t="s">
        <v>1602</v>
      </c>
      <c r="L519" s="2" t="s">
        <v>1603</v>
      </c>
      <c r="M519" s="2" t="s">
        <v>1604</v>
      </c>
      <c r="N519" s="2" t="s">
        <v>28</v>
      </c>
      <c r="O519" s="2"/>
    </row>
    <row r="520" spans="1:15" ht="51" x14ac:dyDescent="0.25">
      <c r="A520" s="2" t="s">
        <v>2084</v>
      </c>
      <c r="B520" s="2" t="s">
        <v>1593</v>
      </c>
      <c r="C520" s="2" t="s">
        <v>2085</v>
      </c>
      <c r="D520" s="2" t="s">
        <v>2086</v>
      </c>
      <c r="E520" s="2" t="s">
        <v>275</v>
      </c>
      <c r="F520" s="2" t="s">
        <v>2087</v>
      </c>
      <c r="G520" s="3" t="s">
        <v>67</v>
      </c>
      <c r="H520" s="2" t="s">
        <v>2088</v>
      </c>
      <c r="I520" s="2" t="s">
        <v>1646</v>
      </c>
      <c r="J520" s="2" t="s">
        <v>2089</v>
      </c>
      <c r="K520" s="2" t="s">
        <v>1648</v>
      </c>
      <c r="L520" s="2" t="s">
        <v>266</v>
      </c>
      <c r="M520" s="2" t="s">
        <v>1649</v>
      </c>
      <c r="N520" s="2" t="s">
        <v>74</v>
      </c>
      <c r="O520" s="2" t="s">
        <v>1650</v>
      </c>
    </row>
    <row r="521" spans="1:15" ht="51" x14ac:dyDescent="0.25">
      <c r="A521" s="2" t="s">
        <v>2090</v>
      </c>
      <c r="B521" s="2" t="s">
        <v>1593</v>
      </c>
      <c r="C521" s="2" t="s">
        <v>2085</v>
      </c>
      <c r="D521" s="2" t="s">
        <v>2091</v>
      </c>
      <c r="E521" s="2" t="s">
        <v>275</v>
      </c>
      <c r="F521" s="2" t="s">
        <v>2087</v>
      </c>
      <c r="G521" s="3" t="s">
        <v>93</v>
      </c>
      <c r="H521" s="2" t="s">
        <v>2092</v>
      </c>
      <c r="I521" s="2" t="s">
        <v>1646</v>
      </c>
      <c r="J521" s="2" t="s">
        <v>2093</v>
      </c>
      <c r="K521" s="2" t="s">
        <v>1648</v>
      </c>
      <c r="L521" s="2" t="s">
        <v>266</v>
      </c>
      <c r="M521" s="2" t="s">
        <v>1649</v>
      </c>
      <c r="N521" s="2" t="s">
        <v>28</v>
      </c>
      <c r="O521" s="2" t="s">
        <v>1650</v>
      </c>
    </row>
    <row r="522" spans="1:15" ht="51" x14ac:dyDescent="0.25">
      <c r="A522" s="2" t="s">
        <v>2094</v>
      </c>
      <c r="B522" s="2" t="s">
        <v>1593</v>
      </c>
      <c r="C522" s="2" t="s">
        <v>2085</v>
      </c>
      <c r="D522" s="2" t="s">
        <v>2095</v>
      </c>
      <c r="E522" s="2" t="s">
        <v>275</v>
      </c>
      <c r="F522" s="2" t="s">
        <v>2087</v>
      </c>
      <c r="G522" s="3" t="s">
        <v>93</v>
      </c>
      <c r="H522" s="2" t="s">
        <v>2096</v>
      </c>
      <c r="I522" s="2" t="s">
        <v>1646</v>
      </c>
      <c r="J522" s="2" t="s">
        <v>2097</v>
      </c>
      <c r="K522" s="2" t="s">
        <v>1648</v>
      </c>
      <c r="L522" s="2" t="s">
        <v>266</v>
      </c>
      <c r="M522" s="2" t="s">
        <v>1649</v>
      </c>
      <c r="N522" s="2" t="s">
        <v>28</v>
      </c>
      <c r="O522" s="2" t="s">
        <v>1650</v>
      </c>
    </row>
    <row r="523" spans="1:15" ht="38.25" x14ac:dyDescent="0.25">
      <c r="A523" s="2" t="s">
        <v>2098</v>
      </c>
      <c r="B523" s="2" t="s">
        <v>1593</v>
      </c>
      <c r="C523" s="2" t="s">
        <v>2099</v>
      </c>
      <c r="D523" s="2" t="s">
        <v>2100</v>
      </c>
      <c r="E523" s="2" t="s">
        <v>275</v>
      </c>
      <c r="F523" s="2" t="s">
        <v>2062</v>
      </c>
      <c r="G523" s="3" t="s">
        <v>34</v>
      </c>
      <c r="H523" s="2" t="s">
        <v>2101</v>
      </c>
      <c r="I523" s="2" t="s">
        <v>1600</v>
      </c>
      <c r="J523" s="2" t="s">
        <v>2102</v>
      </c>
      <c r="K523" s="2" t="s">
        <v>1602</v>
      </c>
      <c r="L523" s="2" t="s">
        <v>1603</v>
      </c>
      <c r="M523" s="2" t="s">
        <v>1604</v>
      </c>
      <c r="N523" s="2" t="s">
        <v>41</v>
      </c>
      <c r="O523" s="2"/>
    </row>
    <row r="524" spans="1:15" ht="25.5" x14ac:dyDescent="0.25">
      <c r="A524" s="2" t="s">
        <v>2103</v>
      </c>
      <c r="B524" s="2" t="s">
        <v>1593</v>
      </c>
      <c r="C524" s="2" t="s">
        <v>2099</v>
      </c>
      <c r="D524" s="2" t="s">
        <v>1801</v>
      </c>
      <c r="E524" s="2" t="s">
        <v>275</v>
      </c>
      <c r="F524" s="2" t="s">
        <v>2062</v>
      </c>
      <c r="G524" s="3" t="s">
        <v>34</v>
      </c>
      <c r="H524" s="2" t="s">
        <v>2104</v>
      </c>
      <c r="I524" s="2" t="s">
        <v>1600</v>
      </c>
      <c r="J524" s="2" t="s">
        <v>2105</v>
      </c>
      <c r="K524" s="2" t="s">
        <v>1602</v>
      </c>
      <c r="L524" s="2" t="s">
        <v>1603</v>
      </c>
      <c r="M524" s="2" t="s">
        <v>1604</v>
      </c>
      <c r="N524" s="2" t="s">
        <v>41</v>
      </c>
      <c r="O524" s="2"/>
    </row>
    <row r="525" spans="1:15" ht="38.25" x14ac:dyDescent="0.25">
      <c r="A525" s="2" t="s">
        <v>2106</v>
      </c>
      <c r="B525" s="2" t="s">
        <v>1593</v>
      </c>
      <c r="C525" s="2" t="s">
        <v>2107</v>
      </c>
      <c r="D525" s="2" t="s">
        <v>2108</v>
      </c>
      <c r="E525" s="2" t="s">
        <v>275</v>
      </c>
      <c r="F525" s="2" t="s">
        <v>2109</v>
      </c>
      <c r="G525" s="3" t="s">
        <v>93</v>
      </c>
      <c r="H525" s="2" t="s">
        <v>2110</v>
      </c>
      <c r="I525" s="2" t="s">
        <v>1600</v>
      </c>
      <c r="J525" s="2" t="s">
        <v>2111</v>
      </c>
      <c r="K525" s="2" t="s">
        <v>1602</v>
      </c>
      <c r="L525" s="2" t="s">
        <v>1603</v>
      </c>
      <c r="M525" s="2" t="s">
        <v>1604</v>
      </c>
      <c r="N525" s="2" t="s">
        <v>28</v>
      </c>
      <c r="O525" s="2"/>
    </row>
    <row r="526" spans="1:15" ht="38.25" x14ac:dyDescent="0.25">
      <c r="A526" s="2" t="s">
        <v>2112</v>
      </c>
      <c r="B526" s="2" t="s">
        <v>1593</v>
      </c>
      <c r="C526" s="2" t="s">
        <v>2107</v>
      </c>
      <c r="D526" s="2" t="s">
        <v>2113</v>
      </c>
      <c r="E526" s="2" t="s">
        <v>275</v>
      </c>
      <c r="F526" s="2" t="s">
        <v>2109</v>
      </c>
      <c r="G526" s="3" t="s">
        <v>21</v>
      </c>
      <c r="H526" s="2" t="s">
        <v>2114</v>
      </c>
      <c r="I526" s="2" t="s">
        <v>1600</v>
      </c>
      <c r="J526" s="2" t="s">
        <v>2115</v>
      </c>
      <c r="K526" s="2" t="s">
        <v>1602</v>
      </c>
      <c r="L526" s="2" t="s">
        <v>1603</v>
      </c>
      <c r="M526" s="2" t="s">
        <v>1604</v>
      </c>
      <c r="N526" s="2" t="s">
        <v>28</v>
      </c>
      <c r="O526" s="2"/>
    </row>
    <row r="527" spans="1:15" ht="38.25" x14ac:dyDescent="0.25">
      <c r="A527" s="2" t="s">
        <v>2116</v>
      </c>
      <c r="B527" s="2" t="s">
        <v>1593</v>
      </c>
      <c r="C527" s="2" t="s">
        <v>2107</v>
      </c>
      <c r="D527" s="2" t="s">
        <v>2117</v>
      </c>
      <c r="E527" s="2" t="s">
        <v>275</v>
      </c>
      <c r="F527" s="2" t="s">
        <v>2109</v>
      </c>
      <c r="G527" s="3" t="s">
        <v>93</v>
      </c>
      <c r="H527" s="2" t="s">
        <v>2118</v>
      </c>
      <c r="I527" s="2" t="s">
        <v>1600</v>
      </c>
      <c r="J527" s="2" t="s">
        <v>2119</v>
      </c>
      <c r="K527" s="2" t="s">
        <v>1602</v>
      </c>
      <c r="L527" s="2" t="s">
        <v>1603</v>
      </c>
      <c r="M527" s="2" t="s">
        <v>1604</v>
      </c>
      <c r="N527" s="2" t="s">
        <v>28</v>
      </c>
      <c r="O527" s="2"/>
    </row>
    <row r="528" spans="1:15" ht="51" x14ac:dyDescent="0.25">
      <c r="A528" s="2" t="s">
        <v>2120</v>
      </c>
      <c r="B528" s="2" t="s">
        <v>1593</v>
      </c>
      <c r="C528" s="2" t="s">
        <v>2107</v>
      </c>
      <c r="D528" s="2" t="s">
        <v>2121</v>
      </c>
      <c r="E528" s="2" t="s">
        <v>275</v>
      </c>
      <c r="F528" s="2" t="s">
        <v>2109</v>
      </c>
      <c r="G528" s="3" t="s">
        <v>93</v>
      </c>
      <c r="H528" s="2" t="s">
        <v>2122</v>
      </c>
      <c r="I528" s="2" t="s">
        <v>1600</v>
      </c>
      <c r="J528" s="2" t="s">
        <v>2123</v>
      </c>
      <c r="K528" s="2" t="s">
        <v>1602</v>
      </c>
      <c r="L528" s="2" t="s">
        <v>1603</v>
      </c>
      <c r="M528" s="2" t="s">
        <v>1604</v>
      </c>
      <c r="N528" s="2" t="s">
        <v>28</v>
      </c>
      <c r="O528" s="2"/>
    </row>
    <row r="529" spans="1:15" ht="38.25" x14ac:dyDescent="0.25">
      <c r="A529" s="2" t="s">
        <v>2124</v>
      </c>
      <c r="B529" s="2" t="s">
        <v>1593</v>
      </c>
      <c r="C529" s="2" t="s">
        <v>2107</v>
      </c>
      <c r="D529" s="2" t="s">
        <v>2125</v>
      </c>
      <c r="E529" s="2" t="s">
        <v>275</v>
      </c>
      <c r="F529" s="2" t="s">
        <v>2109</v>
      </c>
      <c r="G529" s="3" t="s">
        <v>21</v>
      </c>
      <c r="H529" s="2" t="s">
        <v>2126</v>
      </c>
      <c r="I529" s="2" t="s">
        <v>1600</v>
      </c>
      <c r="J529" s="2" t="s">
        <v>2127</v>
      </c>
      <c r="K529" s="2" t="s">
        <v>1602</v>
      </c>
      <c r="L529" s="2" t="s">
        <v>1603</v>
      </c>
      <c r="M529" s="2" t="s">
        <v>1604</v>
      </c>
      <c r="N529" s="2" t="s">
        <v>28</v>
      </c>
      <c r="O529" s="2"/>
    </row>
    <row r="530" spans="1:15" ht="63.75" x14ac:dyDescent="0.25">
      <c r="A530" s="2" t="s">
        <v>2128</v>
      </c>
      <c r="B530" s="2" t="s">
        <v>1593</v>
      </c>
      <c r="C530" s="2" t="s">
        <v>2107</v>
      </c>
      <c r="D530" s="2" t="s">
        <v>2129</v>
      </c>
      <c r="E530" s="2" t="s">
        <v>1271</v>
      </c>
      <c r="F530" s="2" t="s">
        <v>2068</v>
      </c>
      <c r="G530" s="3" t="s">
        <v>34</v>
      </c>
      <c r="H530" s="2" t="s">
        <v>2130</v>
      </c>
      <c r="I530" s="2" t="s">
        <v>1600</v>
      </c>
      <c r="J530" s="2" t="s">
        <v>2131</v>
      </c>
      <c r="K530" s="2" t="s">
        <v>1602</v>
      </c>
      <c r="L530" s="2" t="s">
        <v>1603</v>
      </c>
      <c r="M530" s="2" t="s">
        <v>1604</v>
      </c>
      <c r="N530" s="2" t="s">
        <v>41</v>
      </c>
      <c r="O530" s="2"/>
    </row>
    <row r="531" spans="1:15" ht="38.25" x14ac:dyDescent="0.25">
      <c r="A531" s="2" t="s">
        <v>2132</v>
      </c>
      <c r="B531" s="2" t="s">
        <v>1593</v>
      </c>
      <c r="C531" s="2" t="s">
        <v>2107</v>
      </c>
      <c r="D531" s="2" t="s">
        <v>2133</v>
      </c>
      <c r="E531" s="2" t="s">
        <v>1253</v>
      </c>
      <c r="F531" s="2" t="s">
        <v>2109</v>
      </c>
      <c r="G531" s="3" t="s">
        <v>21</v>
      </c>
      <c r="H531" s="2" t="s">
        <v>2134</v>
      </c>
      <c r="I531" s="2" t="s">
        <v>1600</v>
      </c>
      <c r="J531" s="2" t="s">
        <v>2135</v>
      </c>
      <c r="K531" s="2" t="s">
        <v>1602</v>
      </c>
      <c r="L531" s="2" t="s">
        <v>1603</v>
      </c>
      <c r="M531" s="2" t="s">
        <v>1604</v>
      </c>
      <c r="N531" s="2" t="s">
        <v>28</v>
      </c>
      <c r="O531" s="2"/>
    </row>
    <row r="532" spans="1:15" ht="38.25" x14ac:dyDescent="0.25">
      <c r="A532" s="2" t="s">
        <v>2136</v>
      </c>
      <c r="B532" s="2" t="s">
        <v>1593</v>
      </c>
      <c r="C532" s="2" t="s">
        <v>2107</v>
      </c>
      <c r="D532" s="2" t="s">
        <v>2137</v>
      </c>
      <c r="E532" s="2" t="s">
        <v>275</v>
      </c>
      <c r="F532" s="2" t="s">
        <v>2109</v>
      </c>
      <c r="G532" s="3" t="s">
        <v>34</v>
      </c>
      <c r="H532" s="2" t="s">
        <v>2138</v>
      </c>
      <c r="I532" s="2" t="s">
        <v>1600</v>
      </c>
      <c r="J532" s="2" t="s">
        <v>2139</v>
      </c>
      <c r="K532" s="2" t="s">
        <v>1602</v>
      </c>
      <c r="L532" s="2" t="s">
        <v>1603</v>
      </c>
      <c r="M532" s="2" t="s">
        <v>1604</v>
      </c>
      <c r="N532" s="2" t="s">
        <v>41</v>
      </c>
      <c r="O532" s="2"/>
    </row>
    <row r="533" spans="1:15" ht="38.25" x14ac:dyDescent="0.25">
      <c r="A533" s="2" t="s">
        <v>2140</v>
      </c>
      <c r="B533" s="2" t="s">
        <v>1593</v>
      </c>
      <c r="C533" s="2" t="s">
        <v>2141</v>
      </c>
      <c r="D533" s="2" t="s">
        <v>2142</v>
      </c>
      <c r="E533" s="2" t="s">
        <v>275</v>
      </c>
      <c r="F533" s="2" t="s">
        <v>2143</v>
      </c>
      <c r="G533" s="3" t="s">
        <v>21</v>
      </c>
      <c r="H533" s="2" t="s">
        <v>2144</v>
      </c>
      <c r="I533" s="2" t="s">
        <v>1600</v>
      </c>
      <c r="J533" s="2" t="s">
        <v>2145</v>
      </c>
      <c r="K533" s="2" t="s">
        <v>1602</v>
      </c>
      <c r="L533" s="2" t="s">
        <v>1603</v>
      </c>
      <c r="M533" s="2" t="s">
        <v>1604</v>
      </c>
      <c r="N533" s="2" t="s">
        <v>28</v>
      </c>
      <c r="O533" s="2"/>
    </row>
    <row r="534" spans="1:15" ht="38.25" x14ac:dyDescent="0.25">
      <c r="A534" s="2" t="s">
        <v>2146</v>
      </c>
      <c r="B534" s="2" t="s">
        <v>1593</v>
      </c>
      <c r="C534" s="2" t="s">
        <v>2141</v>
      </c>
      <c r="D534" s="2" t="s">
        <v>2147</v>
      </c>
      <c r="E534" s="2" t="s">
        <v>1271</v>
      </c>
      <c r="F534" s="2" t="s">
        <v>2143</v>
      </c>
      <c r="G534" s="3" t="s">
        <v>34</v>
      </c>
      <c r="H534" s="2" t="s">
        <v>2148</v>
      </c>
      <c r="I534" s="2" t="s">
        <v>1600</v>
      </c>
      <c r="J534" s="2" t="s">
        <v>2149</v>
      </c>
      <c r="K534" s="2" t="s">
        <v>1602</v>
      </c>
      <c r="L534" s="2" t="s">
        <v>1603</v>
      </c>
      <c r="M534" s="2" t="s">
        <v>1604</v>
      </c>
      <c r="N534" s="2" t="s">
        <v>41</v>
      </c>
      <c r="O534" s="2"/>
    </row>
    <row r="535" spans="1:15" ht="38.25" x14ac:dyDescent="0.25">
      <c r="A535" s="2" t="s">
        <v>2150</v>
      </c>
      <c r="B535" s="2" t="s">
        <v>1593</v>
      </c>
      <c r="C535" s="2" t="s">
        <v>2141</v>
      </c>
      <c r="D535" s="2" t="s">
        <v>2151</v>
      </c>
      <c r="E535" s="2" t="s">
        <v>275</v>
      </c>
      <c r="F535" s="2" t="s">
        <v>2143</v>
      </c>
      <c r="G535" s="3" t="s">
        <v>34</v>
      </c>
      <c r="H535" s="2" t="s">
        <v>2152</v>
      </c>
      <c r="I535" s="2" t="s">
        <v>1600</v>
      </c>
      <c r="J535" s="2" t="s">
        <v>2153</v>
      </c>
      <c r="K535" s="2" t="s">
        <v>1602</v>
      </c>
      <c r="L535" s="2" t="s">
        <v>1603</v>
      </c>
      <c r="M535" s="2" t="s">
        <v>1604</v>
      </c>
      <c r="N535" s="2" t="s">
        <v>41</v>
      </c>
      <c r="O535" s="2"/>
    </row>
    <row r="536" spans="1:15" ht="25.5" x14ac:dyDescent="0.25">
      <c r="A536" s="2" t="s">
        <v>2154</v>
      </c>
      <c r="B536" s="2" t="s">
        <v>1593</v>
      </c>
      <c r="C536" s="2" t="s">
        <v>2141</v>
      </c>
      <c r="D536" s="2" t="s">
        <v>2155</v>
      </c>
      <c r="E536" s="2" t="s">
        <v>1271</v>
      </c>
      <c r="F536" s="2" t="s">
        <v>2143</v>
      </c>
      <c r="G536" s="3" t="s">
        <v>34</v>
      </c>
      <c r="H536" s="2" t="s">
        <v>2156</v>
      </c>
      <c r="I536" s="2" t="s">
        <v>1600</v>
      </c>
      <c r="J536" s="2" t="s">
        <v>2157</v>
      </c>
      <c r="K536" s="2" t="s">
        <v>1602</v>
      </c>
      <c r="L536" s="2" t="s">
        <v>1603</v>
      </c>
      <c r="M536" s="2" t="s">
        <v>1604</v>
      </c>
      <c r="N536" s="2" t="s">
        <v>41</v>
      </c>
      <c r="O536" s="2"/>
    </row>
    <row r="537" spans="1:15" ht="38.25" x14ac:dyDescent="0.25">
      <c r="A537" s="2" t="s">
        <v>2158</v>
      </c>
      <c r="B537" s="2" t="s">
        <v>1593</v>
      </c>
      <c r="C537" s="2" t="s">
        <v>2141</v>
      </c>
      <c r="D537" s="2" t="s">
        <v>2159</v>
      </c>
      <c r="E537" s="2" t="s">
        <v>898</v>
      </c>
      <c r="F537" s="2" t="s">
        <v>2143</v>
      </c>
      <c r="G537" s="3" t="s">
        <v>34</v>
      </c>
      <c r="H537" s="2" t="s">
        <v>2160</v>
      </c>
      <c r="I537" s="2" t="s">
        <v>1600</v>
      </c>
      <c r="J537" s="2" t="s">
        <v>2161</v>
      </c>
      <c r="K537" s="2" t="s">
        <v>1602</v>
      </c>
      <c r="L537" s="2" t="s">
        <v>1603</v>
      </c>
      <c r="M537" s="2" t="s">
        <v>1604</v>
      </c>
      <c r="N537" s="2" t="s">
        <v>41</v>
      </c>
      <c r="O537" s="2"/>
    </row>
    <row r="538" spans="1:15" ht="38.25" x14ac:dyDescent="0.25">
      <c r="A538" s="2" t="s">
        <v>2162</v>
      </c>
      <c r="B538" s="2" t="s">
        <v>1593</v>
      </c>
      <c r="C538" s="2" t="s">
        <v>2163</v>
      </c>
      <c r="D538" s="2" t="s">
        <v>2164</v>
      </c>
      <c r="E538" s="2" t="s">
        <v>898</v>
      </c>
      <c r="F538" s="2" t="s">
        <v>2165</v>
      </c>
      <c r="G538" s="3" t="s">
        <v>34</v>
      </c>
      <c r="H538" s="2" t="s">
        <v>2166</v>
      </c>
      <c r="I538" s="2" t="s">
        <v>1600</v>
      </c>
      <c r="J538" s="2" t="s">
        <v>2167</v>
      </c>
      <c r="K538" s="2" t="s">
        <v>1602</v>
      </c>
      <c r="L538" s="2" t="s">
        <v>1603</v>
      </c>
      <c r="M538" s="2" t="s">
        <v>1604</v>
      </c>
      <c r="N538" s="2" t="s">
        <v>41</v>
      </c>
      <c r="O538" s="2"/>
    </row>
    <row r="539" spans="1:15" ht="38.25" x14ac:dyDescent="0.25">
      <c r="A539" s="2" t="s">
        <v>2168</v>
      </c>
      <c r="B539" s="2" t="s">
        <v>1593</v>
      </c>
      <c r="C539" s="2" t="s">
        <v>2163</v>
      </c>
      <c r="D539" s="2" t="s">
        <v>2169</v>
      </c>
      <c r="E539" s="2" t="s">
        <v>275</v>
      </c>
      <c r="F539" s="2" t="s">
        <v>2165</v>
      </c>
      <c r="G539" s="3" t="s">
        <v>21</v>
      </c>
      <c r="H539" s="2" t="s">
        <v>2170</v>
      </c>
      <c r="I539" s="2" t="s">
        <v>1600</v>
      </c>
      <c r="J539" s="2" t="s">
        <v>2171</v>
      </c>
      <c r="K539" s="2" t="s">
        <v>1602</v>
      </c>
      <c r="L539" s="2" t="s">
        <v>1603</v>
      </c>
      <c r="M539" s="2" t="s">
        <v>1604</v>
      </c>
      <c r="N539" s="2" t="s">
        <v>28</v>
      </c>
      <c r="O539" s="2"/>
    </row>
    <row r="540" spans="1:15" ht="38.25" x14ac:dyDescent="0.25">
      <c r="A540" s="2" t="s">
        <v>2172</v>
      </c>
      <c r="B540" s="2" t="s">
        <v>1593</v>
      </c>
      <c r="C540" s="2" t="s">
        <v>2163</v>
      </c>
      <c r="D540" s="2" t="s">
        <v>2173</v>
      </c>
      <c r="E540" s="2" t="s">
        <v>898</v>
      </c>
      <c r="F540" s="2" t="s">
        <v>2165</v>
      </c>
      <c r="G540" s="3" t="s">
        <v>34</v>
      </c>
      <c r="H540" s="2" t="s">
        <v>2174</v>
      </c>
      <c r="I540" s="2" t="s">
        <v>1600</v>
      </c>
      <c r="J540" s="2" t="s">
        <v>2175</v>
      </c>
      <c r="K540" s="2" t="s">
        <v>1602</v>
      </c>
      <c r="L540" s="2" t="s">
        <v>1603</v>
      </c>
      <c r="M540" s="2" t="s">
        <v>1604</v>
      </c>
      <c r="N540" s="2" t="s">
        <v>41</v>
      </c>
      <c r="O540" s="2"/>
    </row>
    <row r="541" spans="1:15" ht="38.25" x14ac:dyDescent="0.25">
      <c r="A541" s="2" t="s">
        <v>2176</v>
      </c>
      <c r="B541" s="2" t="s">
        <v>1593</v>
      </c>
      <c r="C541" s="2" t="s">
        <v>2163</v>
      </c>
      <c r="D541" s="2" t="s">
        <v>2177</v>
      </c>
      <c r="E541" s="2" t="s">
        <v>898</v>
      </c>
      <c r="F541" s="2" t="s">
        <v>2165</v>
      </c>
      <c r="G541" s="3" t="s">
        <v>34</v>
      </c>
      <c r="H541" s="2" t="s">
        <v>2174</v>
      </c>
      <c r="I541" s="2" t="s">
        <v>1600</v>
      </c>
      <c r="J541" s="2" t="s">
        <v>2178</v>
      </c>
      <c r="K541" s="2" t="s">
        <v>1602</v>
      </c>
      <c r="L541" s="2" t="s">
        <v>1603</v>
      </c>
      <c r="M541" s="2" t="s">
        <v>1604</v>
      </c>
      <c r="N541" s="2" t="s">
        <v>41</v>
      </c>
      <c r="O541" s="2"/>
    </row>
    <row r="542" spans="1:15" ht="38.25" x14ac:dyDescent="0.25">
      <c r="A542" s="2" t="s">
        <v>2179</v>
      </c>
      <c r="B542" s="2" t="s">
        <v>1593</v>
      </c>
      <c r="C542" s="2" t="s">
        <v>2163</v>
      </c>
      <c r="D542" s="2" t="s">
        <v>2180</v>
      </c>
      <c r="E542" s="2" t="s">
        <v>898</v>
      </c>
      <c r="F542" s="2" t="s">
        <v>2165</v>
      </c>
      <c r="G542" s="3" t="s">
        <v>34</v>
      </c>
      <c r="H542" s="2" t="s">
        <v>2174</v>
      </c>
      <c r="I542" s="2" t="s">
        <v>1600</v>
      </c>
      <c r="J542" s="2" t="s">
        <v>2181</v>
      </c>
      <c r="K542" s="2" t="s">
        <v>1602</v>
      </c>
      <c r="L542" s="2" t="s">
        <v>1603</v>
      </c>
      <c r="M542" s="2" t="s">
        <v>1604</v>
      </c>
      <c r="N542" s="2" t="s">
        <v>41</v>
      </c>
      <c r="O542" s="2"/>
    </row>
    <row r="543" spans="1:15" ht="38.25" x14ac:dyDescent="0.25">
      <c r="A543" s="2" t="s">
        <v>2182</v>
      </c>
      <c r="B543" s="2" t="s">
        <v>1593</v>
      </c>
      <c r="C543" s="2" t="s">
        <v>2163</v>
      </c>
      <c r="D543" s="2" t="s">
        <v>2183</v>
      </c>
      <c r="E543" s="2" t="s">
        <v>898</v>
      </c>
      <c r="F543" s="2" t="s">
        <v>2165</v>
      </c>
      <c r="G543" s="3" t="s">
        <v>34</v>
      </c>
      <c r="H543" s="2" t="s">
        <v>2174</v>
      </c>
      <c r="I543" s="2" t="s">
        <v>1600</v>
      </c>
      <c r="J543" s="2" t="s">
        <v>2184</v>
      </c>
      <c r="K543" s="2" t="s">
        <v>1602</v>
      </c>
      <c r="L543" s="2" t="s">
        <v>1603</v>
      </c>
      <c r="M543" s="2" t="s">
        <v>1604</v>
      </c>
      <c r="N543" s="2" t="s">
        <v>41</v>
      </c>
      <c r="O543" s="2"/>
    </row>
    <row r="544" spans="1:15" ht="38.25" x14ac:dyDescent="0.25">
      <c r="A544" s="2" t="s">
        <v>2185</v>
      </c>
      <c r="B544" s="2" t="s">
        <v>1593</v>
      </c>
      <c r="C544" s="2" t="s">
        <v>2163</v>
      </c>
      <c r="D544" s="2" t="s">
        <v>2186</v>
      </c>
      <c r="E544" s="2" t="s">
        <v>898</v>
      </c>
      <c r="F544" s="2" t="s">
        <v>2165</v>
      </c>
      <c r="G544" s="3" t="s">
        <v>34</v>
      </c>
      <c r="H544" s="2" t="s">
        <v>2174</v>
      </c>
      <c r="I544" s="2" t="s">
        <v>1600</v>
      </c>
      <c r="J544" s="2" t="s">
        <v>2187</v>
      </c>
      <c r="K544" s="2" t="s">
        <v>1602</v>
      </c>
      <c r="L544" s="2" t="s">
        <v>1603</v>
      </c>
      <c r="M544" s="2" t="s">
        <v>1604</v>
      </c>
      <c r="N544" s="2" t="s">
        <v>41</v>
      </c>
      <c r="O544" s="2"/>
    </row>
    <row r="545" spans="1:15" ht="38.25" x14ac:dyDescent="0.25">
      <c r="A545" s="2" t="s">
        <v>2188</v>
      </c>
      <c r="B545" s="2" t="s">
        <v>1593</v>
      </c>
      <c r="C545" s="2" t="s">
        <v>2189</v>
      </c>
      <c r="D545" s="2" t="s">
        <v>2190</v>
      </c>
      <c r="E545" s="2" t="s">
        <v>898</v>
      </c>
      <c r="F545" s="2" t="s">
        <v>2165</v>
      </c>
      <c r="G545" s="3" t="s">
        <v>34</v>
      </c>
      <c r="H545" s="2" t="s">
        <v>2191</v>
      </c>
      <c r="I545" s="2" t="s">
        <v>1600</v>
      </c>
      <c r="J545" s="2" t="s">
        <v>2192</v>
      </c>
      <c r="K545" s="2" t="s">
        <v>1602</v>
      </c>
      <c r="L545" s="2" t="s">
        <v>1603</v>
      </c>
      <c r="M545" s="2" t="s">
        <v>1604</v>
      </c>
      <c r="N545" s="2" t="s">
        <v>41</v>
      </c>
      <c r="O545" s="2" t="s">
        <v>2193</v>
      </c>
    </row>
    <row r="546" spans="1:15" ht="38.25" x14ac:dyDescent="0.25">
      <c r="A546" s="2" t="s">
        <v>2194</v>
      </c>
      <c r="B546" s="2" t="s">
        <v>1593</v>
      </c>
      <c r="C546" s="2" t="s">
        <v>2195</v>
      </c>
      <c r="D546" s="2" t="s">
        <v>2196</v>
      </c>
      <c r="E546" s="2" t="s">
        <v>898</v>
      </c>
      <c r="F546" s="2" t="s">
        <v>2165</v>
      </c>
      <c r="G546" s="3" t="s">
        <v>34</v>
      </c>
      <c r="H546" s="2" t="s">
        <v>2191</v>
      </c>
      <c r="I546" s="2" t="s">
        <v>1600</v>
      </c>
      <c r="J546" s="2" t="s">
        <v>2197</v>
      </c>
      <c r="K546" s="2" t="s">
        <v>1602</v>
      </c>
      <c r="L546" s="2" t="s">
        <v>1603</v>
      </c>
      <c r="M546" s="2" t="s">
        <v>1604</v>
      </c>
      <c r="N546" s="2" t="s">
        <v>41</v>
      </c>
      <c r="O546" s="2" t="s">
        <v>2193</v>
      </c>
    </row>
    <row r="547" spans="1:15" ht="38.25" x14ac:dyDescent="0.25">
      <c r="A547" s="2" t="s">
        <v>2198</v>
      </c>
      <c r="B547" s="2" t="s">
        <v>1593</v>
      </c>
      <c r="C547" s="2" t="s">
        <v>2199</v>
      </c>
      <c r="D547" s="2" t="s">
        <v>2200</v>
      </c>
      <c r="E547" s="2" t="s">
        <v>1271</v>
      </c>
      <c r="F547" s="2" t="s">
        <v>2201</v>
      </c>
      <c r="G547" s="3" t="s">
        <v>34</v>
      </c>
      <c r="H547" s="2" t="s">
        <v>2202</v>
      </c>
      <c r="I547" s="2" t="s">
        <v>1600</v>
      </c>
      <c r="J547" s="2" t="s">
        <v>2203</v>
      </c>
      <c r="K547" s="2" t="s">
        <v>1602</v>
      </c>
      <c r="L547" s="2" t="s">
        <v>1603</v>
      </c>
      <c r="M547" s="2" t="s">
        <v>1604</v>
      </c>
      <c r="N547" s="2" t="s">
        <v>41</v>
      </c>
      <c r="O547" s="2"/>
    </row>
    <row r="548" spans="1:15" ht="38.25" x14ac:dyDescent="0.25">
      <c r="A548" s="2" t="s">
        <v>2204</v>
      </c>
      <c r="B548" s="2" t="s">
        <v>1593</v>
      </c>
      <c r="C548" s="2" t="s">
        <v>2199</v>
      </c>
      <c r="D548" s="2" t="s">
        <v>2205</v>
      </c>
      <c r="E548" s="2" t="s">
        <v>1271</v>
      </c>
      <c r="F548" s="2" t="s">
        <v>2201</v>
      </c>
      <c r="G548" s="3" t="s">
        <v>34</v>
      </c>
      <c r="H548" s="2" t="s">
        <v>2206</v>
      </c>
      <c r="I548" s="2" t="s">
        <v>1600</v>
      </c>
      <c r="J548" s="2" t="s">
        <v>2207</v>
      </c>
      <c r="K548" s="2" t="s">
        <v>1602</v>
      </c>
      <c r="L548" s="2" t="s">
        <v>1603</v>
      </c>
      <c r="M548" s="2" t="s">
        <v>1604</v>
      </c>
      <c r="N548" s="2" t="s">
        <v>41</v>
      </c>
      <c r="O548" s="2"/>
    </row>
    <row r="549" spans="1:15" ht="38.25" x14ac:dyDescent="0.25">
      <c r="A549" s="2" t="s">
        <v>2208</v>
      </c>
      <c r="B549" s="2" t="s">
        <v>1593</v>
      </c>
      <c r="C549" s="2" t="s">
        <v>2199</v>
      </c>
      <c r="D549" s="2" t="s">
        <v>2209</v>
      </c>
      <c r="E549" s="2" t="s">
        <v>1271</v>
      </c>
      <c r="F549" s="2" t="s">
        <v>2201</v>
      </c>
      <c r="G549" s="3" t="s">
        <v>34</v>
      </c>
      <c r="H549" s="2" t="s">
        <v>2206</v>
      </c>
      <c r="I549" s="2" t="s">
        <v>1600</v>
      </c>
      <c r="J549" s="2" t="s">
        <v>2210</v>
      </c>
      <c r="K549" s="2" t="s">
        <v>1602</v>
      </c>
      <c r="L549" s="2" t="s">
        <v>1603</v>
      </c>
      <c r="M549" s="2" t="s">
        <v>1604</v>
      </c>
      <c r="N549" s="2" t="s">
        <v>41</v>
      </c>
      <c r="O549" s="2"/>
    </row>
    <row r="550" spans="1:15" ht="25.5" x14ac:dyDescent="0.25">
      <c r="A550" s="2" t="s">
        <v>2211</v>
      </c>
      <c r="B550" s="2" t="s">
        <v>1593</v>
      </c>
      <c r="C550" s="2" t="s">
        <v>2199</v>
      </c>
      <c r="D550" s="2" t="s">
        <v>2212</v>
      </c>
      <c r="E550" s="2" t="s">
        <v>1271</v>
      </c>
      <c r="F550" s="2" t="s">
        <v>2201</v>
      </c>
      <c r="G550" s="3" t="s">
        <v>34</v>
      </c>
      <c r="H550" s="2" t="s">
        <v>2206</v>
      </c>
      <c r="I550" s="2" t="s">
        <v>1600</v>
      </c>
      <c r="J550" s="2" t="s">
        <v>2213</v>
      </c>
      <c r="K550" s="2" t="s">
        <v>1602</v>
      </c>
      <c r="L550" s="2" t="s">
        <v>1603</v>
      </c>
      <c r="M550" s="2" t="s">
        <v>1604</v>
      </c>
      <c r="N550" s="2" t="s">
        <v>41</v>
      </c>
      <c r="O550" s="2"/>
    </row>
    <row r="551" spans="1:15" ht="38.25" x14ac:dyDescent="0.25">
      <c r="A551" s="2" t="s">
        <v>2214</v>
      </c>
      <c r="B551" s="2" t="s">
        <v>1593</v>
      </c>
      <c r="C551" s="2" t="s">
        <v>2199</v>
      </c>
      <c r="D551" s="2" t="s">
        <v>2215</v>
      </c>
      <c r="E551" s="2" t="s">
        <v>275</v>
      </c>
      <c r="F551" s="2" t="s">
        <v>2201</v>
      </c>
      <c r="G551" s="3" t="s">
        <v>21</v>
      </c>
      <c r="H551" s="2" t="s">
        <v>2216</v>
      </c>
      <c r="I551" s="2" t="s">
        <v>1600</v>
      </c>
      <c r="J551" s="2" t="s">
        <v>2217</v>
      </c>
      <c r="K551" s="2" t="s">
        <v>1602</v>
      </c>
      <c r="L551" s="2" t="s">
        <v>1603</v>
      </c>
      <c r="M551" s="2" t="s">
        <v>1604</v>
      </c>
      <c r="N551" s="2" t="s">
        <v>28</v>
      </c>
      <c r="O551" s="2"/>
    </row>
    <row r="552" spans="1:15" ht="25.5" x14ac:dyDescent="0.25">
      <c r="A552" s="2" t="s">
        <v>2218</v>
      </c>
      <c r="B552" s="2" t="s">
        <v>1593</v>
      </c>
      <c r="C552" s="2" t="s">
        <v>2199</v>
      </c>
      <c r="D552" s="2" t="s">
        <v>2219</v>
      </c>
      <c r="E552" s="2" t="s">
        <v>1271</v>
      </c>
      <c r="F552" s="2" t="s">
        <v>2201</v>
      </c>
      <c r="G552" s="3" t="s">
        <v>34</v>
      </c>
      <c r="H552" s="2" t="s">
        <v>2206</v>
      </c>
      <c r="I552" s="2" t="s">
        <v>1600</v>
      </c>
      <c r="J552" s="2" t="s">
        <v>2220</v>
      </c>
      <c r="K552" s="2" t="s">
        <v>1602</v>
      </c>
      <c r="L552" s="2" t="s">
        <v>1603</v>
      </c>
      <c r="M552" s="2" t="s">
        <v>1604</v>
      </c>
      <c r="N552" s="2" t="s">
        <v>41</v>
      </c>
      <c r="O552" s="2"/>
    </row>
    <row r="553" spans="1:15" ht="38.25" x14ac:dyDescent="0.25">
      <c r="A553" s="2" t="s">
        <v>2221</v>
      </c>
      <c r="B553" s="2" t="s">
        <v>1593</v>
      </c>
      <c r="C553" s="2" t="s">
        <v>2199</v>
      </c>
      <c r="D553" s="2" t="s">
        <v>2222</v>
      </c>
      <c r="E553" s="2" t="s">
        <v>275</v>
      </c>
      <c r="F553" s="2" t="s">
        <v>2201</v>
      </c>
      <c r="G553" s="3" t="s">
        <v>93</v>
      </c>
      <c r="H553" s="2" t="s">
        <v>2223</v>
      </c>
      <c r="I553" s="2" t="s">
        <v>1600</v>
      </c>
      <c r="J553" s="2" t="s">
        <v>2224</v>
      </c>
      <c r="K553" s="2" t="s">
        <v>1602</v>
      </c>
      <c r="L553" s="2" t="s">
        <v>1603</v>
      </c>
      <c r="M553" s="2" t="s">
        <v>1604</v>
      </c>
      <c r="N553" s="2" t="s">
        <v>28</v>
      </c>
      <c r="O553" s="2"/>
    </row>
    <row r="554" spans="1:15" ht="38.25" x14ac:dyDescent="0.25">
      <c r="A554" s="2" t="s">
        <v>2225</v>
      </c>
      <c r="B554" s="2" t="s">
        <v>1593</v>
      </c>
      <c r="C554" s="2" t="s">
        <v>2226</v>
      </c>
      <c r="D554" s="2" t="s">
        <v>2227</v>
      </c>
      <c r="E554" s="2" t="s">
        <v>275</v>
      </c>
      <c r="F554" s="2" t="s">
        <v>2228</v>
      </c>
      <c r="G554" s="3" t="s">
        <v>93</v>
      </c>
      <c r="H554" s="2" t="s">
        <v>2229</v>
      </c>
      <c r="I554" s="2" t="s">
        <v>1600</v>
      </c>
      <c r="J554" s="2" t="s">
        <v>2230</v>
      </c>
      <c r="K554" s="2" t="s">
        <v>1602</v>
      </c>
      <c r="L554" s="2" t="s">
        <v>1603</v>
      </c>
      <c r="M554" s="2" t="s">
        <v>1604</v>
      </c>
      <c r="N554" s="2" t="s">
        <v>28</v>
      </c>
      <c r="O554" s="2"/>
    </row>
    <row r="555" spans="1:15" ht="25.5" x14ac:dyDescent="0.25">
      <c r="A555" s="2" t="s">
        <v>2231</v>
      </c>
      <c r="B555" s="2" t="s">
        <v>1593</v>
      </c>
      <c r="C555" s="2" t="s">
        <v>2226</v>
      </c>
      <c r="D555" s="2" t="s">
        <v>2232</v>
      </c>
      <c r="E555" s="2" t="s">
        <v>1253</v>
      </c>
      <c r="F555" s="2" t="s">
        <v>2228</v>
      </c>
      <c r="G555" s="3" t="s">
        <v>21</v>
      </c>
      <c r="H555" s="2" t="s">
        <v>2233</v>
      </c>
      <c r="I555" s="2" t="s">
        <v>1600</v>
      </c>
      <c r="J555" s="2" t="s">
        <v>2234</v>
      </c>
      <c r="K555" s="2" t="s">
        <v>1602</v>
      </c>
      <c r="L555" s="2" t="s">
        <v>1603</v>
      </c>
      <c r="M555" s="2" t="s">
        <v>1604</v>
      </c>
      <c r="N555" s="2" t="s">
        <v>28</v>
      </c>
      <c r="O555" s="2"/>
    </row>
    <row r="556" spans="1:15" ht="38.25" x14ac:dyDescent="0.25">
      <c r="A556" s="2" t="s">
        <v>2235</v>
      </c>
      <c r="B556" s="2" t="s">
        <v>1593</v>
      </c>
      <c r="C556" s="2" t="s">
        <v>2226</v>
      </c>
      <c r="D556" s="2" t="s">
        <v>2236</v>
      </c>
      <c r="E556" s="2" t="s">
        <v>275</v>
      </c>
      <c r="F556" s="2" t="s">
        <v>2228</v>
      </c>
      <c r="G556" s="3" t="s">
        <v>93</v>
      </c>
      <c r="H556" s="2" t="s">
        <v>2237</v>
      </c>
      <c r="I556" s="2" t="s">
        <v>1600</v>
      </c>
      <c r="J556" s="2" t="s">
        <v>2238</v>
      </c>
      <c r="K556" s="2" t="s">
        <v>1602</v>
      </c>
      <c r="L556" s="2" t="s">
        <v>1603</v>
      </c>
      <c r="M556" s="2" t="s">
        <v>1604</v>
      </c>
      <c r="N556" s="2" t="s">
        <v>28</v>
      </c>
      <c r="O556" s="2"/>
    </row>
    <row r="557" spans="1:15" ht="63.75" x14ac:dyDescent="0.25">
      <c r="A557" s="2" t="s">
        <v>2239</v>
      </c>
      <c r="B557" s="2" t="s">
        <v>1593</v>
      </c>
      <c r="C557" s="2" t="s">
        <v>2226</v>
      </c>
      <c r="D557" s="2" t="s">
        <v>2240</v>
      </c>
      <c r="E557" s="2" t="s">
        <v>275</v>
      </c>
      <c r="F557" s="2" t="s">
        <v>2228</v>
      </c>
      <c r="G557" s="3" t="s">
        <v>21</v>
      </c>
      <c r="H557" s="2" t="s">
        <v>2241</v>
      </c>
      <c r="I557" s="2" t="s">
        <v>1600</v>
      </c>
      <c r="J557" s="2" t="s">
        <v>2242</v>
      </c>
      <c r="K557" s="2" t="s">
        <v>1602</v>
      </c>
      <c r="L557" s="2" t="s">
        <v>1603</v>
      </c>
      <c r="M557" s="2" t="s">
        <v>1604</v>
      </c>
      <c r="N557" s="2" t="s">
        <v>28</v>
      </c>
      <c r="O557" s="2"/>
    </row>
    <row r="558" spans="1:15" ht="25.5" x14ac:dyDescent="0.25">
      <c r="A558" s="2" t="s">
        <v>2243</v>
      </c>
      <c r="B558" s="2" t="s">
        <v>1593</v>
      </c>
      <c r="C558" s="2" t="s">
        <v>2244</v>
      </c>
      <c r="D558" s="2" t="s">
        <v>2245</v>
      </c>
      <c r="E558" s="2" t="s">
        <v>275</v>
      </c>
      <c r="F558" s="2" t="s">
        <v>1666</v>
      </c>
      <c r="G558" s="3" t="s">
        <v>21</v>
      </c>
      <c r="H558" s="2" t="s">
        <v>2246</v>
      </c>
      <c r="I558" s="2" t="s">
        <v>1668</v>
      </c>
      <c r="J558" s="2" t="s">
        <v>2247</v>
      </c>
      <c r="K558" s="2" t="s">
        <v>1670</v>
      </c>
      <c r="L558" s="2" t="s">
        <v>1671</v>
      </c>
      <c r="M558" s="2" t="s">
        <v>1672</v>
      </c>
      <c r="N558" s="2" t="s">
        <v>28</v>
      </c>
      <c r="O558" s="2" t="s">
        <v>1673</v>
      </c>
    </row>
    <row r="559" spans="1:15" ht="25.5" x14ac:dyDescent="0.25">
      <c r="A559" s="2" t="s">
        <v>2248</v>
      </c>
      <c r="B559" s="2" t="s">
        <v>1593</v>
      </c>
      <c r="C559" s="2" t="s">
        <v>2244</v>
      </c>
      <c r="D559" s="2" t="s">
        <v>2249</v>
      </c>
      <c r="E559" s="2" t="s">
        <v>1271</v>
      </c>
      <c r="F559" s="2" t="s">
        <v>1666</v>
      </c>
      <c r="G559" s="3" t="s">
        <v>34</v>
      </c>
      <c r="H559" s="2" t="s">
        <v>2250</v>
      </c>
      <c r="I559" s="2" t="s">
        <v>1668</v>
      </c>
      <c r="J559" s="2" t="s">
        <v>2251</v>
      </c>
      <c r="K559" s="2" t="s">
        <v>1670</v>
      </c>
      <c r="L559" s="2" t="s">
        <v>1671</v>
      </c>
      <c r="M559" s="2" t="s">
        <v>1672</v>
      </c>
      <c r="N559" s="2" t="s">
        <v>41</v>
      </c>
      <c r="O559" s="2" t="s">
        <v>1673</v>
      </c>
    </row>
    <row r="560" spans="1:15" ht="38.25" x14ac:dyDescent="0.25">
      <c r="A560" s="2" t="s">
        <v>2252</v>
      </c>
      <c r="B560" s="2" t="s">
        <v>1593</v>
      </c>
      <c r="C560" s="2" t="s">
        <v>2244</v>
      </c>
      <c r="D560" s="2" t="s">
        <v>2253</v>
      </c>
      <c r="E560" s="2" t="s">
        <v>1271</v>
      </c>
      <c r="F560" s="2" t="s">
        <v>1666</v>
      </c>
      <c r="G560" s="3" t="s">
        <v>34</v>
      </c>
      <c r="H560" s="2" t="s">
        <v>2206</v>
      </c>
      <c r="I560" s="2" t="s">
        <v>1600</v>
      </c>
      <c r="J560" s="2" t="s">
        <v>2254</v>
      </c>
      <c r="K560" s="2" t="s">
        <v>1602</v>
      </c>
      <c r="L560" s="2" t="s">
        <v>1603</v>
      </c>
      <c r="M560" s="2" t="s">
        <v>1604</v>
      </c>
      <c r="N560" s="2" t="s">
        <v>41</v>
      </c>
      <c r="O560" s="2"/>
    </row>
    <row r="561" spans="1:15" ht="38.25" x14ac:dyDescent="0.25">
      <c r="A561" s="2" t="s">
        <v>2255</v>
      </c>
      <c r="B561" s="2" t="s">
        <v>1593</v>
      </c>
      <c r="C561" s="2" t="s">
        <v>2244</v>
      </c>
      <c r="D561" s="2" t="s">
        <v>2256</v>
      </c>
      <c r="E561" s="2" t="s">
        <v>1271</v>
      </c>
      <c r="F561" s="2" t="s">
        <v>1666</v>
      </c>
      <c r="G561" s="3" t="s">
        <v>34</v>
      </c>
      <c r="H561" s="2" t="s">
        <v>2206</v>
      </c>
      <c r="I561" s="2" t="s">
        <v>1600</v>
      </c>
      <c r="J561" s="2" t="s">
        <v>2257</v>
      </c>
      <c r="K561" s="2" t="s">
        <v>1602</v>
      </c>
      <c r="L561" s="2" t="s">
        <v>1603</v>
      </c>
      <c r="M561" s="2" t="s">
        <v>1604</v>
      </c>
      <c r="N561" s="2" t="s">
        <v>41</v>
      </c>
      <c r="O561" s="2"/>
    </row>
    <row r="562" spans="1:15" ht="38.25" x14ac:dyDescent="0.25">
      <c r="A562" s="2" t="s">
        <v>2258</v>
      </c>
      <c r="B562" s="2" t="s">
        <v>1593</v>
      </c>
      <c r="C562" s="2" t="s">
        <v>2244</v>
      </c>
      <c r="D562" s="2" t="s">
        <v>2259</v>
      </c>
      <c r="E562" s="2" t="s">
        <v>275</v>
      </c>
      <c r="F562" s="2" t="s">
        <v>1666</v>
      </c>
      <c r="G562" s="3" t="s">
        <v>34</v>
      </c>
      <c r="H562" s="2" t="s">
        <v>2206</v>
      </c>
      <c r="I562" s="2" t="s">
        <v>1600</v>
      </c>
      <c r="J562" s="2" t="s">
        <v>2260</v>
      </c>
      <c r="K562" s="2" t="s">
        <v>1602</v>
      </c>
      <c r="L562" s="2" t="s">
        <v>1603</v>
      </c>
      <c r="M562" s="2" t="s">
        <v>1604</v>
      </c>
      <c r="N562" s="2" t="s">
        <v>41</v>
      </c>
      <c r="O562" s="2"/>
    </row>
    <row r="563" spans="1:15" ht="38.25" x14ac:dyDescent="0.25">
      <c r="A563" s="2" t="s">
        <v>2261</v>
      </c>
      <c r="B563" s="2" t="s">
        <v>1593</v>
      </c>
      <c r="C563" s="2" t="s">
        <v>2262</v>
      </c>
      <c r="D563" s="2" t="s">
        <v>2263</v>
      </c>
      <c r="E563" s="2" t="s">
        <v>275</v>
      </c>
      <c r="F563" s="2" t="s">
        <v>1086</v>
      </c>
      <c r="G563" s="3" t="s">
        <v>93</v>
      </c>
      <c r="H563" s="2" t="s">
        <v>2264</v>
      </c>
      <c r="I563" s="2" t="s">
        <v>1637</v>
      </c>
      <c r="J563" s="2" t="s">
        <v>2265</v>
      </c>
      <c r="K563" s="2" t="s">
        <v>1639</v>
      </c>
      <c r="L563" s="2" t="s">
        <v>179</v>
      </c>
      <c r="M563" s="2" t="s">
        <v>1640</v>
      </c>
      <c r="N563" s="2" t="s">
        <v>28</v>
      </c>
      <c r="O563" s="2"/>
    </row>
    <row r="564" spans="1:15" ht="63.75" x14ac:dyDescent="0.25">
      <c r="A564" s="2" t="s">
        <v>2266</v>
      </c>
      <c r="B564" s="2" t="s">
        <v>1593</v>
      </c>
      <c r="C564" s="2" t="s">
        <v>2262</v>
      </c>
      <c r="D564" s="2" t="s">
        <v>2267</v>
      </c>
      <c r="E564" s="2" t="s">
        <v>2268</v>
      </c>
      <c r="F564" s="2" t="s">
        <v>1086</v>
      </c>
      <c r="G564" s="3" t="s">
        <v>21</v>
      </c>
      <c r="H564" s="2" t="s">
        <v>2269</v>
      </c>
      <c r="I564" s="2" t="s">
        <v>1637</v>
      </c>
      <c r="J564" s="2" t="s">
        <v>2270</v>
      </c>
      <c r="K564" s="2" t="s">
        <v>1639</v>
      </c>
      <c r="L564" s="2" t="s">
        <v>179</v>
      </c>
      <c r="M564" s="2" t="s">
        <v>1640</v>
      </c>
      <c r="N564" s="2" t="s">
        <v>28</v>
      </c>
      <c r="O564" s="2"/>
    </row>
    <row r="565" spans="1:15" ht="38.25" x14ac:dyDescent="0.25">
      <c r="A565" s="2" t="s">
        <v>2271</v>
      </c>
      <c r="B565" s="2" t="s">
        <v>1593</v>
      </c>
      <c r="C565" s="2" t="s">
        <v>2262</v>
      </c>
      <c r="D565" s="2" t="s">
        <v>2272</v>
      </c>
      <c r="E565" s="2" t="s">
        <v>275</v>
      </c>
      <c r="F565" s="2" t="s">
        <v>1086</v>
      </c>
      <c r="G565" s="3" t="s">
        <v>21</v>
      </c>
      <c r="H565" s="2" t="s">
        <v>2273</v>
      </c>
      <c r="I565" s="2" t="s">
        <v>1637</v>
      </c>
      <c r="J565" s="2" t="s">
        <v>2274</v>
      </c>
      <c r="K565" s="2" t="s">
        <v>1639</v>
      </c>
      <c r="L565" s="2" t="s">
        <v>179</v>
      </c>
      <c r="M565" s="2" t="s">
        <v>1640</v>
      </c>
      <c r="N565" s="2" t="s">
        <v>28</v>
      </c>
      <c r="O565" s="2"/>
    </row>
    <row r="566" spans="1:15" ht="38.25" x14ac:dyDescent="0.25">
      <c r="A566" s="2" t="s">
        <v>2275</v>
      </c>
      <c r="B566" s="2" t="s">
        <v>1593</v>
      </c>
      <c r="C566" s="2" t="s">
        <v>2276</v>
      </c>
      <c r="D566" s="2" t="s">
        <v>2277</v>
      </c>
      <c r="E566" s="2" t="s">
        <v>275</v>
      </c>
      <c r="F566" s="2" t="s">
        <v>2278</v>
      </c>
      <c r="G566" s="3" t="s">
        <v>34</v>
      </c>
      <c r="H566" s="2" t="s">
        <v>2279</v>
      </c>
      <c r="I566" s="2" t="s">
        <v>1600</v>
      </c>
      <c r="J566" s="2" t="s">
        <v>2280</v>
      </c>
      <c r="K566" s="2" t="s">
        <v>1602</v>
      </c>
      <c r="L566" s="2" t="s">
        <v>1603</v>
      </c>
      <c r="M566" s="2" t="s">
        <v>1604</v>
      </c>
      <c r="N566" s="2" t="s">
        <v>41</v>
      </c>
      <c r="O566" s="2"/>
    </row>
    <row r="567" spans="1:15" ht="38.25" x14ac:dyDescent="0.25">
      <c r="A567" s="2" t="s">
        <v>2281</v>
      </c>
      <c r="B567" s="2" t="s">
        <v>1593</v>
      </c>
      <c r="C567" s="2" t="s">
        <v>2276</v>
      </c>
      <c r="D567" s="2" t="s">
        <v>2282</v>
      </c>
      <c r="E567" s="2" t="s">
        <v>1271</v>
      </c>
      <c r="F567" s="2" t="s">
        <v>2278</v>
      </c>
      <c r="G567" s="3" t="s">
        <v>34</v>
      </c>
      <c r="H567" s="2" t="s">
        <v>2283</v>
      </c>
      <c r="I567" s="2" t="s">
        <v>1600</v>
      </c>
      <c r="J567" s="2" t="s">
        <v>2284</v>
      </c>
      <c r="K567" s="2" t="s">
        <v>1602</v>
      </c>
      <c r="L567" s="2" t="s">
        <v>1603</v>
      </c>
      <c r="M567" s="2" t="s">
        <v>1604</v>
      </c>
      <c r="N567" s="2" t="s">
        <v>41</v>
      </c>
      <c r="O567" s="2"/>
    </row>
    <row r="568" spans="1:15" ht="25.5" x14ac:dyDescent="0.25">
      <c r="A568" s="2" t="s">
        <v>2285</v>
      </c>
      <c r="B568" s="2" t="s">
        <v>1593</v>
      </c>
      <c r="C568" s="2" t="s">
        <v>2276</v>
      </c>
      <c r="D568" s="2" t="s">
        <v>2286</v>
      </c>
      <c r="E568" s="2" t="s">
        <v>1271</v>
      </c>
      <c r="F568" s="2" t="s">
        <v>2278</v>
      </c>
      <c r="G568" s="3" t="s">
        <v>34</v>
      </c>
      <c r="H568" s="2" t="s">
        <v>2287</v>
      </c>
      <c r="I568" s="2" t="s">
        <v>1600</v>
      </c>
      <c r="J568" s="2" t="s">
        <v>2288</v>
      </c>
      <c r="K568" s="2" t="s">
        <v>1602</v>
      </c>
      <c r="L568" s="2" t="s">
        <v>1603</v>
      </c>
      <c r="M568" s="2" t="s">
        <v>1604</v>
      </c>
      <c r="N568" s="2" t="s">
        <v>41</v>
      </c>
      <c r="O568" s="2"/>
    </row>
    <row r="569" spans="1:15" ht="38.25" x14ac:dyDescent="0.25">
      <c r="A569" s="2" t="s">
        <v>2289</v>
      </c>
      <c r="B569" s="2" t="s">
        <v>1593</v>
      </c>
      <c r="C569" s="2" t="s">
        <v>2276</v>
      </c>
      <c r="D569" s="2" t="s">
        <v>2290</v>
      </c>
      <c r="E569" s="2" t="s">
        <v>1271</v>
      </c>
      <c r="F569" s="2" t="s">
        <v>2278</v>
      </c>
      <c r="G569" s="3" t="s">
        <v>34</v>
      </c>
      <c r="H569" s="2" t="s">
        <v>2291</v>
      </c>
      <c r="I569" s="2" t="s">
        <v>1600</v>
      </c>
      <c r="J569" s="2" t="s">
        <v>2292</v>
      </c>
      <c r="K569" s="2" t="s">
        <v>1602</v>
      </c>
      <c r="L569" s="2" t="s">
        <v>1603</v>
      </c>
      <c r="M569" s="2" t="s">
        <v>1604</v>
      </c>
      <c r="N569" s="2" t="s">
        <v>41</v>
      </c>
      <c r="O569" s="2"/>
    </row>
    <row r="570" spans="1:15" ht="38.25" x14ac:dyDescent="0.25">
      <c r="A570" s="2" t="s">
        <v>2293</v>
      </c>
      <c r="B570" s="2" t="s">
        <v>1593</v>
      </c>
      <c r="C570" s="2" t="s">
        <v>2276</v>
      </c>
      <c r="D570" s="2" t="s">
        <v>2294</v>
      </c>
      <c r="E570" s="2" t="s">
        <v>1271</v>
      </c>
      <c r="F570" s="2" t="s">
        <v>2278</v>
      </c>
      <c r="G570" s="3" t="s">
        <v>34</v>
      </c>
      <c r="H570" s="2" t="s">
        <v>2287</v>
      </c>
      <c r="I570" s="2" t="s">
        <v>1600</v>
      </c>
      <c r="J570" s="2" t="s">
        <v>2295</v>
      </c>
      <c r="K570" s="2" t="s">
        <v>1602</v>
      </c>
      <c r="L570" s="2" t="s">
        <v>1603</v>
      </c>
      <c r="M570" s="2" t="s">
        <v>1604</v>
      </c>
      <c r="N570" s="2" t="s">
        <v>41</v>
      </c>
      <c r="O570" s="2"/>
    </row>
    <row r="571" spans="1:15" ht="51" x14ac:dyDescent="0.25">
      <c r="A571" s="2" t="s">
        <v>2296</v>
      </c>
      <c r="B571" s="2" t="s">
        <v>1593</v>
      </c>
      <c r="C571" s="2" t="s">
        <v>2276</v>
      </c>
      <c r="D571" s="2" t="s">
        <v>2297</v>
      </c>
      <c r="E571" s="2" t="s">
        <v>898</v>
      </c>
      <c r="F571" s="2" t="s">
        <v>2278</v>
      </c>
      <c r="G571" s="3" t="s">
        <v>34</v>
      </c>
      <c r="H571" s="2" t="s">
        <v>2298</v>
      </c>
      <c r="I571" s="2" t="s">
        <v>1600</v>
      </c>
      <c r="J571" s="2" t="s">
        <v>2299</v>
      </c>
      <c r="K571" s="2" t="s">
        <v>1602</v>
      </c>
      <c r="L571" s="2" t="s">
        <v>1603</v>
      </c>
      <c r="M571" s="2" t="s">
        <v>1604</v>
      </c>
      <c r="N571" s="2" t="s">
        <v>41</v>
      </c>
      <c r="O571" s="2"/>
    </row>
    <row r="572" spans="1:15" ht="51" x14ac:dyDescent="0.25">
      <c r="A572" s="2" t="s">
        <v>2300</v>
      </c>
      <c r="B572" s="2" t="s">
        <v>1593</v>
      </c>
      <c r="C572" s="2" t="s">
        <v>2276</v>
      </c>
      <c r="D572" s="2" t="s">
        <v>2301</v>
      </c>
      <c r="E572" s="2" t="s">
        <v>898</v>
      </c>
      <c r="F572" s="2" t="s">
        <v>2278</v>
      </c>
      <c r="G572" s="3" t="s">
        <v>34</v>
      </c>
      <c r="H572" s="2" t="s">
        <v>2302</v>
      </c>
      <c r="I572" s="2" t="s">
        <v>1600</v>
      </c>
      <c r="J572" s="2" t="s">
        <v>2303</v>
      </c>
      <c r="K572" s="2" t="s">
        <v>1602</v>
      </c>
      <c r="L572" s="2" t="s">
        <v>1603</v>
      </c>
      <c r="M572" s="2" t="s">
        <v>1604</v>
      </c>
      <c r="N572" s="2" t="s">
        <v>41</v>
      </c>
      <c r="O572" s="2"/>
    </row>
    <row r="573" spans="1:15" ht="38.25" x14ac:dyDescent="0.25">
      <c r="A573" s="2" t="s">
        <v>2304</v>
      </c>
      <c r="B573" s="2" t="s">
        <v>1593</v>
      </c>
      <c r="C573" s="2" t="s">
        <v>2305</v>
      </c>
      <c r="D573" s="2" t="s">
        <v>2306</v>
      </c>
      <c r="E573" s="2" t="s">
        <v>283</v>
      </c>
      <c r="F573" s="2" t="s">
        <v>2056</v>
      </c>
      <c r="G573" s="3" t="s">
        <v>34</v>
      </c>
      <c r="H573" s="2" t="s">
        <v>2307</v>
      </c>
      <c r="I573" s="2" t="s">
        <v>1626</v>
      </c>
      <c r="J573" s="2" t="s">
        <v>2308</v>
      </c>
      <c r="K573" s="2" t="s">
        <v>1628</v>
      </c>
      <c r="L573" s="2" t="s">
        <v>1629</v>
      </c>
      <c r="M573" s="2" t="s">
        <v>1630</v>
      </c>
      <c r="N573" s="2" t="s">
        <v>41</v>
      </c>
      <c r="O573" s="2"/>
    </row>
    <row r="574" spans="1:15" ht="38.25" x14ac:dyDescent="0.25">
      <c r="A574" s="2" t="s">
        <v>2309</v>
      </c>
      <c r="B574" s="2" t="s">
        <v>1593</v>
      </c>
      <c r="C574" s="2" t="s">
        <v>2305</v>
      </c>
      <c r="D574" s="2" t="s">
        <v>2310</v>
      </c>
      <c r="E574" s="2" t="s">
        <v>275</v>
      </c>
      <c r="F574" s="2" t="s">
        <v>2056</v>
      </c>
      <c r="G574" s="3" t="s">
        <v>21</v>
      </c>
      <c r="H574" s="2" t="s">
        <v>2311</v>
      </c>
      <c r="I574" s="2" t="s">
        <v>1626</v>
      </c>
      <c r="J574" s="2" t="s">
        <v>2312</v>
      </c>
      <c r="K574" s="2" t="s">
        <v>1628</v>
      </c>
      <c r="L574" s="2" t="s">
        <v>1629</v>
      </c>
      <c r="M574" s="2" t="s">
        <v>1630</v>
      </c>
      <c r="N574" s="2" t="s">
        <v>28</v>
      </c>
      <c r="O574" s="2"/>
    </row>
    <row r="575" spans="1:15" ht="38.25" x14ac:dyDescent="0.25">
      <c r="A575" s="2" t="s">
        <v>2313</v>
      </c>
      <c r="B575" s="2" t="s">
        <v>1593</v>
      </c>
      <c r="C575" s="2" t="s">
        <v>2314</v>
      </c>
      <c r="D575" s="2" t="s">
        <v>2315</v>
      </c>
      <c r="E575" s="2" t="s">
        <v>275</v>
      </c>
      <c r="F575" s="2" t="s">
        <v>2056</v>
      </c>
      <c r="G575" s="3" t="s">
        <v>34</v>
      </c>
      <c r="H575" s="2" t="s">
        <v>2316</v>
      </c>
      <c r="I575" s="2" t="s">
        <v>1626</v>
      </c>
      <c r="J575" s="2" t="s">
        <v>2317</v>
      </c>
      <c r="K575" s="2" t="s">
        <v>1628</v>
      </c>
      <c r="L575" s="2" t="s">
        <v>1629</v>
      </c>
      <c r="M575" s="2" t="s">
        <v>1630</v>
      </c>
      <c r="N575" s="2" t="s">
        <v>41</v>
      </c>
      <c r="O575" s="2"/>
    </row>
    <row r="576" spans="1:15" ht="38.25" x14ac:dyDescent="0.25">
      <c r="A576" s="2" t="s">
        <v>2318</v>
      </c>
      <c r="B576" s="2" t="s">
        <v>1593</v>
      </c>
      <c r="C576" s="2" t="s">
        <v>2314</v>
      </c>
      <c r="D576" s="2" t="s">
        <v>2319</v>
      </c>
      <c r="E576" s="2" t="s">
        <v>275</v>
      </c>
      <c r="F576" s="2" t="s">
        <v>2056</v>
      </c>
      <c r="G576" s="3" t="s">
        <v>21</v>
      </c>
      <c r="H576" s="2" t="s">
        <v>2320</v>
      </c>
      <c r="I576" s="2" t="s">
        <v>1626</v>
      </c>
      <c r="J576" s="2" t="s">
        <v>2321</v>
      </c>
      <c r="K576" s="2" t="s">
        <v>1628</v>
      </c>
      <c r="L576" s="2" t="s">
        <v>1629</v>
      </c>
      <c r="M576" s="2" t="s">
        <v>1630</v>
      </c>
      <c r="N576" s="2" t="s">
        <v>28</v>
      </c>
      <c r="O576" s="2"/>
    </row>
    <row r="577" spans="1:15" ht="38.25" x14ac:dyDescent="0.25">
      <c r="A577" s="2" t="s">
        <v>2322</v>
      </c>
      <c r="B577" s="2" t="s">
        <v>1593</v>
      </c>
      <c r="C577" s="2" t="s">
        <v>2314</v>
      </c>
      <c r="D577" s="2" t="s">
        <v>2323</v>
      </c>
      <c r="E577" s="2" t="s">
        <v>275</v>
      </c>
      <c r="F577" s="2" t="s">
        <v>2056</v>
      </c>
      <c r="G577" s="3" t="s">
        <v>34</v>
      </c>
      <c r="H577" s="2" t="s">
        <v>2324</v>
      </c>
      <c r="I577" s="2" t="s">
        <v>1626</v>
      </c>
      <c r="J577" s="2" t="s">
        <v>2325</v>
      </c>
      <c r="K577" s="2" t="s">
        <v>1628</v>
      </c>
      <c r="L577" s="2" t="s">
        <v>1629</v>
      </c>
      <c r="M577" s="2" t="s">
        <v>1630</v>
      </c>
      <c r="N577" s="2" t="s">
        <v>41</v>
      </c>
      <c r="O577" s="2"/>
    </row>
    <row r="578" spans="1:15" ht="38.25" x14ac:dyDescent="0.25">
      <c r="A578" s="2" t="s">
        <v>2326</v>
      </c>
      <c r="B578" s="2" t="s">
        <v>1593</v>
      </c>
      <c r="C578" s="2" t="s">
        <v>2314</v>
      </c>
      <c r="D578" s="2" t="s">
        <v>2327</v>
      </c>
      <c r="E578" s="2" t="s">
        <v>2328</v>
      </c>
      <c r="F578" s="2" t="s">
        <v>2056</v>
      </c>
      <c r="G578" s="3" t="s">
        <v>34</v>
      </c>
      <c r="H578" s="2" t="s">
        <v>2329</v>
      </c>
      <c r="I578" s="2" t="s">
        <v>1626</v>
      </c>
      <c r="J578" s="2" t="s">
        <v>2330</v>
      </c>
      <c r="K578" s="2" t="s">
        <v>1628</v>
      </c>
      <c r="L578" s="2" t="s">
        <v>1629</v>
      </c>
      <c r="M578" s="2" t="s">
        <v>1630</v>
      </c>
      <c r="N578" s="2" t="s">
        <v>41</v>
      </c>
      <c r="O578" s="2"/>
    </row>
    <row r="579" spans="1:15" ht="38.25" x14ac:dyDescent="0.25">
      <c r="A579" s="2" t="s">
        <v>2331</v>
      </c>
      <c r="B579" s="2" t="s">
        <v>1593</v>
      </c>
      <c r="C579" s="2" t="s">
        <v>2314</v>
      </c>
      <c r="D579" s="2" t="s">
        <v>2332</v>
      </c>
      <c r="E579" s="2" t="s">
        <v>275</v>
      </c>
      <c r="F579" s="2" t="s">
        <v>2056</v>
      </c>
      <c r="G579" s="3" t="s">
        <v>21</v>
      </c>
      <c r="H579" s="2" t="s">
        <v>2333</v>
      </c>
      <c r="I579" s="2" t="s">
        <v>1626</v>
      </c>
      <c r="J579" s="2" t="s">
        <v>2334</v>
      </c>
      <c r="K579" s="2" t="s">
        <v>1628</v>
      </c>
      <c r="L579" s="2" t="s">
        <v>1629</v>
      </c>
      <c r="M579" s="2" t="s">
        <v>1630</v>
      </c>
      <c r="N579" s="2" t="s">
        <v>28</v>
      </c>
      <c r="O579" s="2"/>
    </row>
    <row r="580" spans="1:15" ht="38.25" x14ac:dyDescent="0.25">
      <c r="A580" s="2" t="s">
        <v>2335</v>
      </c>
      <c r="B580" s="2" t="s">
        <v>1593</v>
      </c>
      <c r="C580" s="2" t="s">
        <v>2314</v>
      </c>
      <c r="D580" s="2" t="s">
        <v>2336</v>
      </c>
      <c r="E580" s="2" t="s">
        <v>275</v>
      </c>
      <c r="F580" s="2" t="s">
        <v>2056</v>
      </c>
      <c r="G580" s="3" t="s">
        <v>34</v>
      </c>
      <c r="H580" s="2" t="s">
        <v>2337</v>
      </c>
      <c r="I580" s="2" t="s">
        <v>1626</v>
      </c>
      <c r="J580" s="2" t="s">
        <v>2338</v>
      </c>
      <c r="K580" s="2" t="s">
        <v>1628</v>
      </c>
      <c r="L580" s="2" t="s">
        <v>1629</v>
      </c>
      <c r="M580" s="2" t="s">
        <v>1630</v>
      </c>
      <c r="N580" s="2" t="s">
        <v>41</v>
      </c>
      <c r="O580" s="2"/>
    </row>
    <row r="581" spans="1:15" ht="38.25" x14ac:dyDescent="0.25">
      <c r="A581" s="2" t="s">
        <v>2339</v>
      </c>
      <c r="B581" s="2" t="s">
        <v>1593</v>
      </c>
      <c r="C581" s="2" t="s">
        <v>2314</v>
      </c>
      <c r="D581" s="2" t="s">
        <v>2340</v>
      </c>
      <c r="E581" s="2" t="s">
        <v>1271</v>
      </c>
      <c r="F581" s="2" t="s">
        <v>2056</v>
      </c>
      <c r="G581" s="3" t="s">
        <v>34</v>
      </c>
      <c r="H581" s="2" t="s">
        <v>2341</v>
      </c>
      <c r="I581" s="2" t="s">
        <v>1626</v>
      </c>
      <c r="J581" s="2" t="s">
        <v>2342</v>
      </c>
      <c r="K581" s="2" t="s">
        <v>1628</v>
      </c>
      <c r="L581" s="2" t="s">
        <v>1629</v>
      </c>
      <c r="M581" s="2" t="s">
        <v>1630</v>
      </c>
      <c r="N581" s="2" t="s">
        <v>41</v>
      </c>
      <c r="O581" s="2"/>
    </row>
    <row r="582" spans="1:15" ht="38.25" x14ac:dyDescent="0.25">
      <c r="A582" s="2" t="s">
        <v>2343</v>
      </c>
      <c r="B582" s="2" t="s">
        <v>1593</v>
      </c>
      <c r="C582" s="2" t="s">
        <v>2344</v>
      </c>
      <c r="D582" s="2" t="s">
        <v>2345</v>
      </c>
      <c r="E582" s="2" t="s">
        <v>275</v>
      </c>
      <c r="F582" s="2" t="s">
        <v>2056</v>
      </c>
      <c r="G582" s="3" t="s">
        <v>34</v>
      </c>
      <c r="H582" s="2" t="s">
        <v>2346</v>
      </c>
      <c r="I582" s="2" t="s">
        <v>1626</v>
      </c>
      <c r="J582" s="2" t="s">
        <v>2347</v>
      </c>
      <c r="K582" s="2" t="s">
        <v>1628</v>
      </c>
      <c r="L582" s="2" t="s">
        <v>1629</v>
      </c>
      <c r="M582" s="2" t="s">
        <v>1630</v>
      </c>
      <c r="N582" s="2" t="s">
        <v>41</v>
      </c>
      <c r="O582" s="2"/>
    </row>
    <row r="583" spans="1:15" ht="25.5" x14ac:dyDescent="0.25">
      <c r="A583" s="2" t="s">
        <v>2348</v>
      </c>
      <c r="B583" s="2" t="s">
        <v>1593</v>
      </c>
      <c r="C583" s="2" t="s">
        <v>2344</v>
      </c>
      <c r="D583" s="2" t="s">
        <v>2349</v>
      </c>
      <c r="E583" s="2" t="s">
        <v>275</v>
      </c>
      <c r="F583" s="2" t="s">
        <v>2056</v>
      </c>
      <c r="G583" s="3" t="s">
        <v>21</v>
      </c>
      <c r="H583" s="2" t="s">
        <v>2350</v>
      </c>
      <c r="I583" s="2" t="s">
        <v>1600</v>
      </c>
      <c r="J583" s="2" t="s">
        <v>2351</v>
      </c>
      <c r="K583" s="2" t="s">
        <v>1602</v>
      </c>
      <c r="L583" s="2" t="s">
        <v>1603</v>
      </c>
      <c r="M583" s="2" t="s">
        <v>1604</v>
      </c>
      <c r="N583" s="2" t="s">
        <v>28</v>
      </c>
      <c r="O583" s="2"/>
    </row>
    <row r="584" spans="1:15" ht="38.25" x14ac:dyDescent="0.25">
      <c r="A584" s="2" t="s">
        <v>2352</v>
      </c>
      <c r="B584" s="2" t="s">
        <v>1593</v>
      </c>
      <c r="C584" s="2" t="s">
        <v>2344</v>
      </c>
      <c r="D584" s="2" t="s">
        <v>2353</v>
      </c>
      <c r="E584" s="2" t="s">
        <v>275</v>
      </c>
      <c r="F584" s="2" t="s">
        <v>2056</v>
      </c>
      <c r="G584" s="3" t="s">
        <v>34</v>
      </c>
      <c r="H584" s="2" t="s">
        <v>2354</v>
      </c>
      <c r="I584" s="2" t="s">
        <v>1626</v>
      </c>
      <c r="J584" s="2" t="s">
        <v>2355</v>
      </c>
      <c r="K584" s="2" t="s">
        <v>1628</v>
      </c>
      <c r="L584" s="2" t="s">
        <v>1629</v>
      </c>
      <c r="M584" s="2" t="s">
        <v>1630</v>
      </c>
      <c r="N584" s="2" t="s">
        <v>41</v>
      </c>
      <c r="O584" s="2"/>
    </row>
    <row r="585" spans="1:15" ht="38.25" x14ac:dyDescent="0.25">
      <c r="A585" s="2" t="s">
        <v>2356</v>
      </c>
      <c r="B585" s="2" t="s">
        <v>1593</v>
      </c>
      <c r="C585" s="2" t="s">
        <v>2357</v>
      </c>
      <c r="D585" s="2" t="s">
        <v>2358</v>
      </c>
      <c r="E585" s="2" t="s">
        <v>275</v>
      </c>
      <c r="F585" s="2" t="s">
        <v>2056</v>
      </c>
      <c r="G585" s="3" t="s">
        <v>34</v>
      </c>
      <c r="H585" s="2" t="s">
        <v>2359</v>
      </c>
      <c r="I585" s="2" t="s">
        <v>1626</v>
      </c>
      <c r="J585" s="2" t="s">
        <v>2360</v>
      </c>
      <c r="K585" s="2" t="s">
        <v>1628</v>
      </c>
      <c r="L585" s="2" t="s">
        <v>1629</v>
      </c>
      <c r="M585" s="2" t="s">
        <v>1630</v>
      </c>
      <c r="N585" s="2" t="s">
        <v>41</v>
      </c>
      <c r="O585" s="2"/>
    </row>
    <row r="586" spans="1:15" ht="38.25" x14ac:dyDescent="0.25">
      <c r="A586" s="2" t="s">
        <v>2361</v>
      </c>
      <c r="B586" s="2" t="s">
        <v>1593</v>
      </c>
      <c r="C586" s="2" t="s">
        <v>2357</v>
      </c>
      <c r="D586" s="2" t="s">
        <v>1801</v>
      </c>
      <c r="E586" s="2" t="s">
        <v>275</v>
      </c>
      <c r="F586" s="2" t="s">
        <v>2056</v>
      </c>
      <c r="G586" s="3" t="s">
        <v>34</v>
      </c>
      <c r="H586" s="2" t="s">
        <v>2362</v>
      </c>
      <c r="I586" s="2" t="s">
        <v>1626</v>
      </c>
      <c r="J586" s="2" t="s">
        <v>2363</v>
      </c>
      <c r="K586" s="2" t="s">
        <v>1628</v>
      </c>
      <c r="L586" s="2" t="s">
        <v>1629</v>
      </c>
      <c r="M586" s="2" t="s">
        <v>1630</v>
      </c>
      <c r="N586" s="2" t="s">
        <v>41</v>
      </c>
      <c r="O586" s="2"/>
    </row>
    <row r="587" spans="1:15" ht="38.25" x14ac:dyDescent="0.25">
      <c r="A587" s="2" t="s">
        <v>2364</v>
      </c>
      <c r="B587" s="2" t="s">
        <v>1593</v>
      </c>
      <c r="C587" s="2" t="s">
        <v>2357</v>
      </c>
      <c r="D587" s="2" t="s">
        <v>2365</v>
      </c>
      <c r="E587" s="2" t="s">
        <v>898</v>
      </c>
      <c r="F587" s="2" t="s">
        <v>2056</v>
      </c>
      <c r="G587" s="3" t="s">
        <v>34</v>
      </c>
      <c r="H587" s="2" t="s">
        <v>2366</v>
      </c>
      <c r="I587" s="2" t="s">
        <v>1626</v>
      </c>
      <c r="J587" s="2" t="s">
        <v>2367</v>
      </c>
      <c r="K587" s="2" t="s">
        <v>1628</v>
      </c>
      <c r="L587" s="2" t="s">
        <v>1629</v>
      </c>
      <c r="M587" s="2" t="s">
        <v>1630</v>
      </c>
      <c r="N587" s="2" t="s">
        <v>41</v>
      </c>
      <c r="O587" s="2"/>
    </row>
    <row r="588" spans="1:15" ht="51" x14ac:dyDescent="0.25">
      <c r="A588" s="2" t="s">
        <v>2368</v>
      </c>
      <c r="B588" s="2" t="s">
        <v>1593</v>
      </c>
      <c r="C588" s="2" t="s">
        <v>2357</v>
      </c>
      <c r="D588" s="2" t="s">
        <v>2369</v>
      </c>
      <c r="E588" s="2" t="s">
        <v>275</v>
      </c>
      <c r="F588" s="2" t="s">
        <v>2056</v>
      </c>
      <c r="G588" s="3" t="s">
        <v>34</v>
      </c>
      <c r="H588" s="2" t="s">
        <v>2370</v>
      </c>
      <c r="I588" s="2" t="s">
        <v>1626</v>
      </c>
      <c r="J588" s="2" t="s">
        <v>2371</v>
      </c>
      <c r="K588" s="2" t="s">
        <v>1628</v>
      </c>
      <c r="L588" s="2" t="s">
        <v>1629</v>
      </c>
      <c r="M588" s="2" t="s">
        <v>1630</v>
      </c>
      <c r="N588" s="2" t="s">
        <v>41</v>
      </c>
      <c r="O588" s="2"/>
    </row>
    <row r="589" spans="1:15" ht="38.25" x14ac:dyDescent="0.25">
      <c r="A589" s="2" t="s">
        <v>2372</v>
      </c>
      <c r="B589" s="2" t="s">
        <v>1593</v>
      </c>
      <c r="C589" s="2" t="s">
        <v>2357</v>
      </c>
      <c r="D589" s="2" t="s">
        <v>2373</v>
      </c>
      <c r="E589" s="2" t="s">
        <v>275</v>
      </c>
      <c r="F589" s="2" t="s">
        <v>2056</v>
      </c>
      <c r="G589" s="3" t="s">
        <v>34</v>
      </c>
      <c r="H589" s="2" t="s">
        <v>2374</v>
      </c>
      <c r="I589" s="2" t="s">
        <v>1626</v>
      </c>
      <c r="J589" s="2" t="s">
        <v>2375</v>
      </c>
      <c r="K589" s="2" t="s">
        <v>1628</v>
      </c>
      <c r="L589" s="2" t="s">
        <v>1629</v>
      </c>
      <c r="M589" s="2" t="s">
        <v>1630</v>
      </c>
      <c r="N589" s="2" t="s">
        <v>41</v>
      </c>
      <c r="O589" s="2"/>
    </row>
    <row r="590" spans="1:15" ht="38.25" x14ac:dyDescent="0.25">
      <c r="A590" s="2" t="s">
        <v>2376</v>
      </c>
      <c r="B590" s="2" t="s">
        <v>1593</v>
      </c>
      <c r="C590" s="2" t="s">
        <v>2357</v>
      </c>
      <c r="D590" s="2" t="s">
        <v>2377</v>
      </c>
      <c r="E590" s="2" t="s">
        <v>275</v>
      </c>
      <c r="F590" s="2" t="s">
        <v>2056</v>
      </c>
      <c r="G590" s="3" t="s">
        <v>34</v>
      </c>
      <c r="H590" s="2" t="s">
        <v>2378</v>
      </c>
      <c r="I590" s="2" t="s">
        <v>1626</v>
      </c>
      <c r="J590" s="2" t="s">
        <v>2379</v>
      </c>
      <c r="K590" s="2" t="s">
        <v>1628</v>
      </c>
      <c r="L590" s="2" t="s">
        <v>1629</v>
      </c>
      <c r="M590" s="2" t="s">
        <v>1630</v>
      </c>
      <c r="N590" s="2" t="s">
        <v>41</v>
      </c>
      <c r="O590" s="2"/>
    </row>
    <row r="591" spans="1:15" ht="38.25" x14ac:dyDescent="0.25">
      <c r="A591" s="2" t="s">
        <v>2380</v>
      </c>
      <c r="B591" s="2" t="s">
        <v>1593</v>
      </c>
      <c r="C591" s="2" t="s">
        <v>2357</v>
      </c>
      <c r="D591" s="2" t="s">
        <v>2381</v>
      </c>
      <c r="E591" s="2" t="s">
        <v>275</v>
      </c>
      <c r="F591" s="2" t="s">
        <v>2056</v>
      </c>
      <c r="G591" s="3" t="s">
        <v>34</v>
      </c>
      <c r="H591" s="2" t="s">
        <v>2382</v>
      </c>
      <c r="I591" s="2" t="s">
        <v>1626</v>
      </c>
      <c r="J591" s="2" t="s">
        <v>2383</v>
      </c>
      <c r="K591" s="2" t="s">
        <v>1628</v>
      </c>
      <c r="L591" s="2" t="s">
        <v>1629</v>
      </c>
      <c r="M591" s="2" t="s">
        <v>1630</v>
      </c>
      <c r="N591" s="2" t="s">
        <v>41</v>
      </c>
      <c r="O591" s="2"/>
    </row>
    <row r="592" spans="1:15" ht="38.25" x14ac:dyDescent="0.25">
      <c r="A592" s="2" t="s">
        <v>2384</v>
      </c>
      <c r="B592" s="2" t="s">
        <v>1593</v>
      </c>
      <c r="C592" s="2" t="s">
        <v>2357</v>
      </c>
      <c r="D592" s="2" t="s">
        <v>2385</v>
      </c>
      <c r="E592" s="2" t="s">
        <v>275</v>
      </c>
      <c r="F592" s="2" t="s">
        <v>2056</v>
      </c>
      <c r="G592" s="3" t="s">
        <v>21</v>
      </c>
      <c r="H592" s="2" t="s">
        <v>2386</v>
      </c>
      <c r="I592" s="2" t="s">
        <v>1626</v>
      </c>
      <c r="J592" s="2" t="s">
        <v>2387</v>
      </c>
      <c r="K592" s="2" t="s">
        <v>1628</v>
      </c>
      <c r="L592" s="2" t="s">
        <v>1629</v>
      </c>
      <c r="M592" s="2" t="s">
        <v>1630</v>
      </c>
      <c r="N592" s="2" t="s">
        <v>28</v>
      </c>
      <c r="O592" s="2"/>
    </row>
    <row r="593" spans="1:15" ht="38.25" x14ac:dyDescent="0.25">
      <c r="A593" s="2" t="s">
        <v>2388</v>
      </c>
      <c r="B593" s="2" t="s">
        <v>1593</v>
      </c>
      <c r="C593" s="2" t="s">
        <v>2357</v>
      </c>
      <c r="D593" s="2" t="s">
        <v>2389</v>
      </c>
      <c r="E593" s="2" t="s">
        <v>1271</v>
      </c>
      <c r="F593" s="2" t="s">
        <v>2056</v>
      </c>
      <c r="G593" s="3" t="s">
        <v>34</v>
      </c>
      <c r="H593" s="2" t="s">
        <v>2390</v>
      </c>
      <c r="I593" s="2" t="s">
        <v>1626</v>
      </c>
      <c r="J593" s="2" t="s">
        <v>2391</v>
      </c>
      <c r="K593" s="2" t="s">
        <v>1628</v>
      </c>
      <c r="L593" s="2" t="s">
        <v>1629</v>
      </c>
      <c r="M593" s="2" t="s">
        <v>1630</v>
      </c>
      <c r="N593" s="2" t="s">
        <v>41</v>
      </c>
      <c r="O593" s="2"/>
    </row>
  </sheetData>
  <autoFilter ref="A1:O593" xr:uid="{00000000-0009-0000-0000-000000000000}"/>
  <conditionalFormatting sqref="G2:G593">
    <cfRule type="cellIs" dxfId="14" priority="1" operator="equal">
      <formula>"Critical"</formula>
    </cfRule>
    <cfRule type="cellIs" dxfId="13" priority="2" operator="equal">
      <formula>"High"</formula>
    </cfRule>
    <cfRule type="cellIs" dxfId="12" priority="3" operator="equal">
      <formula>"Medium"</formula>
    </cfRule>
    <cfRule type="cellIs" dxfId="11" priority="4" operator="equal">
      <formula>"Low"</formula>
    </cfRule>
    <cfRule type="cellIs" dxfId="10" priority="5" operator="equal">
      <formula>"Nil"</formula>
    </cfRule>
  </conditionalFormatting>
  <dataValidations count="2">
    <dataValidation type="list" showErrorMessage="1" errorTitle="Impact rating" error="Use one of: Critical, High, Medium, Low, Nil" sqref="G2:G593" xr:uid="{00000000-0002-0000-0000-000000000000}">
      <formula1>"Critical,High,Medium,Low,Nil"</formula1>
    </dataValidation>
    <dataValidation type="list" showErrorMessage="1" sqref="N2:N593" xr:uid="{00000000-0002-0000-0000-000001000000}">
      <formula1>"S,M,L,n/a"</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608"/>
  <sheetViews>
    <sheetView workbookViewId="0">
      <pane ySplit="16" topLeftCell="A17" activePane="bottomLeft" state="frozen"/>
      <selection pane="bottomLeft"/>
    </sheetView>
  </sheetViews>
  <sheetFormatPr defaultRowHeight="15" x14ac:dyDescent="0.25"/>
  <cols>
    <col min="1" max="1" width="26" customWidth="1"/>
    <col min="2" max="2" width="18" customWidth="1"/>
    <col min="3" max="3" width="22" customWidth="1"/>
    <col min="4" max="4" width="30" customWidth="1"/>
    <col min="5" max="5" width="28" customWidth="1"/>
    <col min="6" max="6" width="14" customWidth="1"/>
    <col min="7" max="7" width="70" customWidth="1"/>
    <col min="8" max="8" width="28" customWidth="1"/>
    <col min="9" max="9" width="10" customWidth="1"/>
    <col min="24" max="26" width="13" hidden="1" customWidth="1"/>
  </cols>
  <sheetData>
    <row r="1" spans="1:26" ht="18" x14ac:dyDescent="0.25">
      <c r="A1" s="4" t="s">
        <v>2392</v>
      </c>
      <c r="X1" t="s">
        <v>2393</v>
      </c>
      <c r="Y1" t="s">
        <v>2394</v>
      </c>
      <c r="Z1" t="s">
        <v>2395</v>
      </c>
    </row>
    <row r="2" spans="1:26" x14ac:dyDescent="0.25">
      <c r="A2" s="5" t="s">
        <v>2396</v>
      </c>
      <c r="Y2" t="str">
        <f>IF(Assessment!$G2="Critical",ROW(Assessment!$G2),"")</f>
        <v/>
      </c>
      <c r="Z2" t="str">
        <f>IF(Assessment!$G2="High",ROW(Assessment!$G2),"")</f>
        <v/>
      </c>
    </row>
    <row r="3" spans="1:26" x14ac:dyDescent="0.25">
      <c r="A3" s="5" t="s">
        <v>2397</v>
      </c>
      <c r="Y3" t="str">
        <f>IF(Assessment!$G3="Critical",ROW(Assessment!$G3),"")</f>
        <v/>
      </c>
      <c r="Z3" t="str">
        <f>IF(Assessment!$G3="High",ROW(Assessment!$G3),"")</f>
        <v/>
      </c>
    </row>
    <row r="4" spans="1:26" x14ac:dyDescent="0.25">
      <c r="Y4" t="str">
        <f>IF(Assessment!$G4="Critical",ROW(Assessment!$G4),"")</f>
        <v/>
      </c>
      <c r="Z4" t="str">
        <f>IF(Assessment!$G4="High",ROW(Assessment!$G4),"")</f>
        <v/>
      </c>
    </row>
    <row r="5" spans="1:26" ht="25.5" x14ac:dyDescent="0.25">
      <c r="A5" s="1" t="s">
        <v>6</v>
      </c>
      <c r="B5" s="1" t="s">
        <v>2398</v>
      </c>
      <c r="C5" s="1" t="s">
        <v>16</v>
      </c>
      <c r="D5" s="1" t="s">
        <v>1181</v>
      </c>
      <c r="E5" s="1" t="s">
        <v>1593</v>
      </c>
      <c r="F5" s="1" t="s">
        <v>2399</v>
      </c>
      <c r="Y5" t="str">
        <f>IF(Assessment!$G5="Critical",ROW(Assessment!$G5),"")</f>
        <v/>
      </c>
      <c r="Z5" t="str">
        <f>IF(Assessment!$G5="High",ROW(Assessment!$G5),"")</f>
        <v/>
      </c>
    </row>
    <row r="6" spans="1:26" x14ac:dyDescent="0.25">
      <c r="A6" s="6" t="s">
        <v>67</v>
      </c>
      <c r="B6" s="7">
        <f>COUNTIF(Assessment!$G:$G,$A6)</f>
        <v>26</v>
      </c>
      <c r="C6" s="7">
        <f>COUNTIFS(Assessment!$B:$B,C$5,Assessment!$G:$G,$A6)</f>
        <v>20</v>
      </c>
      <c r="D6" s="7">
        <f>COUNTIFS(Assessment!$B:$B,D$5,Assessment!$G:$G,$A6)</f>
        <v>1</v>
      </c>
      <c r="E6" s="7">
        <f>COUNTIFS(Assessment!$B:$B,E$5,Assessment!$G:$G,$A6)</f>
        <v>5</v>
      </c>
      <c r="F6" s="8">
        <f>IF($B$11=0,0,B6/$B$11)</f>
        <v>4.3918918918918921E-2</v>
      </c>
      <c r="Y6">
        <f>IF(Assessment!$G6="Critical",ROW(Assessment!$G6),"")</f>
        <v>6</v>
      </c>
      <c r="Z6" t="str">
        <f>IF(Assessment!$G6="High",ROW(Assessment!$G6),"")</f>
        <v/>
      </c>
    </row>
    <row r="7" spans="1:26" x14ac:dyDescent="0.25">
      <c r="A7" s="6" t="s">
        <v>93</v>
      </c>
      <c r="B7" s="7">
        <f>COUNTIF(Assessment!$G:$G,$A7)</f>
        <v>63</v>
      </c>
      <c r="C7" s="7">
        <f>COUNTIFS(Assessment!$B:$B,C$5,Assessment!$G:$G,$A7)</f>
        <v>34</v>
      </c>
      <c r="D7" s="7">
        <f>COUNTIFS(Assessment!$B:$B,D$5,Assessment!$G:$G,$A7)</f>
        <v>6</v>
      </c>
      <c r="E7" s="7">
        <f>COUNTIFS(Assessment!$B:$B,E$5,Assessment!$G:$G,$A7)</f>
        <v>23</v>
      </c>
      <c r="F7" s="8">
        <f>IF($B$11=0,0,B7/$B$11)</f>
        <v>0.10641891891891891</v>
      </c>
      <c r="Y7">
        <f>IF(Assessment!$G7="Critical",ROW(Assessment!$G7),"")</f>
        <v>7</v>
      </c>
      <c r="Z7" t="str">
        <f>IF(Assessment!$G7="High",ROW(Assessment!$G7),"")</f>
        <v/>
      </c>
    </row>
    <row r="8" spans="1:26" x14ac:dyDescent="0.25">
      <c r="A8" s="6" t="s">
        <v>21</v>
      </c>
      <c r="B8" s="7">
        <f>COUNTIF(Assessment!$G:$G,$A8)</f>
        <v>119</v>
      </c>
      <c r="C8" s="7">
        <f>COUNTIFS(Assessment!$B:$B,C$5,Assessment!$G:$G,$A8)</f>
        <v>51</v>
      </c>
      <c r="D8" s="7">
        <f>COUNTIFS(Assessment!$B:$B,D$5,Assessment!$G:$G,$A8)</f>
        <v>14</v>
      </c>
      <c r="E8" s="7">
        <f>COUNTIFS(Assessment!$B:$B,E$5,Assessment!$G:$G,$A8)</f>
        <v>54</v>
      </c>
      <c r="F8" s="8">
        <f>IF($B$11=0,0,B8/$B$11)</f>
        <v>0.20101351351351351</v>
      </c>
      <c r="Y8" t="str">
        <f>IF(Assessment!$G8="Critical",ROW(Assessment!$G8),"")</f>
        <v/>
      </c>
      <c r="Z8" t="str">
        <f>IF(Assessment!$G8="High",ROW(Assessment!$G8),"")</f>
        <v/>
      </c>
    </row>
    <row r="9" spans="1:26" x14ac:dyDescent="0.25">
      <c r="A9" s="6" t="s">
        <v>34</v>
      </c>
      <c r="B9" s="7">
        <f>COUNTIF(Assessment!$G:$G,$A9)</f>
        <v>169</v>
      </c>
      <c r="C9" s="7">
        <f>COUNTIFS(Assessment!$B:$B,C$5,Assessment!$G:$G,$A9)</f>
        <v>49</v>
      </c>
      <c r="D9" s="7">
        <f>COUNTIFS(Assessment!$B:$B,D$5,Assessment!$G:$G,$A9)</f>
        <v>20</v>
      </c>
      <c r="E9" s="7">
        <f>COUNTIFS(Assessment!$B:$B,E$5,Assessment!$G:$G,$A9)</f>
        <v>100</v>
      </c>
      <c r="F9" s="8">
        <f>IF($B$11=0,0,B9/$B$11)</f>
        <v>0.28547297297297297</v>
      </c>
      <c r="Y9" t="str">
        <f>IF(Assessment!$G9="Critical",ROW(Assessment!$G9),"")</f>
        <v/>
      </c>
      <c r="Z9">
        <f>IF(Assessment!$G9="High",ROW(Assessment!$G9),"")</f>
        <v>9</v>
      </c>
    </row>
    <row r="10" spans="1:26" x14ac:dyDescent="0.25">
      <c r="A10" s="6" t="s">
        <v>45</v>
      </c>
      <c r="B10" s="7">
        <f>COUNTIF(Assessment!$G:$G,$A10)</f>
        <v>215</v>
      </c>
      <c r="C10" s="7">
        <f>COUNTIFS(Assessment!$B:$B,C$5,Assessment!$G:$G,$A10)</f>
        <v>128</v>
      </c>
      <c r="D10" s="7">
        <f>COUNTIFS(Assessment!$B:$B,D$5,Assessment!$G:$G,$A10)</f>
        <v>87</v>
      </c>
      <c r="E10" s="7">
        <f>COUNTIFS(Assessment!$B:$B,E$5,Assessment!$G:$G,$A10)</f>
        <v>0</v>
      </c>
      <c r="F10" s="8">
        <f>IF($B$11=0,0,B10/$B$11)</f>
        <v>0.36317567567567566</v>
      </c>
      <c r="Y10" t="str">
        <f>IF(Assessment!$G10="Critical",ROW(Assessment!$G10),"")</f>
        <v/>
      </c>
      <c r="Z10">
        <f>IF(Assessment!$G10="High",ROW(Assessment!$G10),"")</f>
        <v>10</v>
      </c>
    </row>
    <row r="11" spans="1:26" x14ac:dyDescent="0.25">
      <c r="A11" s="6" t="s">
        <v>2400</v>
      </c>
      <c r="B11" s="6">
        <f>SUM(B6:B10)</f>
        <v>592</v>
      </c>
      <c r="C11" s="6">
        <f>SUM(C6:C10)</f>
        <v>282</v>
      </c>
      <c r="D11" s="6">
        <f>SUM(D6:D10)</f>
        <v>128</v>
      </c>
      <c r="E11" s="6">
        <f>SUM(E6:E10)</f>
        <v>182</v>
      </c>
      <c r="F11" s="6"/>
      <c r="Y11" t="str">
        <f>IF(Assessment!$G11="Critical",ROW(Assessment!$G11),"")</f>
        <v/>
      </c>
      <c r="Z11" t="str">
        <f>IF(Assessment!$G11="High",ROW(Assessment!$G11),"")</f>
        <v/>
      </c>
    </row>
    <row r="12" spans="1:26" x14ac:dyDescent="0.25">
      <c r="A12" s="6" t="s">
        <v>2401</v>
      </c>
      <c r="B12" s="6">
        <f>COUNTA(Assessment!$A:$A)-1</f>
        <v>592</v>
      </c>
      <c r="C12" s="6">
        <f>COUNTIF(Assessment!$B:$B,C$5)</f>
        <v>282</v>
      </c>
      <c r="D12" s="6">
        <f>COUNTIF(Assessment!$B:$B,D$5)</f>
        <v>128</v>
      </c>
      <c r="E12" s="6">
        <f>COUNTIF(Assessment!$B:$B,E$5)</f>
        <v>182</v>
      </c>
      <c r="F12" s="6"/>
      <c r="Y12" t="str">
        <f>IF(Assessment!$G12="Critical",ROW(Assessment!$G12),"")</f>
        <v/>
      </c>
      <c r="Z12">
        <f>IF(Assessment!$G12="High",ROW(Assessment!$G12),"")</f>
        <v>12</v>
      </c>
    </row>
    <row r="13" spans="1:26" x14ac:dyDescent="0.25">
      <c r="A13" s="6" t="s">
        <v>2402</v>
      </c>
      <c r="B13" s="6" t="str">
        <f>IF(B11=B12,"OK","CHECK")</f>
        <v>OK</v>
      </c>
      <c r="C13" s="6" t="str">
        <f>IF(C11=C12,"OK","CHECK")</f>
        <v>OK</v>
      </c>
      <c r="D13" s="6" t="str">
        <f>IF(D11=D12,"OK","CHECK")</f>
        <v>OK</v>
      </c>
      <c r="E13" s="6" t="str">
        <f>IF(E11=E12,"OK","CHECK")</f>
        <v>OK</v>
      </c>
      <c r="F13" s="6"/>
      <c r="Y13" t="str">
        <f>IF(Assessment!$G13="Critical",ROW(Assessment!$G13),"")</f>
        <v/>
      </c>
      <c r="Z13" t="str">
        <f>IF(Assessment!$G13="High",ROW(Assessment!$G13),"")</f>
        <v/>
      </c>
    </row>
    <row r="14" spans="1:26" x14ac:dyDescent="0.25">
      <c r="Y14" t="str">
        <f>IF(Assessment!$G14="Critical",ROW(Assessment!$G14),"")</f>
        <v/>
      </c>
      <c r="Z14" t="str">
        <f>IF(Assessment!$G14="High",ROW(Assessment!$G14),"")</f>
        <v/>
      </c>
    </row>
    <row r="15" spans="1:26" ht="15.75" x14ac:dyDescent="0.25">
      <c r="A15" s="9" t="s">
        <v>2403</v>
      </c>
      <c r="Y15" t="str">
        <f>IF(Assessment!$G15="Critical",ROW(Assessment!$G15),"")</f>
        <v/>
      </c>
      <c r="Z15" t="str">
        <f>IF(Assessment!$G15="High",ROW(Assessment!$G15),"")</f>
        <v/>
      </c>
    </row>
    <row r="16" spans="1:26" ht="25.5" x14ac:dyDescent="0.25">
      <c r="A16" s="1" t="s">
        <v>2404</v>
      </c>
      <c r="B16" s="1" t="s">
        <v>0</v>
      </c>
      <c r="C16" s="1" t="s">
        <v>1</v>
      </c>
      <c r="D16" s="1" t="s">
        <v>2</v>
      </c>
      <c r="E16" s="1" t="s">
        <v>5</v>
      </c>
      <c r="F16" s="1" t="s">
        <v>6</v>
      </c>
      <c r="G16" s="1" t="s">
        <v>9</v>
      </c>
      <c r="H16" s="1" t="s">
        <v>11</v>
      </c>
      <c r="I16" s="1" t="s">
        <v>13</v>
      </c>
      <c r="Y16" t="str">
        <f>IF(Assessment!$G16="Critical",ROW(Assessment!$G16),"")</f>
        <v/>
      </c>
      <c r="Z16" t="str">
        <f>IF(Assessment!$G16="High",ROW(Assessment!$G16),"")</f>
        <v/>
      </c>
    </row>
    <row r="17" spans="1:26" x14ac:dyDescent="0.25">
      <c r="A17" s="10">
        <f>IF($X17="","",1)</f>
        <v>1</v>
      </c>
      <c r="B17" s="10" t="str">
        <f>IF($X17="","",INDEX(Assessment!$A:$A,$X17))</f>
        <v>TR1-005</v>
      </c>
      <c r="C17" s="10" t="str">
        <f>IF($X17="","",INDEX(Assessment!$B:$B,$X17))</f>
        <v>BSI TR-03183-1 v1.0.0</v>
      </c>
      <c r="D17" s="10" t="str">
        <f>IF($X17="","",INDEX(Assessment!$C:$C,$X17))</f>
        <v>3.4 Timeline</v>
      </c>
      <c r="E17" s="10" t="str">
        <f>IF($X17="","",INDEX(Assessment!$F:$F,$X17))</f>
        <v>CRA timeline - reporting obligations</v>
      </c>
      <c r="F17" s="10" t="str">
        <f>IF($X17="","",INDEX(Assessment!$G:$G,$X17))</f>
        <v>Critical</v>
      </c>
      <c r="G17" s="10" t="str">
        <f>IF($X17="","",INDEX(Assessment!$J:$J,$X17))</f>
        <v>Set up an interim reporting capability immediately: name reporters and deputies, register on the single reporting platform, prepare templates, define awareness criteria and a 24/7 escalation path; rehearse once.</v>
      </c>
      <c r="H17" s="10" t="str">
        <f>IF($X17="","",INDEX(Assessment!$L:$L,$X17))</f>
        <v>PSIRT Lead / Service Delivery Manager</v>
      </c>
      <c r="I17" s="10" t="str">
        <f>IF($X17="","",INDEX(Assessment!$N:$N,$X17))</f>
        <v>L</v>
      </c>
      <c r="X17">
        <f>IF(1&lt;=$B$6,SMALL($Y$2:$Y$593,1),IF(1&lt;=$B$6+$B$7,SMALL($Z$2:$Z$593,1-$B$6),""))</f>
        <v>6</v>
      </c>
      <c r="Y17" t="str">
        <f>IF(Assessment!$G17="Critical",ROW(Assessment!$G17),"")</f>
        <v/>
      </c>
      <c r="Z17" t="str">
        <f>IF(Assessment!$G17="High",ROW(Assessment!$G17),"")</f>
        <v/>
      </c>
    </row>
    <row r="18" spans="1:26" x14ac:dyDescent="0.25">
      <c r="A18" s="10">
        <f>IF($X18="","",2)</f>
        <v>2</v>
      </c>
      <c r="B18" s="10" t="str">
        <f>IF($X18="","",INDEX(Assessment!$A:$A,$X18))</f>
        <v>TR1-006</v>
      </c>
      <c r="C18" s="10" t="str">
        <f>IF($X18="","",INDEX(Assessment!$B:$B,$X18))</f>
        <v>BSI TR-03183-1 v1.0.0</v>
      </c>
      <c r="D18" s="10" t="str">
        <f>IF($X18="","",INDEX(Assessment!$C:$C,$X18))</f>
        <v>3.4 Timeline</v>
      </c>
      <c r="E18" s="10" t="str">
        <f>IF($X18="","",INDEX(Assessment!$F:$F,$X18))</f>
        <v>CRA timeline - reporting obligations</v>
      </c>
      <c r="F18" s="10" t="str">
        <f>IF($X18="","",INDEX(Assessment!$G:$G,$X18))</f>
        <v>Critical</v>
      </c>
      <c r="G18" s="10" t="str">
        <f>IF($X18="","",INDEX(Assessment!$J:$J,$X18))</f>
        <v>Build or complete the installed-base register for all delivered solutions still in operation and link it to the PSIRT reporting procedure.</v>
      </c>
      <c r="H18" s="10" t="str">
        <f>IF($X18="","",INDEX(Assessment!$L:$L,$X18))</f>
        <v>PSIRT Lead / Service Delivery Manager</v>
      </c>
      <c r="I18" s="10" t="str">
        <f>IF($X18="","",INDEX(Assessment!$N:$N,$X18))</f>
        <v>L</v>
      </c>
      <c r="X18">
        <f>IF(2&lt;=$B$6,SMALL($Y$2:$Y$593,2),IF(2&lt;=$B$6+$B$7,SMALL($Z$2:$Z$593,2-$B$6),""))</f>
        <v>7</v>
      </c>
      <c r="Y18" t="str">
        <f>IF(Assessment!$G18="Critical",ROW(Assessment!$G18),"")</f>
        <v/>
      </c>
      <c r="Z18" t="str">
        <f>IF(Assessment!$G18="High",ROW(Assessment!$G18),"")</f>
        <v/>
      </c>
    </row>
    <row r="19" spans="1:26" x14ac:dyDescent="0.25">
      <c r="A19" s="10">
        <f>IF($X19="","",3)</f>
        <v>3</v>
      </c>
      <c r="B19" s="10" t="str">
        <f>IF($X19="","",INDEX(Assessment!$A:$A,$X19))</f>
        <v>TR1-028-a</v>
      </c>
      <c r="C19" s="10" t="str">
        <f>IF($X19="","",INDEX(Assessment!$B:$B,$X19))</f>
        <v>BSI TR-03183-1 v1.0.0</v>
      </c>
      <c r="D19" s="10" t="str">
        <f>IF($X19="","",INDEX(Assessment!$C:$C,$X19))</f>
        <v>3.6 Obligations of the manufacturer - PwDE Monitoring and Post-Market Obligations</v>
      </c>
      <c r="E19" s="10" t="str">
        <f>IF($X19="","",INDEX(Assessment!$F:$F,$X19))</f>
        <v>Vulnerability monitoring</v>
      </c>
      <c r="F19" s="10" t="str">
        <f>IF($X19="","",INDEX(Assessment!$G:$G,$X19))</f>
        <v>Critical</v>
      </c>
      <c r="G19" s="10" t="str">
        <f>IF($X19="","",INDEX(Assessment!$J:$J,$X19))</f>
        <v>Operate SBOM-based continuous vulnerability monitoring, periodic security reviews and remediation for all supported releases.</v>
      </c>
      <c r="H19" s="10" t="str">
        <f>IF($X19="","",INDEX(Assessment!$L:$L,$X19))</f>
        <v>PSIRT Lead / Product Security Officer</v>
      </c>
      <c r="I19" s="10" t="str">
        <f>IF($X19="","",INDEX(Assessment!$N:$N,$X19))</f>
        <v>L</v>
      </c>
      <c r="X19">
        <f>IF(3&lt;=$B$6,SMALL($Y$2:$Y$593,3),IF(3&lt;=$B$6+$B$7,SMALL($Z$2:$Z$593,3-$B$6),""))</f>
        <v>33</v>
      </c>
      <c r="Y19" t="str">
        <f>IF(Assessment!$G19="Critical",ROW(Assessment!$G19),"")</f>
        <v/>
      </c>
      <c r="Z19">
        <f>IF(Assessment!$G19="High",ROW(Assessment!$G19),"")</f>
        <v>19</v>
      </c>
    </row>
    <row r="20" spans="1:26" x14ac:dyDescent="0.25">
      <c r="A20" s="10">
        <f>IF($X20="","",4)</f>
        <v>4</v>
      </c>
      <c r="B20" s="10" t="str">
        <f>IF($X20="","",INDEX(Assessment!$A:$A,$X20))</f>
        <v>TR1-028-b</v>
      </c>
      <c r="C20" s="10" t="str">
        <f>IF($X20="","",INDEX(Assessment!$B:$B,$X20))</f>
        <v>BSI TR-03183-1 v1.0.0</v>
      </c>
      <c r="D20" s="10" t="str">
        <f>IF($X20="","",INDEX(Assessment!$C:$C,$X20))</f>
        <v>3.6 Obligations of the manufacturer - PwDE Monitoring and Post-Market Obligations</v>
      </c>
      <c r="E20" s="10" t="str">
        <f>IF($X20="","",INDEX(Assessment!$F:$F,$X20))</f>
        <v>Vulnerability remediation</v>
      </c>
      <c r="F20" s="10" t="str">
        <f>IF($X20="","",INDEX(Assessment!$G:$G,$X20))</f>
        <v>Critical</v>
      </c>
      <c r="G20" s="10" t="str">
        <f>IF($X20="","",INDEX(Assessment!$J:$J,$X20))</f>
        <v>Operate SBOM-based continuous vulnerability monitoring, periodic security reviews and remediation for all supported releases.</v>
      </c>
      <c r="H20" s="10" t="str">
        <f>IF($X20="","",INDEX(Assessment!$L:$L,$X20))</f>
        <v>PSIRT Lead / Product Security Officer</v>
      </c>
      <c r="I20" s="10" t="str">
        <f>IF($X20="","",INDEX(Assessment!$N:$N,$X20))</f>
        <v>L</v>
      </c>
      <c r="X20">
        <f>IF(4&lt;=$B$6,SMALL($Y$2:$Y$593,4),IF(4&lt;=$B$6+$B$7,SMALL($Z$2:$Z$593,4-$B$6),""))</f>
        <v>34</v>
      </c>
      <c r="Y20" t="str">
        <f>IF(Assessment!$G20="Critical",ROW(Assessment!$G20),"")</f>
        <v/>
      </c>
      <c r="Z20" t="str">
        <f>IF(Assessment!$G20="High",ROW(Assessment!$G20),"")</f>
        <v/>
      </c>
    </row>
    <row r="21" spans="1:26" x14ac:dyDescent="0.25">
      <c r="A21" s="10">
        <f>IF($X21="","",5)</f>
        <v>5</v>
      </c>
      <c r="B21" s="10" t="str">
        <f>IF($X21="","",INDEX(Assessment!$A:$A,$X21))</f>
        <v>TR1-032-a</v>
      </c>
      <c r="C21" s="10" t="str">
        <f>IF($X21="","",INDEX(Assessment!$B:$B,$X21))</f>
        <v>BSI TR-03183-1 v1.0.0</v>
      </c>
      <c r="D21" s="10" t="str">
        <f>IF($X21="","",INDEX(Assessment!$C:$C,$X21))</f>
        <v>3.6 Obligations of the manufacturer - Reporting obligations</v>
      </c>
      <c r="E21" s="10" t="str">
        <f>IF($X21="","",INDEX(Assessment!$F:$F,$X21))</f>
        <v>CRA Art. 14 reporting - vulnerabilities</v>
      </c>
      <c r="F21" s="10" t="str">
        <f>IF($X21="","",INDEX(Assessment!$G:$G,$X21))</f>
        <v>Critical</v>
      </c>
      <c r="G21" s="10" t="str">
        <f>IF($X21="","",INDEX(Assessment!$J:$J,$X21))</f>
        <v>Implement the reporting procedure: awareness criteria, 24h / 72h / 14-day (vulnerability) and 24h / 72h / one-month (incident) timelines, platform accounts, templates, approvals and 24/7 escalation; rehearse it.</v>
      </c>
      <c r="H21" s="10" t="str">
        <f>IF($X21="","",INDEX(Assessment!$L:$L,$X21))</f>
        <v>PSIRT Lead / Compliance Officer</v>
      </c>
      <c r="I21" s="10" t="str">
        <f>IF($X21="","",INDEX(Assessment!$N:$N,$X21))</f>
        <v>L</v>
      </c>
      <c r="X21">
        <f>IF(5&lt;=$B$6,SMALL($Y$2:$Y$593,5),IF(5&lt;=$B$6+$B$7,SMALL($Z$2:$Z$593,5-$B$6),""))</f>
        <v>40</v>
      </c>
      <c r="Y21" t="str">
        <f>IF(Assessment!$G21="Critical",ROW(Assessment!$G21),"")</f>
        <v/>
      </c>
      <c r="Z21" t="str">
        <f>IF(Assessment!$G21="High",ROW(Assessment!$G21),"")</f>
        <v/>
      </c>
    </row>
    <row r="22" spans="1:26" x14ac:dyDescent="0.25">
      <c r="A22" s="10">
        <f>IF($X22="","",6)</f>
        <v>6</v>
      </c>
      <c r="B22" s="10" t="str">
        <f>IF($X22="","",INDEX(Assessment!$A:$A,$X22))</f>
        <v>TR1-032-b</v>
      </c>
      <c r="C22" s="10" t="str">
        <f>IF($X22="","",INDEX(Assessment!$B:$B,$X22))</f>
        <v>BSI TR-03183-1 v1.0.0</v>
      </c>
      <c r="D22" s="10" t="str">
        <f>IF($X22="","",INDEX(Assessment!$C:$C,$X22))</f>
        <v>3.6 Obligations of the manufacturer - Reporting obligations</v>
      </c>
      <c r="E22" s="10" t="str">
        <f>IF($X22="","",INDEX(Assessment!$F:$F,$X22))</f>
        <v>CRA Art. 14 reporting - incidents</v>
      </c>
      <c r="F22" s="10" t="str">
        <f>IF($X22="","",INDEX(Assessment!$G:$G,$X22))</f>
        <v>Critical</v>
      </c>
      <c r="G22" s="10" t="str">
        <f>IF($X22="","",INDEX(Assessment!$J:$J,$X22))</f>
        <v>Implement the reporting procedure: awareness criteria, 24h / 72h / 14-day (vulnerability) and 24h / 72h / one-month (incident) timelines, platform accounts, templates, approvals and 24/7 escalation; rehearse it.</v>
      </c>
      <c r="H22" s="10" t="str">
        <f>IF($X22="","",INDEX(Assessment!$L:$L,$X22))</f>
        <v>PSIRT Lead / Compliance Officer</v>
      </c>
      <c r="I22" s="10" t="str">
        <f>IF($X22="","",INDEX(Assessment!$N:$N,$X22))</f>
        <v>L</v>
      </c>
      <c r="X22">
        <f>IF(6&lt;=$B$6,SMALL($Y$2:$Y$593,6),IF(6&lt;=$B$6+$B$7,SMALL($Z$2:$Z$593,6-$B$6),""))</f>
        <v>41</v>
      </c>
      <c r="Y22" t="str">
        <f>IF(Assessment!$G22="Critical",ROW(Assessment!$G22),"")</f>
        <v/>
      </c>
      <c r="Z22" t="str">
        <f>IF(Assessment!$G22="High",ROW(Assessment!$G22),"")</f>
        <v/>
      </c>
    </row>
    <row r="23" spans="1:26" x14ac:dyDescent="0.25">
      <c r="A23" s="10">
        <f>IF($X23="","",7)</f>
        <v>7</v>
      </c>
      <c r="B23" s="10" t="str">
        <f>IF($X23="","",INDEX(Assessment!$A:$A,$X23))</f>
        <v>TR1-033</v>
      </c>
      <c r="C23" s="10" t="str">
        <f>IF($X23="","",INDEX(Assessment!$B:$B,$X23))</f>
        <v>BSI TR-03183-1 v1.0.0</v>
      </c>
      <c r="D23" s="10" t="str">
        <f>IF($X23="","",INDEX(Assessment!$C:$C,$X23))</f>
        <v>3.6 Obligations of the manufacturer - Reporting obligations</v>
      </c>
      <c r="E23" s="10" t="str">
        <f>IF($X23="","",INDEX(Assessment!$F:$F,$X23))</f>
        <v>CRA Art. 14 reporting - channel</v>
      </c>
      <c r="F23" s="10" t="str">
        <f>IF($X23="","",INDEX(Assessment!$G:$G,$X23))</f>
        <v>Critical</v>
      </c>
      <c r="G23" s="10" t="str">
        <f>IF($X23="","",INDEX(Assessment!$J:$J,$X23))</f>
        <v>Implement the reporting procedure: awareness criteria, 24h / 72h / 14-day (vulnerability) and 24h / 72h / one-month (incident) timelines, platform accounts, templates, approvals and 24/7 escalation; rehearse it.</v>
      </c>
      <c r="H23" s="10" t="str">
        <f>IF($X23="","",INDEX(Assessment!$L:$L,$X23))</f>
        <v>PSIRT Lead / Compliance Officer</v>
      </c>
      <c r="I23" s="10" t="str">
        <f>IF($X23="","",INDEX(Assessment!$N:$N,$X23))</f>
        <v>L</v>
      </c>
      <c r="X23">
        <f>IF(7&lt;=$B$6,SMALL($Y$2:$Y$593,7),IF(7&lt;=$B$6+$B$7,SMALL($Z$2:$Z$593,7-$B$6),""))</f>
        <v>42</v>
      </c>
      <c r="Y23" t="str">
        <f>IF(Assessment!$G23="Critical",ROW(Assessment!$G23),"")</f>
        <v/>
      </c>
      <c r="Z23" t="str">
        <f>IF(Assessment!$G23="High",ROW(Assessment!$G23),"")</f>
        <v/>
      </c>
    </row>
    <row r="24" spans="1:26" x14ac:dyDescent="0.25">
      <c r="A24" s="10">
        <f>IF($X24="","",8)</f>
        <v>8</v>
      </c>
      <c r="B24" s="10" t="str">
        <f>IF($X24="","",INDEX(Assessment!$A:$A,$X24))</f>
        <v>TR1-034-a</v>
      </c>
      <c r="C24" s="10" t="str">
        <f>IF($X24="","",INDEX(Assessment!$B:$B,$X24))</f>
        <v>BSI TR-03183-1 v1.0.0</v>
      </c>
      <c r="D24" s="10" t="str">
        <f>IF($X24="","",INDEX(Assessment!$C:$C,$X24))</f>
        <v>3.6 Obligations of the manufacturer - Reporting obligations</v>
      </c>
      <c r="E24" s="10" t="str">
        <f>IF($X24="","",INDEX(Assessment!$F:$F,$X24))</f>
        <v>CRA Art. 14 reporting - vulnerabilities</v>
      </c>
      <c r="F24" s="10" t="str">
        <f>IF($X24="","",INDEX(Assessment!$G:$G,$X24))</f>
        <v>Critical</v>
      </c>
      <c r="G24" s="10" t="str">
        <f>IF($X24="","",INDEX(Assessment!$J:$J,$X24))</f>
        <v>Implement the reporting procedure: awareness criteria, 24h / 72h / 14-day (vulnerability) and 24h / 72h / one-month (incident) timelines, platform accounts, templates, approvals and 24/7 escalation; rehearse it.</v>
      </c>
      <c r="H24" s="10" t="str">
        <f>IF($X24="","",INDEX(Assessment!$L:$L,$X24))</f>
        <v>PSIRT Lead / Compliance Officer</v>
      </c>
      <c r="I24" s="10" t="str">
        <f>IF($X24="","",INDEX(Assessment!$N:$N,$X24))</f>
        <v>L</v>
      </c>
      <c r="X24">
        <f>IF(8&lt;=$B$6,SMALL($Y$2:$Y$593,8),IF(8&lt;=$B$6+$B$7,SMALL($Z$2:$Z$593,8-$B$6),""))</f>
        <v>43</v>
      </c>
      <c r="Y24" t="str">
        <f>IF(Assessment!$G24="Critical",ROW(Assessment!$G24),"")</f>
        <v/>
      </c>
      <c r="Z24" t="str">
        <f>IF(Assessment!$G24="High",ROW(Assessment!$G24),"")</f>
        <v/>
      </c>
    </row>
    <row r="25" spans="1:26" x14ac:dyDescent="0.25">
      <c r="A25" s="10">
        <f>IF($X25="","",9)</f>
        <v>9</v>
      </c>
      <c r="B25" s="10" t="str">
        <f>IF($X25="","",INDEX(Assessment!$A:$A,$X25))</f>
        <v>TR1-035</v>
      </c>
      <c r="C25" s="10" t="str">
        <f>IF($X25="","",INDEX(Assessment!$B:$B,$X25))</f>
        <v>BSI TR-03183-1 v1.0.0</v>
      </c>
      <c r="D25" s="10" t="str">
        <f>IF($X25="","",INDEX(Assessment!$C:$C,$X25))</f>
        <v>3.6 Obligations of the manufacturer - Reporting obligations</v>
      </c>
      <c r="E25" s="10" t="str">
        <f>IF($X25="","",INDEX(Assessment!$F:$F,$X25))</f>
        <v>CRA Art. 14 reporting - vulnerabilities</v>
      </c>
      <c r="F25" s="10" t="str">
        <f>IF($X25="","",INDEX(Assessment!$G:$G,$X25))</f>
        <v>Critical</v>
      </c>
      <c r="G25" s="10" t="str">
        <f>IF($X25="","",INDEX(Assessment!$J:$J,$X25))</f>
        <v>Implement the reporting procedure: awareness criteria, 24h / 72h / 14-day (vulnerability) and 24h / 72h / one-month (incident) timelines, platform accounts, templates, approvals and 24/7 escalation; rehearse it.</v>
      </c>
      <c r="H25" s="10" t="str">
        <f>IF($X25="","",INDEX(Assessment!$L:$L,$X25))</f>
        <v>PSIRT Lead / Compliance Officer</v>
      </c>
      <c r="I25" s="10" t="str">
        <f>IF($X25="","",INDEX(Assessment!$N:$N,$X25))</f>
        <v>L</v>
      </c>
      <c r="X25">
        <f>IF(9&lt;=$B$6,SMALL($Y$2:$Y$593,9),IF(9&lt;=$B$6+$B$7,SMALL($Z$2:$Z$593,9-$B$6),""))</f>
        <v>45</v>
      </c>
      <c r="Y25" t="str">
        <f>IF(Assessment!$G25="Critical",ROW(Assessment!$G25),"")</f>
        <v/>
      </c>
      <c r="Z25" t="str">
        <f>IF(Assessment!$G25="High",ROW(Assessment!$G25),"")</f>
        <v/>
      </c>
    </row>
    <row r="26" spans="1:26" x14ac:dyDescent="0.25">
      <c r="A26" s="10">
        <f>IF($X26="","",10)</f>
        <v>10</v>
      </c>
      <c r="B26" s="10" t="str">
        <f>IF($X26="","",INDEX(Assessment!$A:$A,$X26))</f>
        <v>TR1-038</v>
      </c>
      <c r="C26" s="10" t="str">
        <f>IF($X26="","",INDEX(Assessment!$B:$B,$X26))</f>
        <v>BSI TR-03183-1 v1.0.0</v>
      </c>
      <c r="D26" s="10" t="str">
        <f>IF($X26="","",INDEX(Assessment!$C:$C,$X26))</f>
        <v>3.6 Obligations of the manufacturer - Reporting obligations</v>
      </c>
      <c r="E26" s="10" t="str">
        <f>IF($X26="","",INDEX(Assessment!$F:$F,$X26))</f>
        <v>CRA Art. 14 reporting - vulnerabilities</v>
      </c>
      <c r="F26" s="10" t="str">
        <f>IF($X26="","",INDEX(Assessment!$G:$G,$X26))</f>
        <v>Critical</v>
      </c>
      <c r="G26" s="10" t="str">
        <f>IF($X26="","",INDEX(Assessment!$J:$J,$X26))</f>
        <v>Implement the reporting procedure: awareness criteria, 24h / 72h / 14-day (vulnerability) and 24h / 72h / one-month (incident) timelines, platform accounts, templates, approvals and 24/7 escalation; rehearse it.</v>
      </c>
      <c r="H26" s="10" t="str">
        <f>IF($X26="","",INDEX(Assessment!$L:$L,$X26))</f>
        <v>PSIRT Lead / Compliance Officer</v>
      </c>
      <c r="I26" s="10" t="str">
        <f>IF($X26="","",INDEX(Assessment!$N:$N,$X26))</f>
        <v>L</v>
      </c>
      <c r="X26">
        <f>IF(10&lt;=$B$6,SMALL($Y$2:$Y$593,10),IF(10&lt;=$B$6+$B$7,SMALL($Z$2:$Z$593,10-$B$6),""))</f>
        <v>48</v>
      </c>
      <c r="Y26" t="str">
        <f>IF(Assessment!$G26="Critical",ROW(Assessment!$G26),"")</f>
        <v/>
      </c>
      <c r="Z26" t="str">
        <f>IF(Assessment!$G26="High",ROW(Assessment!$G26),"")</f>
        <v/>
      </c>
    </row>
    <row r="27" spans="1:26" x14ac:dyDescent="0.25">
      <c r="A27" s="10">
        <f>IF($X27="","",11)</f>
        <v>11</v>
      </c>
      <c r="B27" s="10" t="str">
        <f>IF($X27="","",INDEX(Assessment!$A:$A,$X27))</f>
        <v>TR1-040</v>
      </c>
      <c r="C27" s="10" t="str">
        <f>IF($X27="","",INDEX(Assessment!$B:$B,$X27))</f>
        <v>BSI TR-03183-1 v1.0.0</v>
      </c>
      <c r="D27" s="10" t="str">
        <f>IF($X27="","",INDEX(Assessment!$C:$C,$X27))</f>
        <v>3.6 Obligations of the manufacturer - Reporting obligations</v>
      </c>
      <c r="E27" s="10" t="str">
        <f>IF($X27="","",INDEX(Assessment!$F:$F,$X27))</f>
        <v>CRA Art. 14 reporting - incidents</v>
      </c>
      <c r="F27" s="10" t="str">
        <f>IF($X27="","",INDEX(Assessment!$G:$G,$X27))</f>
        <v>Critical</v>
      </c>
      <c r="G27" s="10" t="str">
        <f>IF($X27="","",INDEX(Assessment!$J:$J,$X27))</f>
        <v>Implement the reporting procedure: awareness criteria, 24h / 72h / 14-day (vulnerability) and 24h / 72h / one-month (incident) timelines, platform accounts, templates, approvals and 24/7 escalation; rehearse it.</v>
      </c>
      <c r="H27" s="10" t="str">
        <f>IF($X27="","",INDEX(Assessment!$L:$L,$X27))</f>
        <v>PSIRT Lead / Compliance Officer</v>
      </c>
      <c r="I27" s="10" t="str">
        <f>IF($X27="","",INDEX(Assessment!$N:$N,$X27))</f>
        <v>L</v>
      </c>
      <c r="X27">
        <f>IF(11&lt;=$B$6,SMALL($Y$2:$Y$593,11),IF(11&lt;=$B$6+$B$7,SMALL($Z$2:$Z$593,11-$B$6),""))</f>
        <v>50</v>
      </c>
      <c r="Y27" t="str">
        <f>IF(Assessment!$G27="Critical",ROW(Assessment!$G27),"")</f>
        <v/>
      </c>
      <c r="Z27" t="str">
        <f>IF(Assessment!$G27="High",ROW(Assessment!$G27),"")</f>
        <v/>
      </c>
    </row>
    <row r="28" spans="1:26" x14ac:dyDescent="0.25">
      <c r="A28" s="10">
        <f>IF($X28="","",12)</f>
        <v>12</v>
      </c>
      <c r="B28" s="10" t="str">
        <f>IF($X28="","",INDEX(Assessment!$A:$A,$X28))</f>
        <v>TR1-042</v>
      </c>
      <c r="C28" s="10" t="str">
        <f>IF($X28="","",INDEX(Assessment!$B:$B,$X28))</f>
        <v>BSI TR-03183-1 v1.0.0</v>
      </c>
      <c r="D28" s="10" t="str">
        <f>IF($X28="","",INDEX(Assessment!$C:$C,$X28))</f>
        <v>3.6 Obligations of the manufacturer - Reporting obligations</v>
      </c>
      <c r="E28" s="10" t="str">
        <f>IF($X28="","",INDEX(Assessment!$F:$F,$X28))</f>
        <v>CRA Art. 14 reporting - incidents</v>
      </c>
      <c r="F28" s="10" t="str">
        <f>IF($X28="","",INDEX(Assessment!$G:$G,$X28))</f>
        <v>Critical</v>
      </c>
      <c r="G28" s="10" t="str">
        <f>IF($X28="","",INDEX(Assessment!$J:$J,$X28))</f>
        <v>Implement the reporting procedure: awareness criteria, 24h / 72h / 14-day (vulnerability) and 24h / 72h / one-month (incident) timelines, platform accounts, templates, approvals and 24/7 escalation; rehearse it.</v>
      </c>
      <c r="H28" s="10" t="str">
        <f>IF($X28="","",INDEX(Assessment!$L:$L,$X28))</f>
        <v>PSIRT Lead / Compliance Officer</v>
      </c>
      <c r="I28" s="10" t="str">
        <f>IF($X28="","",INDEX(Assessment!$N:$N,$X28))</f>
        <v>L</v>
      </c>
      <c r="X28">
        <f>IF(12&lt;=$B$6,SMALL($Y$2:$Y$593,12),IF(12&lt;=$B$6+$B$7,SMALL($Z$2:$Z$593,12-$B$6),""))</f>
        <v>53</v>
      </c>
      <c r="Y28" t="str">
        <f>IF(Assessment!$G28="Critical",ROW(Assessment!$G28),"")</f>
        <v/>
      </c>
      <c r="Z28" t="str">
        <f>IF(Assessment!$G28="High",ROW(Assessment!$G28),"")</f>
        <v/>
      </c>
    </row>
    <row r="29" spans="1:26" x14ac:dyDescent="0.25">
      <c r="A29" s="10">
        <f>IF($X29="","",13)</f>
        <v>13</v>
      </c>
      <c r="B29" s="10" t="str">
        <f>IF($X29="","",INDEX(Assessment!$A:$A,$X29))</f>
        <v>TR1-045</v>
      </c>
      <c r="C29" s="10" t="str">
        <f>IF($X29="","",INDEX(Assessment!$B:$B,$X29))</f>
        <v>BSI TR-03183-1 v1.0.0</v>
      </c>
      <c r="D29" s="10" t="str">
        <f>IF($X29="","",INDEX(Assessment!$C:$C,$X29))</f>
        <v>3.6 Obligations of the manufacturer - Reporting obligations</v>
      </c>
      <c r="E29" s="10" t="str">
        <f>IF($X29="","",INDEX(Assessment!$F:$F,$X29))</f>
        <v>CRA Art. 14 reporting - incidents</v>
      </c>
      <c r="F29" s="10" t="str">
        <f>IF($X29="","",INDEX(Assessment!$G:$G,$X29))</f>
        <v>Critical</v>
      </c>
      <c r="G29" s="10" t="str">
        <f>IF($X29="","",INDEX(Assessment!$J:$J,$X29))</f>
        <v>Implement the reporting procedure: awareness criteria, 24h / 72h / 14-day (vulnerability) and 24h / 72h / one-month (incident) timelines, platform accounts, templates, approvals and 24/7 escalation; rehearse it.</v>
      </c>
      <c r="H29" s="10" t="str">
        <f>IF($X29="","",INDEX(Assessment!$L:$L,$X29))</f>
        <v>PSIRT Lead / Compliance Officer</v>
      </c>
      <c r="I29" s="10" t="str">
        <f>IF($X29="","",INDEX(Assessment!$N:$N,$X29))</f>
        <v>L</v>
      </c>
      <c r="X29">
        <f>IF(13&lt;=$B$6,SMALL($Y$2:$Y$593,13),IF(13&lt;=$B$6+$B$7,SMALL($Z$2:$Z$593,13-$B$6),""))</f>
        <v>56</v>
      </c>
      <c r="Y29" t="str">
        <f>IF(Assessment!$G29="Critical",ROW(Assessment!$G29),"")</f>
        <v/>
      </c>
      <c r="Z29" t="str">
        <f>IF(Assessment!$G29="High",ROW(Assessment!$G29),"")</f>
        <v/>
      </c>
    </row>
    <row r="30" spans="1:26" x14ac:dyDescent="0.25">
      <c r="A30" s="10">
        <f>IF($X30="","",14)</f>
        <v>14</v>
      </c>
      <c r="B30" s="10" t="str">
        <f>IF($X30="","",INDEX(Assessment!$A:$A,$X30))</f>
        <v>VH.1</v>
      </c>
      <c r="C30" s="10" t="str">
        <f>IF($X30="","",INDEX(Assessment!$B:$B,$X30))</f>
        <v>BSI TR-03183-1 v1.0.0</v>
      </c>
      <c r="D30" s="10" t="str">
        <f>IF($X30="","",INDEX(Assessment!$C:$C,$X30))</f>
        <v>Annex B Table 10 (CRA Annex I Part II (1)); text also in 3.9</v>
      </c>
      <c r="E30" s="10" t="str">
        <f>IF($X30="","",INDEX(Assessment!$F:$F,$X30))</f>
        <v>Vulnerability handling - identification</v>
      </c>
      <c r="F30" s="10" t="str">
        <f>IF($X30="","",INDEX(Assessment!$G:$G,$X30))</f>
        <v>Critical</v>
      </c>
      <c r="G30" s="10" t="str">
        <f>IF($X30="","",INDEX(Assessment!$J:$J,$X30))</f>
        <v>Implement, document and operate: identify and document vulnerabilities and components contained in products.</v>
      </c>
      <c r="H30" s="10" t="str">
        <f>IF($X30="","",INDEX(Assessment!$L:$L,$X30))</f>
        <v>PSIRT Lead</v>
      </c>
      <c r="I30" s="10" t="str">
        <f>IF($X30="","",INDEX(Assessment!$N:$N,$X30))</f>
        <v>L</v>
      </c>
      <c r="X30">
        <f>IF(14&lt;=$B$6,SMALL($Y$2:$Y$593,14),IF(14&lt;=$B$6+$B$7,SMALL($Z$2:$Z$593,14-$B$6),""))</f>
        <v>257</v>
      </c>
      <c r="Y30" t="str">
        <f>IF(Assessment!$G30="Critical",ROW(Assessment!$G30),"")</f>
        <v/>
      </c>
      <c r="Z30" t="str">
        <f>IF(Assessment!$G30="High",ROW(Assessment!$G30),"")</f>
        <v/>
      </c>
    </row>
    <row r="31" spans="1:26" x14ac:dyDescent="0.25">
      <c r="A31" s="10">
        <f>IF($X31="","",15)</f>
        <v>15</v>
      </c>
      <c r="B31" s="10" t="str">
        <f>IF($X31="","",INDEX(Assessment!$A:$A,$X31))</f>
        <v>VH.2a-a</v>
      </c>
      <c r="C31" s="10" t="str">
        <f>IF($X31="","",INDEX(Assessment!$B:$B,$X31))</f>
        <v>BSI TR-03183-1 v1.0.0</v>
      </c>
      <c r="D31" s="10" t="str">
        <f>IF($X31="","",INDEX(Assessment!$C:$C,$X31))</f>
        <v>Annex B Table 10 (CRA Annex I Part II (2)); text also in 3.9</v>
      </c>
      <c r="E31" s="10" t="str">
        <f>IF($X31="","",INDEX(Assessment!$F:$F,$X31))</f>
        <v>Vulnerability handling - remediation</v>
      </c>
      <c r="F31" s="10" t="str">
        <f>IF($X31="","",INDEX(Assessment!$G:$G,$X31))</f>
        <v>Critical</v>
      </c>
      <c r="G31" s="10" t="str">
        <f>IF($X31="","",INDEX(Assessment!$J:$J,$X31))</f>
        <v>Implement, document and operate: address and remediate vulnerabilities without delay, incl. security updates.</v>
      </c>
      <c r="H31" s="10" t="str">
        <f>IF($X31="","",INDEX(Assessment!$L:$L,$X31))</f>
        <v>PSIRT Lead</v>
      </c>
      <c r="I31" s="10" t="str">
        <f>IF($X31="","",INDEX(Assessment!$N:$N,$X31))</f>
        <v>L</v>
      </c>
      <c r="X31">
        <f>IF(15&lt;=$B$6,SMALL($Y$2:$Y$593,15),IF(15&lt;=$B$6+$B$7,SMALL($Z$2:$Z$593,15-$B$6),""))</f>
        <v>259</v>
      </c>
      <c r="Y31" t="str">
        <f>IF(Assessment!$G31="Critical",ROW(Assessment!$G31),"")</f>
        <v/>
      </c>
      <c r="Z31">
        <f>IF(Assessment!$G31="High",ROW(Assessment!$G31),"")</f>
        <v>31</v>
      </c>
    </row>
    <row r="32" spans="1:26" x14ac:dyDescent="0.25">
      <c r="A32" s="10">
        <f>IF($X32="","",16)</f>
        <v>16</v>
      </c>
      <c r="B32" s="10" t="str">
        <f>IF($X32="","",INDEX(Assessment!$A:$A,$X32))</f>
        <v>VH.4-a</v>
      </c>
      <c r="C32" s="10" t="str">
        <f>IF($X32="","",INDEX(Assessment!$B:$B,$X32))</f>
        <v>BSI TR-03183-1 v1.0.0</v>
      </c>
      <c r="D32" s="10" t="str">
        <f>IF($X32="","",INDEX(Assessment!$C:$C,$X32))</f>
        <v>Annex B Table 10 (CRA Annex I Part II (4)); text also in 3.9</v>
      </c>
      <c r="E32" s="10" t="str">
        <f>IF($X32="","",INDEX(Assessment!$F:$F,$X32))</f>
        <v>Vulnerability disclosure</v>
      </c>
      <c r="F32" s="10" t="str">
        <f>IF($X32="","",INDEX(Assessment!$G:$G,$X32))</f>
        <v>Critical</v>
      </c>
      <c r="G32" s="10" t="str">
        <f>IF($X32="","",INDEX(Assessment!$J:$J,$X32))</f>
        <v>Implement, document and operate: once a security update is available, publicly disclose information about fixed vulnerabilities.</v>
      </c>
      <c r="H32" s="10" t="str">
        <f>IF($X32="","",INDEX(Assessment!$L:$L,$X32))</f>
        <v>PSIRT Lead</v>
      </c>
      <c r="I32" s="10" t="str">
        <f>IF($X32="","",INDEX(Assessment!$N:$N,$X32))</f>
        <v>L</v>
      </c>
      <c r="X32">
        <f>IF(16&lt;=$B$6,SMALL($Y$2:$Y$593,16),IF(16&lt;=$B$6+$B$7,SMALL($Z$2:$Z$593,16-$B$6),""))</f>
        <v>262</v>
      </c>
      <c r="Y32" t="str">
        <f>IF(Assessment!$G32="Critical",ROW(Assessment!$G32),"")</f>
        <v/>
      </c>
      <c r="Z32">
        <f>IF(Assessment!$G32="High",ROW(Assessment!$G32),"")</f>
        <v>32</v>
      </c>
    </row>
    <row r="33" spans="1:26" x14ac:dyDescent="0.25">
      <c r="A33" s="10">
        <f>IF($X33="","",17)</f>
        <v>17</v>
      </c>
      <c r="B33" s="10" t="str">
        <f>IF($X33="","",INDEX(Assessment!$A:$A,$X33))</f>
        <v>VH.5</v>
      </c>
      <c r="C33" s="10" t="str">
        <f>IF($X33="","",INDEX(Assessment!$B:$B,$X33))</f>
        <v>BSI TR-03183-1 v1.0.0</v>
      </c>
      <c r="D33" s="10" t="str">
        <f>IF($X33="","",INDEX(Assessment!$C:$C,$X33))</f>
        <v>Annex B Table 10 (CRA Annex I Part II (5)); text also in 3.9</v>
      </c>
      <c r="E33" s="10" t="str">
        <f>IF($X33="","",INDEX(Assessment!$F:$F,$X33))</f>
        <v>CVD policy</v>
      </c>
      <c r="F33" s="10" t="str">
        <f>IF($X33="","",INDEX(Assessment!$G:$G,$X33))</f>
        <v>Critical</v>
      </c>
      <c r="G33" s="10" t="str">
        <f>IF($X33="","",INDEX(Assessment!$J:$J,$X33))</f>
        <v>Implement, document and operate: put in place and enforce a coordinated vulnerability disclosure policy.</v>
      </c>
      <c r="H33" s="10" t="str">
        <f>IF($X33="","",INDEX(Assessment!$L:$L,$X33))</f>
        <v>PSIRT Lead</v>
      </c>
      <c r="I33" s="10" t="str">
        <f>IF($X33="","",INDEX(Assessment!$N:$N,$X33))</f>
        <v>L</v>
      </c>
      <c r="X33">
        <f>IF(17&lt;=$B$6,SMALL($Y$2:$Y$593,17),IF(17&lt;=$B$6+$B$7,SMALL($Z$2:$Z$593,17-$B$6),""))</f>
        <v>264</v>
      </c>
      <c r="Y33">
        <f>IF(Assessment!$G33="Critical",ROW(Assessment!$G33),"")</f>
        <v>33</v>
      </c>
      <c r="Z33" t="str">
        <f>IF(Assessment!$G33="High",ROW(Assessment!$G33),"")</f>
        <v/>
      </c>
    </row>
    <row r="34" spans="1:26" x14ac:dyDescent="0.25">
      <c r="A34" s="10">
        <f>IF($X34="","",18)</f>
        <v>18</v>
      </c>
      <c r="B34" s="10" t="str">
        <f>IF($X34="","",INDEX(Assessment!$A:$A,$X34))</f>
        <v>VH.6a</v>
      </c>
      <c r="C34" s="10" t="str">
        <f>IF($X34="","",INDEX(Assessment!$B:$B,$X34))</f>
        <v>BSI TR-03183-1 v1.0.0</v>
      </c>
      <c r="D34" s="10" t="str">
        <f>IF($X34="","",INDEX(Assessment!$C:$C,$X34))</f>
        <v>Annex B Table 10 (CRA Annex I Part II (6)); text also in 3.9</v>
      </c>
      <c r="E34" s="10" t="str">
        <f>IF($X34="","",INDEX(Assessment!$F:$F,$X34))</f>
        <v>Vulnerability contact</v>
      </c>
      <c r="F34" s="10" t="str">
        <f>IF($X34="","",INDEX(Assessment!$G:$G,$X34))</f>
        <v>Critical</v>
      </c>
      <c r="G34" s="10" t="str">
        <f>IF($X34="","",INDEX(Assessment!$J:$J,$X34))</f>
        <v>Implement, document and operate: provide a contact address for reporting vulnerabilities.</v>
      </c>
      <c r="H34" s="10" t="str">
        <f>IF($X34="","",INDEX(Assessment!$L:$L,$X34))</f>
        <v>PSIRT Lead</v>
      </c>
      <c r="I34" s="10" t="str">
        <f>IF($X34="","",INDEX(Assessment!$N:$N,$X34))</f>
        <v>L</v>
      </c>
      <c r="X34">
        <f>IF(18&lt;=$B$6,SMALL($Y$2:$Y$593,18),IF(18&lt;=$B$6+$B$7,SMALL($Z$2:$Z$593,18-$B$6),""))</f>
        <v>266</v>
      </c>
      <c r="Y34">
        <f>IF(Assessment!$G34="Critical",ROW(Assessment!$G34),"")</f>
        <v>34</v>
      </c>
      <c r="Z34" t="str">
        <f>IF(Assessment!$G34="High",ROW(Assessment!$G34),"")</f>
        <v/>
      </c>
    </row>
    <row r="35" spans="1:26" x14ac:dyDescent="0.25">
      <c r="A35" s="10">
        <f>IF($X35="","",19)</f>
        <v>19</v>
      </c>
      <c r="B35" s="10" t="str">
        <f>IF($X35="","",INDEX(Assessment!$A:$A,$X35))</f>
        <v>VH.7</v>
      </c>
      <c r="C35" s="10" t="str">
        <f>IF($X35="","",INDEX(Assessment!$B:$B,$X35))</f>
        <v>BSI TR-03183-1 v1.0.0</v>
      </c>
      <c r="D35" s="10" t="str">
        <f>IF($X35="","",INDEX(Assessment!$C:$C,$X35))</f>
        <v>Annex B Table 10 (CRA Annex I Part II (7)); text also in 3.9</v>
      </c>
      <c r="E35" s="10" t="str">
        <f>IF($X35="","",INDEX(Assessment!$F:$F,$X35))</f>
        <v>Secure update distribution</v>
      </c>
      <c r="F35" s="10" t="str">
        <f>IF($X35="","",INDEX(Assessment!$G:$G,$X35))</f>
        <v>Critical</v>
      </c>
      <c r="G35" s="10" t="str">
        <f>IF($X35="","",INDEX(Assessment!$J:$J,$X35))</f>
        <v>Operate update distribution and track installation status per site.</v>
      </c>
      <c r="H35" s="10" t="str">
        <f>IF($X35="","",INDEX(Assessment!$L:$L,$X35))</f>
        <v>Service Delivery Manager</v>
      </c>
      <c r="I35" s="10" t="str">
        <f>IF($X35="","",INDEX(Assessment!$N:$N,$X35))</f>
        <v>L</v>
      </c>
      <c r="X35">
        <f>IF(19&lt;=$B$6,SMALL($Y$2:$Y$593,19),IF(19&lt;=$B$6+$B$7,SMALL($Z$2:$Z$593,19-$B$6),""))</f>
        <v>267</v>
      </c>
      <c r="Y35" t="str">
        <f>IF(Assessment!$G35="Critical",ROW(Assessment!$G35),"")</f>
        <v/>
      </c>
      <c r="Z35">
        <f>IF(Assessment!$G35="High",ROW(Assessment!$G35),"")</f>
        <v>35</v>
      </c>
    </row>
    <row r="36" spans="1:26" x14ac:dyDescent="0.25">
      <c r="A36" s="10">
        <f>IF($X36="","",20)</f>
        <v>20</v>
      </c>
      <c r="B36" s="10" t="str">
        <f>IF($X36="","",INDEX(Assessment!$A:$A,$X36))</f>
        <v>VH.8</v>
      </c>
      <c r="C36" s="10" t="str">
        <f>IF($X36="","",INDEX(Assessment!$B:$B,$X36))</f>
        <v>BSI TR-03183-1 v1.0.0</v>
      </c>
      <c r="D36" s="10" t="str">
        <f>IF($X36="","",INDEX(Assessment!$C:$C,$X36))</f>
        <v>Annex B Table 10 (CRA Annex I Part II (8)); text also in 3.9</v>
      </c>
      <c r="E36" s="10" t="str">
        <f>IF($X36="","",INDEX(Assessment!$F:$F,$X36))</f>
        <v>Security updates - dissemination</v>
      </c>
      <c r="F36" s="10" t="str">
        <f>IF($X36="","",INDEX(Assessment!$G:$G,$X36))</f>
        <v>Critical</v>
      </c>
      <c r="G36" s="10" t="str">
        <f>IF($X36="","",INDEX(Assessment!$J:$J,$X36))</f>
        <v>Implement, document and operate: disseminate available security updates without delay.</v>
      </c>
      <c r="H36" s="10" t="str">
        <f>IF($X36="","",INDEX(Assessment!$L:$L,$X36))</f>
        <v>PSIRT Lead</v>
      </c>
      <c r="I36" s="10" t="str">
        <f>IF($X36="","",INDEX(Assessment!$N:$N,$X36))</f>
        <v>L</v>
      </c>
      <c r="X36">
        <f>IF(20&lt;=$B$6,SMALL($Y$2:$Y$593,20),IF(20&lt;=$B$6+$B$7,SMALL($Z$2:$Z$593,20-$B$6),""))</f>
        <v>269</v>
      </c>
      <c r="Y36" t="str">
        <f>IF(Assessment!$G36="Critical",ROW(Assessment!$G36),"")</f>
        <v/>
      </c>
      <c r="Z36">
        <f>IF(Assessment!$G36="High",ROW(Assessment!$G36),"")</f>
        <v>36</v>
      </c>
    </row>
    <row r="37" spans="1:26" x14ac:dyDescent="0.25">
      <c r="A37" s="10">
        <f>IF($X37="","",21)</f>
        <v>21</v>
      </c>
      <c r="B37" s="10" t="str">
        <f>IF($X37="","",INDEX(Assessment!$A:$A,$X37))</f>
        <v>TR2-004</v>
      </c>
      <c r="C37" s="10" t="str">
        <f>IF($X37="","",INDEX(Assessment!$B:$B,$X37))</f>
        <v>BSI TR-03183-2 v2.1.0</v>
      </c>
      <c r="D37" s="10" t="str">
        <f>IF($X37="","",INDEX(Assessment!$C:$C,$X37))</f>
        <v>1 Introduction</v>
      </c>
      <c r="E37" s="10" t="str">
        <f>IF($X37="","",INDEX(Assessment!$F:$F,$X37))</f>
        <v>Vulnerability handling - impact analysis</v>
      </c>
      <c r="F37" s="10" t="str">
        <f>IF($X37="","",INDEX(Assessment!$G:$G,$X37))</f>
        <v>Critical</v>
      </c>
      <c r="G37" s="10" t="str">
        <f>IF($X37="","",INDEX(Assessment!$J:$J,$X37))</f>
        <v>Triage every SBOM-based match, record the exploitability decision, and publish product status as CSAF/VEX linked to SBOM component identifiers.</v>
      </c>
      <c r="H37" s="10" t="str">
        <f>IF($X37="","",INDEX(Assessment!$L:$L,$X37))</f>
        <v>PSIRT Lead</v>
      </c>
      <c r="I37" s="10" t="str">
        <f>IF($X37="","",INDEX(Assessment!$N:$N,$X37))</f>
        <v>L</v>
      </c>
      <c r="X37">
        <f>IF(21&lt;=$B$6,SMALL($Y$2:$Y$593,21),IF(21&lt;=$B$6+$B$7,SMALL($Z$2:$Z$593,21-$B$6),""))</f>
        <v>287</v>
      </c>
      <c r="Y37" t="str">
        <f>IF(Assessment!$G37="Critical",ROW(Assessment!$G37),"")</f>
        <v/>
      </c>
      <c r="Z37" t="str">
        <f>IF(Assessment!$G37="High",ROW(Assessment!$G37),"")</f>
        <v/>
      </c>
    </row>
    <row r="38" spans="1:26" x14ac:dyDescent="0.25">
      <c r="A38" s="10">
        <f>IF($X38="","",22)</f>
        <v>22</v>
      </c>
      <c r="B38" s="10" t="str">
        <f>IF($X38="","",INDEX(Assessment!$A:$A,$X38))</f>
        <v>TR3-007</v>
      </c>
      <c r="C38" s="10" t="str">
        <f>IF($X38="","",INDEX(Assessment!$B:$B,$X38))</f>
        <v>BSI TR-03183-3 v1.0.0</v>
      </c>
      <c r="D38" s="10" t="str">
        <f>IF($X38="","",INDEX(Assessment!$C:$C,$X38))</f>
        <v>3.1.7 Corresponding national CSIRT</v>
      </c>
      <c r="E38" s="10" t="str">
        <f>IF($X38="","",INDEX(Assessment!$F:$F,$X38))</f>
        <v>CVD - national CSIRT coordination</v>
      </c>
      <c r="F38" s="10" t="str">
        <f>IF($X38="","",INDEX(Assessment!$G:$G,$X38))</f>
        <v>Critical</v>
      </c>
      <c r="G38" s="10" t="str">
        <f>IF($X38="","",INDEX(Assessment!$J:$J,$X38))</f>
        <v>select the corresponding national CSIRT among those designated as CVD coordinator in the Member State - document it in the PSIRT notification procedure and keep a case log.</v>
      </c>
      <c r="H38" s="10" t="str">
        <f>IF($X38="","",INDEX(Assessment!$L:$L,$X38))</f>
        <v>PSIRT Lead / Compliance Officer</v>
      </c>
      <c r="I38" s="10" t="str">
        <f>IF($X38="","",INDEX(Assessment!$N:$N,$X38))</f>
        <v>S</v>
      </c>
      <c r="X38">
        <f>IF(22&lt;=$B$6,SMALL($Y$2:$Y$593,22),IF(22&lt;=$B$6+$B$7,SMALL($Z$2:$Z$593,22-$B$6),""))</f>
        <v>420</v>
      </c>
      <c r="Y38" t="str">
        <f>IF(Assessment!$G38="Critical",ROW(Assessment!$G38),"")</f>
        <v/>
      </c>
      <c r="Z38">
        <f>IF(Assessment!$G38="High",ROW(Assessment!$G38),"")</f>
        <v>38</v>
      </c>
    </row>
    <row r="39" spans="1:26" x14ac:dyDescent="0.25">
      <c r="A39" s="10">
        <f>IF($X39="","",23)</f>
        <v>23</v>
      </c>
      <c r="B39" s="10" t="str">
        <f>IF($X39="","",INDEX(Assessment!$A:$A,$X39))</f>
        <v>TR3-4.3.1a</v>
      </c>
      <c r="C39" s="10" t="str">
        <f>IF($X39="","",INDEX(Assessment!$B:$B,$X39))</f>
        <v>BSI TR-03183-3 v1.0.0</v>
      </c>
      <c r="D39" s="10" t="str">
        <f>IF($X39="","",INDEX(Assessment!$C:$C,$X39))</f>
        <v>4.3.1 Roles of responsible cybersecurity contacts</v>
      </c>
      <c r="E39" s="10" t="str">
        <f>IF($X39="","",INDEX(Assessment!$F:$F,$X39))</f>
        <v>PSIRT / CSIRT organisation</v>
      </c>
      <c r="F39" s="10" t="str">
        <f>IF($X39="","",INDEX(Assessment!$G:$G,$X39))</f>
        <v>Critical</v>
      </c>
      <c r="G39" s="10" t="str">
        <f>IF($X39="","",INDEX(Assessment!$J:$J,$X39))</f>
        <v>Establish PSIRT (products, incl. RDPS) and CSIRT (corporate infrastructure) with charter, named members, deputies and management mandate.</v>
      </c>
      <c r="H39" s="10" t="str">
        <f>IF($X39="","",INDEX(Assessment!$L:$L,$X39))</f>
        <v>CISO / PSIRT Lead</v>
      </c>
      <c r="I39" s="10" t="str">
        <f>IF($X39="","",INDEX(Assessment!$N:$N,$X39))</f>
        <v>L</v>
      </c>
      <c r="X39">
        <f>IF(23&lt;=$B$6,SMALL($Y$2:$Y$593,23),IF(23&lt;=$B$6+$B$7,SMALL($Z$2:$Z$593,23-$B$6),""))</f>
        <v>479</v>
      </c>
      <c r="Y39" t="str">
        <f>IF(Assessment!$G39="Critical",ROW(Assessment!$G39),"")</f>
        <v/>
      </c>
      <c r="Z39" t="str">
        <f>IF(Assessment!$G39="High",ROW(Assessment!$G39),"")</f>
        <v/>
      </c>
    </row>
    <row r="40" spans="1:26" x14ac:dyDescent="0.25">
      <c r="A40" s="10">
        <f>IF($X40="","",24)</f>
        <v>24</v>
      </c>
      <c r="B40" s="10" t="str">
        <f>IF($X40="","",INDEX(Assessment!$A:$A,$X40))</f>
        <v>TR3-4.3.4a</v>
      </c>
      <c r="C40" s="10" t="str">
        <f>IF($X40="","",INDEX(Assessment!$B:$B,$X40))</f>
        <v>BSI TR-03183-3 v1.0.0</v>
      </c>
      <c r="D40" s="10" t="str">
        <f>IF($X40="","",INDEX(Assessment!$C:$C,$X40))</f>
        <v>4.3.4 Web page for incoming vulnerability reports</v>
      </c>
      <c r="E40" s="10" t="str">
        <f>IF($X40="","",INDEX(Assessment!$F:$F,$X40))</f>
        <v>Vulnerability reporting web page</v>
      </c>
      <c r="F40" s="10" t="str">
        <f>IF($X40="","",INDEX(Assessment!$G:$G,$X40))</f>
        <v>Critical</v>
      </c>
      <c r="G40" s="10" t="str">
        <f>IF($X40="","",INDEX(Assessment!$J:$J,$X40))</f>
        <v>Publish the central vulnerability reporting page (contacts, keys, web form, CVD policy link) and link it from the home page.</v>
      </c>
      <c r="H40" s="10" t="str">
        <f>IF($X40="","",INDEX(Assessment!$L:$L,$X40))</f>
        <v>PSIRT Lead with Web/IT team</v>
      </c>
      <c r="I40" s="10" t="str">
        <f>IF($X40="","",INDEX(Assessment!$N:$N,$X40))</f>
        <v>M</v>
      </c>
      <c r="X40">
        <f>IF(24&lt;=$B$6,SMALL($Y$2:$Y$593,24),IF(24&lt;=$B$6+$B$7,SMALL($Z$2:$Z$593,24-$B$6),""))</f>
        <v>514</v>
      </c>
      <c r="Y40">
        <f>IF(Assessment!$G40="Critical",ROW(Assessment!$G40),"")</f>
        <v>40</v>
      </c>
      <c r="Z40" t="str">
        <f>IF(Assessment!$G40="High",ROW(Assessment!$G40),"")</f>
        <v/>
      </c>
    </row>
    <row r="41" spans="1:26" x14ac:dyDescent="0.25">
      <c r="A41" s="10">
        <f>IF($X41="","",25)</f>
        <v>25</v>
      </c>
      <c r="B41" s="10" t="str">
        <f>IF($X41="","",INDEX(Assessment!$A:$A,$X41))</f>
        <v>TR3-022</v>
      </c>
      <c r="C41" s="10" t="str">
        <f>IF($X41="","",INDEX(Assessment!$B:$B,$X41))</f>
        <v>BSI TR-03183-3 v1.0.0</v>
      </c>
      <c r="D41" s="10" t="str">
        <f>IF($X41="","",INDEX(Assessment!$C:$C,$X41))</f>
        <v>4.4 CVD policy</v>
      </c>
      <c r="E41" s="10" t="str">
        <f>IF($X41="","",INDEX(Assessment!$F:$F,$X41))</f>
        <v>CVD policy - content</v>
      </c>
      <c r="F41" s="10" t="str">
        <f>IF($X41="","",INDEX(Assessment!$G:$G,$X41))</f>
        <v>Critical</v>
      </c>
      <c r="G41" s="10" t="str">
        <f>IF($X41="","",INDEX(Assessment!$J:$J,$X41))</f>
        <v>Draft, approve (Legal, management) and publish the CVD policy covering every 4.4.x item; assign an owner and review cycle.</v>
      </c>
      <c r="H41" s="10" t="str">
        <f>IF($X41="","",INDEX(Assessment!$L:$L,$X41))</f>
        <v>PSIRT Lead (Legal reviews policy wording)</v>
      </c>
      <c r="I41" s="10" t="str">
        <f>IF($X41="","",INDEX(Assessment!$N:$N,$X41))</f>
        <v>L</v>
      </c>
      <c r="X41">
        <f>IF(25&lt;=$B$6,SMALL($Y$2:$Y$593,25),IF(25&lt;=$B$6+$B$7,SMALL($Z$2:$Z$593,25-$B$6),""))</f>
        <v>515</v>
      </c>
      <c r="Y41">
        <f>IF(Assessment!$G41="Critical",ROW(Assessment!$G41),"")</f>
        <v>41</v>
      </c>
      <c r="Z41" t="str">
        <f>IF(Assessment!$G41="High",ROW(Assessment!$G41),"")</f>
        <v/>
      </c>
    </row>
    <row r="42" spans="1:26" x14ac:dyDescent="0.25">
      <c r="A42" s="10">
        <f>IF($X42="","",26)</f>
        <v>26</v>
      </c>
      <c r="B42" s="10" t="str">
        <f>IF($X42="","",INDEX(Assessment!$A:$A,$X42))</f>
        <v>TR3-4.4.2a</v>
      </c>
      <c r="C42" s="10" t="str">
        <f>IF($X42="","",INDEX(Assessment!$B:$B,$X42))</f>
        <v>BSI TR-03183-3 v1.0.0</v>
      </c>
      <c r="D42" s="10" t="str">
        <f>IF($X42="","",INDEX(Assessment!$C:$C,$X42))</f>
        <v>4.4.2 Corresponding national CSIRT</v>
      </c>
      <c r="E42" s="10" t="str">
        <f>IF($X42="","",INDEX(Assessment!$F:$F,$X42))</f>
        <v>Incident &amp; vulnerability reporting (CSIRT)</v>
      </c>
      <c r="F42" s="10" t="str">
        <f>IF($X42="","",INDEX(Assessment!$G:$G,$X42))</f>
        <v>Critical</v>
      </c>
      <c r="G42" s="10" t="str">
        <f>IF($X42="","",INDEX(Assessment!$J:$J,$X42))</f>
        <v>Implement the actively-exploited-vulnerability notification procedure (awareness criteria, 24h/72h/14-day timeline, single reporting platform account, CSIRT contact, approvals) and rehearse it.</v>
      </c>
      <c r="H42" s="10" t="str">
        <f>IF($X42="","",INDEX(Assessment!$L:$L,$X42))</f>
        <v>PSIRT Lead / Compliance Officer</v>
      </c>
      <c r="I42" s="10" t="str">
        <f>IF($X42="","",INDEX(Assessment!$N:$N,$X42))</f>
        <v>L</v>
      </c>
      <c r="X42">
        <f>IF(26&lt;=$B$6,SMALL($Y$2:$Y$593,26),IF(26&lt;=$B$6+$B$7,SMALL($Z$2:$Z$593,26-$B$6),""))</f>
        <v>520</v>
      </c>
      <c r="Y42">
        <f>IF(Assessment!$G42="Critical",ROW(Assessment!$G42),"")</f>
        <v>42</v>
      </c>
      <c r="Z42" t="str">
        <f>IF(Assessment!$G42="High",ROW(Assessment!$G42),"")</f>
        <v/>
      </c>
    </row>
    <row r="43" spans="1:26" x14ac:dyDescent="0.25">
      <c r="A43" s="10">
        <f>IF($X43="","",27)</f>
        <v>27</v>
      </c>
      <c r="B43" s="10" t="str">
        <f>IF($X43="","",INDEX(Assessment!$A:$A,$X43))</f>
        <v>TR1-008</v>
      </c>
      <c r="C43" s="10" t="str">
        <f>IF($X43="","",INDEX(Assessment!$B:$B,$X43))</f>
        <v>BSI TR-03183-1 v1.0.0</v>
      </c>
      <c r="D43" s="10" t="str">
        <f>IF($X43="","",INDEX(Assessment!$C:$C,$X43))</f>
        <v>3.4 Timeline</v>
      </c>
      <c r="E43" s="10" t="str">
        <f>IF($X43="","",INDEX(Assessment!$F:$F,$X43))</f>
        <v>CRA timeline - legacy products</v>
      </c>
      <c r="F43" s="10" t="str">
        <f>IF($X43="","",INDEX(Assessment!$G:$G,$X43))</f>
        <v>High</v>
      </c>
      <c r="G43" s="10" t="str">
        <f>IF($X43="","",INDEX(Assessment!$J:$J,$X43))</f>
        <v>Embed 'Art. 14 obligations apply to all in-scope products placed on the market before 11 Dec 2027' in the PSIRT / vulnerability-handling procedure and service-management tooling.</v>
      </c>
      <c r="H43" s="10" t="str">
        <f>IF($X43="","",INDEX(Assessment!$L:$L,$X43))</f>
        <v>PSIRT Lead / Service Delivery Manager</v>
      </c>
      <c r="I43" s="10" t="str">
        <f>IF($X43="","",INDEX(Assessment!$N:$N,$X43))</f>
        <v>M</v>
      </c>
      <c r="X43">
        <f>IF(27&lt;=$B$6,SMALL($Y$2:$Y$593,27),IF(27&lt;=$B$6+$B$7,SMALL($Z$2:$Z$593,27-$B$6),""))</f>
        <v>9</v>
      </c>
      <c r="Y43">
        <f>IF(Assessment!$G43="Critical",ROW(Assessment!$G43),"")</f>
        <v>43</v>
      </c>
      <c r="Z43" t="str">
        <f>IF(Assessment!$G43="High",ROW(Assessment!$G43),"")</f>
        <v/>
      </c>
    </row>
    <row r="44" spans="1:26" x14ac:dyDescent="0.25">
      <c r="A44" s="10">
        <f>IF($X44="","",28)</f>
        <v>28</v>
      </c>
      <c r="B44" s="10" t="str">
        <f>IF($X44="","",INDEX(Assessment!$A:$A,$X44))</f>
        <v>TR1-009</v>
      </c>
      <c r="C44" s="10" t="str">
        <f>IF($X44="","",INDEX(Assessment!$B:$B,$X44))</f>
        <v>BSI TR-03183-1 v1.0.0</v>
      </c>
      <c r="D44" s="10" t="str">
        <f>IF($X44="","",INDEX(Assessment!$C:$C,$X44))</f>
        <v>3.4 Timeline</v>
      </c>
      <c r="E44" s="10" t="str">
        <f>IF($X44="","",INDEX(Assessment!$F:$F,$X44))</f>
        <v>CRA timeline - substantial modification</v>
      </c>
      <c r="F44" s="10" t="str">
        <f>IF($X44="","",INDEX(Assessment!$G:$G,$X44))</f>
        <v>High</v>
      </c>
      <c r="G44" s="10" t="str">
        <f>IF($X44="","",INDEX(Assessment!$J:$J,$X44))</f>
        <v>Embed 'products placed on the market before 11 Dec 2027 fall under the CRA only after a substantial modification after that date' in the PSIRT / vulnerability-handling procedure and service-management tooling.</v>
      </c>
      <c r="H44" s="10" t="str">
        <f>IF($X44="","",INDEX(Assessment!$L:$L,$X44))</f>
        <v>PSIRT Lead / Service Delivery Manager</v>
      </c>
      <c r="I44" s="10" t="str">
        <f>IF($X44="","",INDEX(Assessment!$N:$N,$X44))</f>
        <v>M</v>
      </c>
      <c r="X44">
        <f>IF(28&lt;=$B$6,SMALL($Y$2:$Y$593,28),IF(28&lt;=$B$6+$B$7,SMALL($Z$2:$Z$593,28-$B$6),""))</f>
        <v>10</v>
      </c>
      <c r="Y44" t="str">
        <f>IF(Assessment!$G44="Critical",ROW(Assessment!$G44),"")</f>
        <v/>
      </c>
      <c r="Z44">
        <f>IF(Assessment!$G44="High",ROW(Assessment!$G44),"")</f>
        <v>44</v>
      </c>
    </row>
    <row r="45" spans="1:26" x14ac:dyDescent="0.25">
      <c r="A45" s="10">
        <f>IF($X45="","",29)</f>
        <v>29</v>
      </c>
      <c r="B45" s="10" t="str">
        <f>IF($X45="","",INDEX(Assessment!$A:$A,$X45))</f>
        <v>TR1-011</v>
      </c>
      <c r="C45" s="10" t="str">
        <f>IF($X45="","",INDEX(Assessment!$B:$B,$X45))</f>
        <v>BSI TR-03183-1 v1.0.0</v>
      </c>
      <c r="D45" s="10" t="str">
        <f>IF($X45="","",INDEX(Assessment!$C:$C,$X45))</f>
        <v>3.4 Timeline</v>
      </c>
      <c r="E45" s="10" t="str">
        <f>IF($X45="","",INDEX(Assessment!$F:$F,$X45))</f>
        <v>CRA timeline - substantial modification</v>
      </c>
      <c r="F45" s="10" t="str">
        <f>IF($X45="","",INDEX(Assessment!$G:$G,$X45))</f>
        <v>High</v>
      </c>
      <c r="G45" s="10" t="str">
        <f>IF($X45="","",INDEX(Assessment!$J:$J,$X45))</f>
        <v>Add a substantial-modification check (type/purpose change vs. initial risk assessment) to change management for all installed solutions.</v>
      </c>
      <c r="H45" s="10" t="str">
        <f>IF($X45="","",INDEX(Assessment!$L:$L,$X45))</f>
        <v>PSIRT Lead / Service Delivery Manager</v>
      </c>
      <c r="I45" s="10" t="str">
        <f>IF($X45="","",INDEX(Assessment!$N:$N,$X45))</f>
        <v>M</v>
      </c>
      <c r="X45">
        <f>IF(29&lt;=$B$6,SMALL($Y$2:$Y$593,29),IF(29&lt;=$B$6+$B$7,SMALL($Z$2:$Z$593,29-$B$6),""))</f>
        <v>12</v>
      </c>
      <c r="Y45">
        <f>IF(Assessment!$G45="Critical",ROW(Assessment!$G45),"")</f>
        <v>45</v>
      </c>
      <c r="Z45" t="str">
        <f>IF(Assessment!$G45="High",ROW(Assessment!$G45),"")</f>
        <v/>
      </c>
    </row>
    <row r="46" spans="1:26" x14ac:dyDescent="0.25">
      <c r="A46" s="10">
        <f>IF($X46="","",30)</f>
        <v>30</v>
      </c>
      <c r="B46" s="10" t="str">
        <f>IF($X46="","",INDEX(Assessment!$A:$A,$X46))</f>
        <v>TR1-018</v>
      </c>
      <c r="C46" s="10" t="str">
        <f>IF($X46="","",INDEX(Assessment!$B:$B,$X46))</f>
        <v>BSI TR-03183-1 v1.0.0</v>
      </c>
      <c r="D46" s="10" t="str">
        <f>IF($X46="","",INDEX(Assessment!$C:$C,$X46))</f>
        <v>3.5 Concepts - Lifecycle Responsibility</v>
      </c>
      <c r="E46" s="10" t="str">
        <f>IF($X46="","",INDEX(Assessment!$F:$F,$X46))</f>
        <v>Support period</v>
      </c>
      <c r="F46" s="10" t="str">
        <f>IF($X46="","",INDEX(Assessment!$G:$G,$X46))</f>
        <v>High</v>
      </c>
      <c r="G46" s="10" t="str">
        <f>IF($X46="","",INDEX(Assessment!$J:$J,$X46))</f>
        <v>Plan PSIRT and engineering capacity per supported release line until its support end date.</v>
      </c>
      <c r="H46" s="10" t="str">
        <f>IF($X46="","",INDEX(Assessment!$L:$L,$X46))</f>
        <v>Service Delivery Manager / PSIRT Lead</v>
      </c>
      <c r="I46" s="10" t="str">
        <f>IF($X46="","",INDEX(Assessment!$N:$N,$X46))</f>
        <v>M</v>
      </c>
      <c r="X46">
        <f>IF(30&lt;=$B$6,SMALL($Y$2:$Y$593,30),IF(30&lt;=$B$6+$B$7,SMALL($Z$2:$Z$593,30-$B$6),""))</f>
        <v>19</v>
      </c>
      <c r="Y46" t="str">
        <f>IF(Assessment!$G46="Critical",ROW(Assessment!$G46),"")</f>
        <v/>
      </c>
      <c r="Z46">
        <f>IF(Assessment!$G46="High",ROW(Assessment!$G46),"")</f>
        <v>46</v>
      </c>
    </row>
    <row r="47" spans="1:26" x14ac:dyDescent="0.25">
      <c r="A47" s="10">
        <f>IF($X47="","",31)</f>
        <v>31</v>
      </c>
      <c r="B47" s="10" t="str">
        <f>IF($X47="","",INDEX(Assessment!$A:$A,$X47))</f>
        <v>TR1-026</v>
      </c>
      <c r="C47" s="10" t="str">
        <f>IF($X47="","",INDEX(Assessment!$B:$B,$X47))</f>
        <v>BSI TR-03183-1 v1.0.0</v>
      </c>
      <c r="D47" s="10" t="str">
        <f>IF($X47="","",INDEX(Assessment!$C:$C,$X47))</f>
        <v>3.6 Obligations of the manufacturer - PwDE Monitoring and Post-Market Obligations</v>
      </c>
      <c r="E47" s="10" t="str">
        <f>IF($X47="","",INDEX(Assessment!$F:$F,$X47))</f>
        <v>Post-market review</v>
      </c>
      <c r="F47" s="10" t="str">
        <f>IF($X47="","",INDEX(Assessment!$G:$G,$X47))</f>
        <v>High</v>
      </c>
      <c r="G47" s="10" t="str">
        <f>IF($X47="","",INDEX(Assessment!$J:$J,$X47))</f>
        <v>Operate SBOM-based continuous vulnerability monitoring, periodic security reviews and remediation for all supported releases.</v>
      </c>
      <c r="H47" s="10" t="str">
        <f>IF($X47="","",INDEX(Assessment!$L:$L,$X47))</f>
        <v>PSIRT Lead / Product Security Officer</v>
      </c>
      <c r="I47" s="10" t="str">
        <f>IF($X47="","",INDEX(Assessment!$N:$N,$X47))</f>
        <v>M</v>
      </c>
      <c r="X47">
        <f>IF(31&lt;=$B$6,SMALL($Y$2:$Y$593,31),IF(31&lt;=$B$6+$B$7,SMALL($Z$2:$Z$593,31-$B$6),""))</f>
        <v>31</v>
      </c>
      <c r="Y47" t="str">
        <f>IF(Assessment!$G47="Critical",ROW(Assessment!$G47),"")</f>
        <v/>
      </c>
      <c r="Z47" t="str">
        <f>IF(Assessment!$G47="High",ROW(Assessment!$G47),"")</f>
        <v/>
      </c>
    </row>
    <row r="48" spans="1:26" x14ac:dyDescent="0.25">
      <c r="A48" s="10">
        <f>IF($X48="","",32)</f>
        <v>32</v>
      </c>
      <c r="B48" s="10" t="str">
        <f>IF($X48="","",INDEX(Assessment!$A:$A,$X48))</f>
        <v>TR1-027</v>
      </c>
      <c r="C48" s="10" t="str">
        <f>IF($X48="","",INDEX(Assessment!$B:$B,$X48))</f>
        <v>BSI TR-03183-1 v1.0.0</v>
      </c>
      <c r="D48" s="10" t="str">
        <f>IF($X48="","",INDEX(Assessment!$C:$C,$X48))</f>
        <v>3.6 Obligations of the manufacturer - PwDE Monitoring and Post-Market Obligations</v>
      </c>
      <c r="E48" s="10" t="str">
        <f>IF($X48="","",INDEX(Assessment!$F:$F,$X48))</f>
        <v>Post-market review</v>
      </c>
      <c r="F48" s="10" t="str">
        <f>IF($X48="","",INDEX(Assessment!$G:$G,$X48))</f>
        <v>High</v>
      </c>
      <c r="G48" s="10" t="str">
        <f>IF($X48="","",INDEX(Assessment!$J:$J,$X48))</f>
        <v>Operate SBOM-based continuous vulnerability monitoring, periodic security reviews and remediation for all supported releases.</v>
      </c>
      <c r="H48" s="10" t="str">
        <f>IF($X48="","",INDEX(Assessment!$L:$L,$X48))</f>
        <v>PSIRT Lead / Product Security Officer</v>
      </c>
      <c r="I48" s="10" t="str">
        <f>IF($X48="","",INDEX(Assessment!$N:$N,$X48))</f>
        <v>M</v>
      </c>
      <c r="X48">
        <f>IF(32&lt;=$B$6,SMALL($Y$2:$Y$593,32),IF(32&lt;=$B$6+$B$7,SMALL($Z$2:$Z$593,32-$B$6),""))</f>
        <v>32</v>
      </c>
      <c r="Y48">
        <f>IF(Assessment!$G48="Critical",ROW(Assessment!$G48),"")</f>
        <v>48</v>
      </c>
      <c r="Z48" t="str">
        <f>IF(Assessment!$G48="High",ROW(Assessment!$G48),"")</f>
        <v/>
      </c>
    </row>
    <row r="49" spans="1:26" x14ac:dyDescent="0.25">
      <c r="A49" s="10">
        <f>IF($X49="","",33)</f>
        <v>33</v>
      </c>
      <c r="B49" s="10" t="str">
        <f>IF($X49="","",INDEX(Assessment!$A:$A,$X49))</f>
        <v>TR1-028-c</v>
      </c>
      <c r="C49" s="10" t="str">
        <f>IF($X49="","",INDEX(Assessment!$B:$B,$X49))</f>
        <v>BSI TR-03183-1 v1.0.0</v>
      </c>
      <c r="D49" s="10" t="str">
        <f>IF($X49="","",INDEX(Assessment!$C:$C,$X49))</f>
        <v>3.6 Obligations of the manufacturer - PwDE Monitoring and Post-Market Obligations</v>
      </c>
      <c r="E49" s="10" t="str">
        <f>IF($X49="","",INDEX(Assessment!$F:$F,$X49))</f>
        <v>Security updates - free of charge</v>
      </c>
      <c r="F49" s="10" t="str">
        <f>IF($X49="","",INDEX(Assessment!$G:$G,$X49))</f>
        <v>High</v>
      </c>
      <c r="G49" s="10" t="str">
        <f>IF($X49="","",INDEX(Assessment!$J:$J,$X49))</f>
        <v>Operate SBOM-based continuous vulnerability monitoring, periodic security reviews and remediation for all supported releases.</v>
      </c>
      <c r="H49" s="10" t="str">
        <f>IF($X49="","",INDEX(Assessment!$L:$L,$X49))</f>
        <v>PSIRT Lead / Product Security Officer</v>
      </c>
      <c r="I49" s="10" t="str">
        <f>IF($X49="","",INDEX(Assessment!$N:$N,$X49))</f>
        <v>M</v>
      </c>
      <c r="X49">
        <f>IF(33&lt;=$B$6,SMALL($Y$2:$Y$593,33),IF(33&lt;=$B$6+$B$7,SMALL($Z$2:$Z$593,33-$B$6),""))</f>
        <v>35</v>
      </c>
      <c r="Y49" t="str">
        <f>IF(Assessment!$G49="Critical",ROW(Assessment!$G49),"")</f>
        <v/>
      </c>
      <c r="Z49" t="str">
        <f>IF(Assessment!$G49="High",ROW(Assessment!$G49),"")</f>
        <v/>
      </c>
    </row>
    <row r="50" spans="1:26" x14ac:dyDescent="0.25">
      <c r="A50" s="10">
        <f>IF($X50="","",34)</f>
        <v>34</v>
      </c>
      <c r="B50" s="10" t="str">
        <f>IF($X50="","",INDEX(Assessment!$A:$A,$X50))</f>
        <v>TR1-029</v>
      </c>
      <c r="C50" s="10" t="str">
        <f>IF($X50="","",INDEX(Assessment!$B:$B,$X50))</f>
        <v>BSI TR-03183-1 v1.0.0</v>
      </c>
      <c r="D50" s="10" t="str">
        <f>IF($X50="","",INDEX(Assessment!$C:$C,$X50))</f>
        <v>3.6 Obligations of the manufacturer - PwDE Monitoring and Post-Market Obligations</v>
      </c>
      <c r="E50" s="10" t="str">
        <f>IF($X50="","",INDEX(Assessment!$F:$F,$X50))</f>
        <v>Support period</v>
      </c>
      <c r="F50" s="10" t="str">
        <f>IF($X50="","",INDEX(Assessment!$G:$G,$X50))</f>
        <v>High</v>
      </c>
      <c r="G50" s="10" t="str">
        <f>IF($X50="","",INDEX(Assessment!$J:$J,$X50))</f>
        <v>Plan PSIRT and engineering capacity per supported release line until its support end date.</v>
      </c>
      <c r="H50" s="10" t="str">
        <f>IF($X50="","",INDEX(Assessment!$L:$L,$X50))</f>
        <v>Service Delivery Manager / PSIRT Lead</v>
      </c>
      <c r="I50" s="10" t="str">
        <f>IF($X50="","",INDEX(Assessment!$N:$N,$X50))</f>
        <v>M</v>
      </c>
      <c r="X50">
        <f>IF(34&lt;=$B$6,SMALL($Y$2:$Y$593,34),IF(34&lt;=$B$6+$B$7,SMALL($Z$2:$Z$593,34-$B$6),""))</f>
        <v>36</v>
      </c>
      <c r="Y50">
        <f>IF(Assessment!$G50="Critical",ROW(Assessment!$G50),"")</f>
        <v>50</v>
      </c>
      <c r="Z50" t="str">
        <f>IF(Assessment!$G50="High",ROW(Assessment!$G50),"")</f>
        <v/>
      </c>
    </row>
    <row r="51" spans="1:26" x14ac:dyDescent="0.25">
      <c r="A51" s="10">
        <f>IF($X51="","",35)</f>
        <v>35</v>
      </c>
      <c r="B51" s="10" t="str">
        <f>IF($X51="","",INDEX(Assessment!$A:$A,$X51))</f>
        <v>TR1-031-a</v>
      </c>
      <c r="C51" s="10" t="str">
        <f>IF($X51="","",INDEX(Assessment!$B:$B,$X51))</f>
        <v>BSI TR-03183-1 v1.0.0</v>
      </c>
      <c r="D51" s="10" t="str">
        <f>IF($X51="","",INDEX(Assessment!$C:$C,$X51))</f>
        <v>3.6 Obligations of the manufacturer - PwDE Monitoring and Post-Market Obligations</v>
      </c>
      <c r="E51" s="10" t="str">
        <f>IF($X51="","",INDEX(Assessment!$F:$F,$X51))</f>
        <v>Availability of security updates</v>
      </c>
      <c r="F51" s="10" t="str">
        <f>IF($X51="","",INDEX(Assessment!$G:$G,$X51))</f>
        <v>High</v>
      </c>
      <c r="G51" s="10" t="str">
        <f>IF($X51="","",INDEX(Assessment!$J:$J,$X51))</f>
        <v>Plan PSIRT and engineering capacity per supported release line until its support end date.</v>
      </c>
      <c r="H51" s="10" t="str">
        <f>IF($X51="","",INDEX(Assessment!$L:$L,$X51))</f>
        <v>Service Delivery Manager / PSIRT Lead</v>
      </c>
      <c r="I51" s="10" t="str">
        <f>IF($X51="","",INDEX(Assessment!$N:$N,$X51))</f>
        <v>M</v>
      </c>
      <c r="X51">
        <f>IF(35&lt;=$B$6,SMALL($Y$2:$Y$593,35),IF(35&lt;=$B$6+$B$7,SMALL($Z$2:$Z$593,35-$B$6),""))</f>
        <v>38</v>
      </c>
      <c r="Y51" t="str">
        <f>IF(Assessment!$G51="Critical",ROW(Assessment!$G51),"")</f>
        <v/>
      </c>
      <c r="Z51">
        <f>IF(Assessment!$G51="High",ROW(Assessment!$G51),"")</f>
        <v>51</v>
      </c>
    </row>
    <row r="52" spans="1:26" x14ac:dyDescent="0.25">
      <c r="A52" s="10">
        <f>IF($X52="","",36)</f>
        <v>36</v>
      </c>
      <c r="B52" s="10" t="str">
        <f>IF($X52="","",INDEX(Assessment!$A:$A,$X52))</f>
        <v>TR1-034-b</v>
      </c>
      <c r="C52" s="10" t="str">
        <f>IF($X52="","",INDEX(Assessment!$B:$B,$X52))</f>
        <v>BSI TR-03183-1 v1.0.0</v>
      </c>
      <c r="D52" s="10" t="str">
        <f>IF($X52="","",INDEX(Assessment!$C:$C,$X52))</f>
        <v>3.6 Obligations of the manufacturer - Reporting obligations</v>
      </c>
      <c r="E52" s="10" t="str">
        <f>IF($X52="","",INDEX(Assessment!$F:$F,$X52))</f>
        <v>CRA Art. 14 reporting - vulnerabilities</v>
      </c>
      <c r="F52" s="10" t="str">
        <f>IF($X52="","",INDEX(Assessment!$G:$G,$X52))</f>
        <v>High</v>
      </c>
      <c r="G52" s="10" t="str">
        <f>IF($X52="","",INDEX(Assessment!$J:$J,$X52))</f>
        <v>Implement the reporting procedure: awareness criteria, 24h / 72h / 14-day (vulnerability) and 24h / 72h / one-month (incident) timelines, platform accounts, templates, approvals and 24/7 escalation; rehearse it.</v>
      </c>
      <c r="H52" s="10" t="str">
        <f>IF($X52="","",INDEX(Assessment!$L:$L,$X52))</f>
        <v>PSIRT Lead / Compliance Officer</v>
      </c>
      <c r="I52" s="10" t="str">
        <f>IF($X52="","",INDEX(Assessment!$N:$N,$X52))</f>
        <v>M</v>
      </c>
      <c r="X52">
        <f>IF(36&lt;=$B$6,SMALL($Y$2:$Y$593,36),IF(36&lt;=$B$6+$B$7,SMALL($Z$2:$Z$593,36-$B$6),""))</f>
        <v>44</v>
      </c>
      <c r="Y52" t="str">
        <f>IF(Assessment!$G52="Critical",ROW(Assessment!$G52),"")</f>
        <v/>
      </c>
      <c r="Z52">
        <f>IF(Assessment!$G52="High",ROW(Assessment!$G52),"")</f>
        <v>52</v>
      </c>
    </row>
    <row r="53" spans="1:26" x14ac:dyDescent="0.25">
      <c r="A53" s="10">
        <f>IF($X53="","",37)</f>
        <v>37</v>
      </c>
      <c r="B53" s="10" t="str">
        <f>IF($X53="","",INDEX(Assessment!$A:$A,$X53))</f>
        <v>TR1-036</v>
      </c>
      <c r="C53" s="10" t="str">
        <f>IF($X53="","",INDEX(Assessment!$B:$B,$X53))</f>
        <v>BSI TR-03183-1 v1.0.0</v>
      </c>
      <c r="D53" s="10" t="str">
        <f>IF($X53="","",INDEX(Assessment!$C:$C,$X53))</f>
        <v>3.6 Obligations of the manufacturer - Reporting obligations</v>
      </c>
      <c r="E53" s="10" t="str">
        <f>IF($X53="","",INDEX(Assessment!$F:$F,$X53))</f>
        <v>CRA Art. 14 reporting - vulnerabilities</v>
      </c>
      <c r="F53" s="10" t="str">
        <f>IF($X53="","",INDEX(Assessment!$G:$G,$X53))</f>
        <v>High</v>
      </c>
      <c r="G53" s="10" t="str">
        <f>IF($X53="","",INDEX(Assessment!$J:$J,$X53))</f>
        <v>Implement the reporting procedure: awareness criteria, 24h / 72h / 14-day (vulnerability) and 24h / 72h / one-month (incident) timelines, platform accounts, templates, approvals and 24/7 escalation; rehearse it.</v>
      </c>
      <c r="H53" s="10" t="str">
        <f>IF($X53="","",INDEX(Assessment!$L:$L,$X53))</f>
        <v>PSIRT Lead / Compliance Officer</v>
      </c>
      <c r="I53" s="10" t="str">
        <f>IF($X53="","",INDEX(Assessment!$N:$N,$X53))</f>
        <v>M</v>
      </c>
      <c r="X53">
        <f>IF(37&lt;=$B$6,SMALL($Y$2:$Y$593,37),IF(37&lt;=$B$6+$B$7,SMALL($Z$2:$Z$593,37-$B$6),""))</f>
        <v>46</v>
      </c>
      <c r="Y53">
        <f>IF(Assessment!$G53="Critical",ROW(Assessment!$G53),"")</f>
        <v>53</v>
      </c>
      <c r="Z53" t="str">
        <f>IF(Assessment!$G53="High",ROW(Assessment!$G53),"")</f>
        <v/>
      </c>
    </row>
    <row r="54" spans="1:26" x14ac:dyDescent="0.25">
      <c r="A54" s="10">
        <f>IF($X54="","",38)</f>
        <v>38</v>
      </c>
      <c r="B54" s="10" t="str">
        <f>IF($X54="","",INDEX(Assessment!$A:$A,$X54))</f>
        <v>TR1-041-a</v>
      </c>
      <c r="C54" s="10" t="str">
        <f>IF($X54="","",INDEX(Assessment!$B:$B,$X54))</f>
        <v>BSI TR-03183-1 v1.0.0</v>
      </c>
      <c r="D54" s="10" t="str">
        <f>IF($X54="","",INDEX(Assessment!$C:$C,$X54))</f>
        <v>3.6 Obligations of the manufacturer - Reporting obligations</v>
      </c>
      <c r="E54" s="10" t="str">
        <f>IF($X54="","",INDEX(Assessment!$F:$F,$X54))</f>
        <v>CRA Art. 14 reporting - incidents</v>
      </c>
      <c r="F54" s="10" t="str">
        <f>IF($X54="","",INDEX(Assessment!$G:$G,$X54))</f>
        <v>High</v>
      </c>
      <c r="G54" s="10" t="str">
        <f>IF($X54="","",INDEX(Assessment!$J:$J,$X54))</f>
        <v>Implement the reporting procedure: awareness criteria, 24h / 72h / 14-day (vulnerability) and 24h / 72h / one-month (incident) timelines, platform accounts, templates, approvals and 24/7 escalation; rehearse it.</v>
      </c>
      <c r="H54" s="10" t="str">
        <f>IF($X54="","",INDEX(Assessment!$L:$L,$X54))</f>
        <v>PSIRT Lead / Compliance Officer</v>
      </c>
      <c r="I54" s="10" t="str">
        <f>IF($X54="","",INDEX(Assessment!$N:$N,$X54))</f>
        <v>M</v>
      </c>
      <c r="X54">
        <f>IF(38&lt;=$B$6,SMALL($Y$2:$Y$593,38),IF(38&lt;=$B$6+$B$7,SMALL($Z$2:$Z$593,38-$B$6),""))</f>
        <v>51</v>
      </c>
      <c r="Y54" t="str">
        <f>IF(Assessment!$G54="Critical",ROW(Assessment!$G54),"")</f>
        <v/>
      </c>
      <c r="Z54">
        <f>IF(Assessment!$G54="High",ROW(Assessment!$G54),"")</f>
        <v>54</v>
      </c>
    </row>
    <row r="55" spans="1:26" x14ac:dyDescent="0.25">
      <c r="A55" s="10">
        <f>IF($X55="","",39)</f>
        <v>39</v>
      </c>
      <c r="B55" s="10" t="str">
        <f>IF($X55="","",INDEX(Assessment!$A:$A,$X55))</f>
        <v>TR1-041-b</v>
      </c>
      <c r="C55" s="10" t="str">
        <f>IF($X55="","",INDEX(Assessment!$B:$B,$X55))</f>
        <v>BSI TR-03183-1 v1.0.0</v>
      </c>
      <c r="D55" s="10" t="str">
        <f>IF($X55="","",INDEX(Assessment!$C:$C,$X55))</f>
        <v>3.6 Obligations of the manufacturer - Reporting obligations</v>
      </c>
      <c r="E55" s="10" t="str">
        <f>IF($X55="","",INDEX(Assessment!$F:$F,$X55))</f>
        <v>CRA Art. 14 reporting - incidents</v>
      </c>
      <c r="F55" s="10" t="str">
        <f>IF($X55="","",INDEX(Assessment!$G:$G,$X55))</f>
        <v>High</v>
      </c>
      <c r="G55" s="10" t="str">
        <f>IF($X55="","",INDEX(Assessment!$J:$J,$X55))</f>
        <v>Implement the reporting procedure: awareness criteria, 24h / 72h / 14-day (vulnerability) and 24h / 72h / one-month (incident) timelines, platform accounts, templates, approvals and 24/7 escalation; rehearse it.</v>
      </c>
      <c r="H55" s="10" t="str">
        <f>IF($X55="","",INDEX(Assessment!$L:$L,$X55))</f>
        <v>PSIRT Lead / Compliance Officer</v>
      </c>
      <c r="I55" s="10" t="str">
        <f>IF($X55="","",INDEX(Assessment!$N:$N,$X55))</f>
        <v>M</v>
      </c>
      <c r="X55">
        <f>IF(39&lt;=$B$6,SMALL($Y$2:$Y$593,39),IF(39&lt;=$B$6+$B$7,SMALL($Z$2:$Z$593,39-$B$6),""))</f>
        <v>52</v>
      </c>
      <c r="Y55" t="str">
        <f>IF(Assessment!$G55="Critical",ROW(Assessment!$G55),"")</f>
        <v/>
      </c>
      <c r="Z55" t="str">
        <f>IF(Assessment!$G55="High",ROW(Assessment!$G55),"")</f>
        <v/>
      </c>
    </row>
    <row r="56" spans="1:26" x14ac:dyDescent="0.25">
      <c r="A56" s="10">
        <f>IF($X56="","",40)</f>
        <v>40</v>
      </c>
      <c r="B56" s="10" t="str">
        <f>IF($X56="","",INDEX(Assessment!$A:$A,$X56))</f>
        <v>TR1-043</v>
      </c>
      <c r="C56" s="10" t="str">
        <f>IF($X56="","",INDEX(Assessment!$B:$B,$X56))</f>
        <v>BSI TR-03183-1 v1.0.0</v>
      </c>
      <c r="D56" s="10" t="str">
        <f>IF($X56="","",INDEX(Assessment!$C:$C,$X56))</f>
        <v>3.6 Obligations of the manufacturer - Reporting obligations</v>
      </c>
      <c r="E56" s="10" t="str">
        <f>IF($X56="","",INDEX(Assessment!$F:$F,$X56))</f>
        <v>CRA Art. 14 reporting - incidents</v>
      </c>
      <c r="F56" s="10" t="str">
        <f>IF($X56="","",INDEX(Assessment!$G:$G,$X56))</f>
        <v>High</v>
      </c>
      <c r="G56" s="10" t="str">
        <f>IF($X56="","",INDEX(Assessment!$J:$J,$X56))</f>
        <v>Implement the reporting procedure: awareness criteria, 24h / 72h / 14-day (vulnerability) and 24h / 72h / one-month (incident) timelines, platform accounts, templates, approvals and 24/7 escalation; rehearse it.</v>
      </c>
      <c r="H56" s="10" t="str">
        <f>IF($X56="","",INDEX(Assessment!$L:$L,$X56))</f>
        <v>PSIRT Lead / Compliance Officer</v>
      </c>
      <c r="I56" s="10" t="str">
        <f>IF($X56="","",INDEX(Assessment!$N:$N,$X56))</f>
        <v>M</v>
      </c>
      <c r="X56">
        <f>IF(40&lt;=$B$6,SMALL($Y$2:$Y$593,40),IF(40&lt;=$B$6+$B$7,SMALL($Z$2:$Z$593,40-$B$6),""))</f>
        <v>54</v>
      </c>
      <c r="Y56">
        <f>IF(Assessment!$G56="Critical",ROW(Assessment!$G56),"")</f>
        <v>56</v>
      </c>
      <c r="Z56" t="str">
        <f>IF(Assessment!$G56="High",ROW(Assessment!$G56),"")</f>
        <v/>
      </c>
    </row>
    <row r="57" spans="1:26" x14ac:dyDescent="0.25">
      <c r="A57" s="10">
        <f>IF($X57="","",41)</f>
        <v>41</v>
      </c>
      <c r="B57" s="10" t="str">
        <f>IF($X57="","",INDEX(Assessment!$A:$A,$X57))</f>
        <v>TR1-046</v>
      </c>
      <c r="C57" s="10" t="str">
        <f>IF($X57="","",INDEX(Assessment!$B:$B,$X57))</f>
        <v>BSI TR-03183-1 v1.0.0</v>
      </c>
      <c r="D57" s="10" t="str">
        <f>IF($X57="","",INDEX(Assessment!$C:$C,$X57))</f>
        <v>3.6 Obligations of the manufacturer - Reporting obligations</v>
      </c>
      <c r="E57" s="10" t="str">
        <f>IF($X57="","",INDEX(Assessment!$F:$F,$X57))</f>
        <v>CRA Art. 14 reporting - awareness</v>
      </c>
      <c r="F57" s="10" t="str">
        <f>IF($X57="","",INDEX(Assessment!$G:$G,$X57))</f>
        <v>High</v>
      </c>
      <c r="G57" s="10" t="str">
        <f>IF($X57="","",INDEX(Assessment!$J:$J,$X57))</f>
        <v>Implement the reporting procedure: awareness criteria, 24h / 72h / 14-day (vulnerability) and 24h / 72h / one-month (incident) timelines, platform accounts, templates, approvals and 24/7 escalation; rehearse it.</v>
      </c>
      <c r="H57" s="10" t="str">
        <f>IF($X57="","",INDEX(Assessment!$L:$L,$X57))</f>
        <v>PSIRT Lead / Compliance Officer</v>
      </c>
      <c r="I57" s="10" t="str">
        <f>IF($X57="","",INDEX(Assessment!$N:$N,$X57))</f>
        <v>M</v>
      </c>
      <c r="X57">
        <f>IF(41&lt;=$B$6,SMALL($Y$2:$Y$593,41),IF(41&lt;=$B$6+$B$7,SMALL($Z$2:$Z$593,41-$B$6),""))</f>
        <v>57</v>
      </c>
      <c r="Y57" t="str">
        <f>IF(Assessment!$G57="Critical",ROW(Assessment!$G57),"")</f>
        <v/>
      </c>
      <c r="Z57">
        <f>IF(Assessment!$G57="High",ROW(Assessment!$G57),"")</f>
        <v>57</v>
      </c>
    </row>
    <row r="58" spans="1:26" x14ac:dyDescent="0.25">
      <c r="A58" s="10">
        <f>IF($X58="","",42)</f>
        <v>42</v>
      </c>
      <c r="B58" s="10" t="str">
        <f>IF($X58="","",INDEX(Assessment!$A:$A,$X58))</f>
        <v>TR1-051</v>
      </c>
      <c r="C58" s="10" t="str">
        <f>IF($X58="","",INDEX(Assessment!$B:$B,$X58))</f>
        <v>BSI TR-03183-1 v1.0.0</v>
      </c>
      <c r="D58" s="10" t="str">
        <f>IF($X58="","",INDEX(Assessment!$C:$C,$X58))</f>
        <v>3.6 Obligations of the manufacturer - Additional obligations for third-party components</v>
      </c>
      <c r="E58" s="10" t="str">
        <f>IF($X58="","",INDEX(Assessment!$F:$F,$X58))</f>
        <v>Upstream vulnerability reporting</v>
      </c>
      <c r="F58" s="10" t="str">
        <f>IF($X58="","",INDEX(Assessment!$G:$G,$X58))</f>
        <v>High</v>
      </c>
      <c r="G58" s="10" t="str">
        <f>IF($X58="","",INDEX(Assessment!$J:$J,$X58))</f>
        <v>Monitor supplier advisories and end-of-life dates; report found vulnerabilities upstream and track responses.</v>
      </c>
      <c r="H58" s="10" t="str">
        <f>IF($X58="","",INDEX(Assessment!$L:$L,$X58))</f>
        <v>PSIRT Lead</v>
      </c>
      <c r="I58" s="10" t="str">
        <f>IF($X58="","",INDEX(Assessment!$N:$N,$X58))</f>
        <v>M</v>
      </c>
      <c r="X58">
        <f>IF(42&lt;=$B$6,SMALL($Y$2:$Y$593,42),IF(42&lt;=$B$6+$B$7,SMALL($Z$2:$Z$593,42-$B$6),""))</f>
        <v>62</v>
      </c>
      <c r="Y58" t="str">
        <f>IF(Assessment!$G58="Critical",ROW(Assessment!$G58),"")</f>
        <v/>
      </c>
      <c r="Z58" t="str">
        <f>IF(Assessment!$G58="High",ROW(Assessment!$G58),"")</f>
        <v/>
      </c>
    </row>
    <row r="59" spans="1:26" x14ac:dyDescent="0.25">
      <c r="A59" s="10">
        <f>IF($X59="","",43)</f>
        <v>43</v>
      </c>
      <c r="B59" s="10" t="str">
        <f>IF($X59="","",INDEX(Assessment!$A:$A,$X59))</f>
        <v>TR1-066</v>
      </c>
      <c r="C59" s="10" t="str">
        <f>IF($X59="","",INDEX(Assessment!$B:$B,$X59))</f>
        <v>BSI TR-03183-1 v1.0.0</v>
      </c>
      <c r="D59" s="10" t="str">
        <f>IF($X59="","",INDEX(Assessment!$C:$C,$X59))</f>
        <v>3.9 The Essential Requirements</v>
      </c>
      <c r="E59" s="10" t="str">
        <f>IF($X59="","",INDEX(Assessment!$F:$F,$X59))</f>
        <v>Lifecycle responsibility</v>
      </c>
      <c r="F59" s="10" t="str">
        <f>IF($X59="","",INDEX(Assessment!$G:$G,$X59))</f>
        <v>High</v>
      </c>
      <c r="G59" s="10" t="str">
        <f>IF($X59="","",INDEX(Assessment!$J:$J,$X59))</f>
        <v>Plan PSIRT and engineering capacity per supported release line until its support end date.</v>
      </c>
      <c r="H59" s="10" t="str">
        <f>IF($X59="","",INDEX(Assessment!$L:$L,$X59))</f>
        <v>Service Delivery Manager / PSIRT Lead</v>
      </c>
      <c r="I59" s="10" t="str">
        <f>IF($X59="","",INDEX(Assessment!$N:$N,$X59))</f>
        <v>M</v>
      </c>
      <c r="X59">
        <f>IF(43&lt;=$B$6,SMALL($Y$2:$Y$593,43),IF(43&lt;=$B$6+$B$7,SMALL($Z$2:$Z$593,43-$B$6),""))</f>
        <v>78</v>
      </c>
      <c r="Y59" t="str">
        <f>IF(Assessment!$G59="Critical",ROW(Assessment!$G59),"")</f>
        <v/>
      </c>
      <c r="Z59" t="str">
        <f>IF(Assessment!$G59="High",ROW(Assessment!$G59),"")</f>
        <v/>
      </c>
    </row>
    <row r="60" spans="1:26" x14ac:dyDescent="0.25">
      <c r="A60" s="10">
        <f>IF($X60="","",44)</f>
        <v>44</v>
      </c>
      <c r="B60" s="10" t="str">
        <f>IF($X60="","",INDEX(Assessment!$A:$A,$X60))</f>
        <v>TR1-067</v>
      </c>
      <c r="C60" s="10" t="str">
        <f>IF($X60="","",INDEX(Assessment!$B:$B,$X60))</f>
        <v>BSI TR-03183-1 v1.0.0</v>
      </c>
      <c r="D60" s="10" t="str">
        <f>IF($X60="","",INDEX(Assessment!$C:$C,$X60))</f>
        <v>3.9 The Essential Requirements</v>
      </c>
      <c r="E60" s="10" t="str">
        <f>IF($X60="","",INDEX(Assessment!$F:$F,$X60))</f>
        <v>Vulnerability handling (Annex I Part II)</v>
      </c>
      <c r="F60" s="10" t="str">
        <f>IF($X60="","",INDEX(Assessment!$G:$G,$X60))</f>
        <v>High</v>
      </c>
      <c r="G60" s="10" t="str">
        <f>IF($X60="","",INDEX(Assessment!$J:$J,$X60))</f>
        <v>Implement, document and operate: a vulnerability handling process must be in place before placing on the market to avoid known exploitable vulnerabilities.</v>
      </c>
      <c r="H60" s="10" t="str">
        <f>IF($X60="","",INDEX(Assessment!$L:$L,$X60))</f>
        <v>PSIRT Lead</v>
      </c>
      <c r="I60" s="10" t="str">
        <f>IF($X60="","",INDEX(Assessment!$N:$N,$X60))</f>
        <v>M</v>
      </c>
      <c r="X60">
        <f>IF(44&lt;=$B$6,SMALL($Y$2:$Y$593,44),IF(44&lt;=$B$6+$B$7,SMALL($Z$2:$Z$593,44-$B$6),""))</f>
        <v>79</v>
      </c>
      <c r="Y60" t="str">
        <f>IF(Assessment!$G60="Critical",ROW(Assessment!$G60),"")</f>
        <v/>
      </c>
      <c r="Z60" t="str">
        <f>IF(Assessment!$G60="High",ROW(Assessment!$G60),"")</f>
        <v/>
      </c>
    </row>
    <row r="61" spans="1:26" x14ac:dyDescent="0.25">
      <c r="A61" s="10">
        <f>IF($X61="","",45)</f>
        <v>45</v>
      </c>
      <c r="B61" s="10" t="str">
        <f>IF($X61="","",INDEX(Assessment!$A:$A,$X61))</f>
        <v>TR1-068</v>
      </c>
      <c r="C61" s="10" t="str">
        <f>IF($X61="","",INDEX(Assessment!$B:$B,$X61))</f>
        <v>BSI TR-03183-1 v1.0.0</v>
      </c>
      <c r="D61" s="10" t="str">
        <f>IF($X61="","",INDEX(Assessment!$C:$C,$X61))</f>
        <v>3.9 The Essential Requirements</v>
      </c>
      <c r="E61" s="10" t="str">
        <f>IF($X61="","",INDEX(Assessment!$F:$F,$X61))</f>
        <v>Vulnerability handling (Annex I Part II)</v>
      </c>
      <c r="F61" s="10" t="str">
        <f>IF($X61="","",INDEX(Assessment!$G:$G,$X61))</f>
        <v>High</v>
      </c>
      <c r="G61" s="10" t="str">
        <f>IF($X61="","",INDEX(Assessment!$J:$J,$X61))</f>
        <v>Implement, document and operate: Part II requires identifying, addressing and remediating vulnerabilities.</v>
      </c>
      <c r="H61" s="10" t="str">
        <f>IF($X61="","",INDEX(Assessment!$L:$L,$X61))</f>
        <v>PSIRT Lead</v>
      </c>
      <c r="I61" s="10" t="str">
        <f>IF($X61="","",INDEX(Assessment!$N:$N,$X61))</f>
        <v>M</v>
      </c>
      <c r="X61">
        <f>IF(45&lt;=$B$6,SMALL($Y$2:$Y$593,45),IF(45&lt;=$B$6+$B$7,SMALL($Z$2:$Z$593,45-$B$6),""))</f>
        <v>80</v>
      </c>
      <c r="Y61" t="str">
        <f>IF(Assessment!$G61="Critical",ROW(Assessment!$G61),"")</f>
        <v/>
      </c>
      <c r="Z61" t="str">
        <f>IF(Assessment!$G61="High",ROW(Assessment!$G61),"")</f>
        <v/>
      </c>
    </row>
    <row r="62" spans="1:26" x14ac:dyDescent="0.25">
      <c r="A62" s="10">
        <f>IF($X62="","",46)</f>
        <v>46</v>
      </c>
      <c r="B62" s="10" t="str">
        <f>IF($X62="","",INDEX(Assessment!$A:$A,$X62))</f>
        <v>TR1-072</v>
      </c>
      <c r="C62" s="10" t="str">
        <f>IF($X62="","",INDEX(Assessment!$B:$B,$X62))</f>
        <v>BSI TR-03183-1 v1.0.0</v>
      </c>
      <c r="D62" s="10" t="str">
        <f>IF($X62="","",INDEX(Assessment!$C:$C,$X62))</f>
        <v>3.10 Consequences of Non-Compliance</v>
      </c>
      <c r="E62" s="10" t="str">
        <f>IF($X62="","",INDEX(Assessment!$F:$F,$X62))</f>
        <v>Market surveillance cooperation</v>
      </c>
      <c r="F62" s="10" t="str">
        <f>IF($X62="","",INDEX(Assessment!$G:$G,$X62))</f>
        <v>High</v>
      </c>
      <c r="G62" s="10" t="str">
        <f>IF($X62="","",INDEX(Assessment!$J:$J,$X62))</f>
        <v>Define an authority-request and corrective-action procedure (single point of contact, escalation, recall decision).</v>
      </c>
      <c r="H62" s="10" t="str">
        <f>IF($X62="","",INDEX(Assessment!$L:$L,$X62))</f>
        <v>Compliance Officer / PSIRT Lead</v>
      </c>
      <c r="I62" s="10" t="str">
        <f>IF($X62="","",INDEX(Assessment!$N:$N,$X62))</f>
        <v>M</v>
      </c>
      <c r="X62">
        <f>IF(46&lt;=$B$6,SMALL($Y$2:$Y$593,46),IF(46&lt;=$B$6+$B$7,SMALL($Z$2:$Z$593,46-$B$6),""))</f>
        <v>84</v>
      </c>
      <c r="Y62" t="str">
        <f>IF(Assessment!$G62="Critical",ROW(Assessment!$G62),"")</f>
        <v/>
      </c>
      <c r="Z62">
        <f>IF(Assessment!$G62="High",ROW(Assessment!$G62),"")</f>
        <v>62</v>
      </c>
    </row>
    <row r="63" spans="1:26" x14ac:dyDescent="0.25">
      <c r="A63" s="10">
        <f>IF($X63="","",47)</f>
        <v>47</v>
      </c>
      <c r="B63" s="10" t="str">
        <f>IF($X63="","",INDEX(Assessment!$A:$A,$X63))</f>
        <v>TR1-117-b</v>
      </c>
      <c r="C63" s="10" t="str">
        <f>IF($X63="","",INDEX(Assessment!$B:$B,$X63))</f>
        <v>BSI TR-03183-1 v1.0.0</v>
      </c>
      <c r="D63" s="10" t="str">
        <f>IF($X63="","",INDEX(Assessment!$C:$C,$X63))</f>
        <v>5.7.1 Intended purpose and reasonable foreseeable use</v>
      </c>
      <c r="E63" s="10" t="str">
        <f>IF($X63="","",INDEX(Assessment!$F:$F,$X63))</f>
        <v>Vulnerability handling (Annex I Part II)</v>
      </c>
      <c r="F63" s="10" t="str">
        <f>IF($X63="","",INDEX(Assessment!$G:$G,$X63))</f>
        <v>High</v>
      </c>
      <c r="G63" s="10" t="str">
        <f>IF($X63="","",INDEX(Assessment!$J:$J,$X63))</f>
        <v>Implement, document and operate: the manufacturer's processes must comply with the essential requirements.</v>
      </c>
      <c r="H63" s="10" t="str">
        <f>IF($X63="","",INDEX(Assessment!$L:$L,$X63))</f>
        <v>PSIRT Lead</v>
      </c>
      <c r="I63" s="10" t="str">
        <f>IF($X63="","",INDEX(Assessment!$N:$N,$X63))</f>
        <v>M</v>
      </c>
      <c r="X63">
        <f>IF(47&lt;=$B$6,SMALL($Y$2:$Y$593,47),IF(47&lt;=$B$6+$B$7,SMALL($Z$2:$Z$593,47-$B$6),""))</f>
        <v>133</v>
      </c>
      <c r="Y63" t="str">
        <f>IF(Assessment!$G63="Critical",ROW(Assessment!$G63),"")</f>
        <v/>
      </c>
      <c r="Z63" t="str">
        <f>IF(Assessment!$G63="High",ROW(Assessment!$G63),"")</f>
        <v/>
      </c>
    </row>
    <row r="64" spans="1:26" x14ac:dyDescent="0.25">
      <c r="A64" s="10">
        <f>IF($X64="","",48)</f>
        <v>48</v>
      </c>
      <c r="B64" s="10" t="str">
        <f>IF($X64="","",INDEX(Assessment!$A:$A,$X64))</f>
        <v>TR1-156</v>
      </c>
      <c r="C64" s="10" t="str">
        <f>IF($X64="","",INDEX(Assessment!$B:$B,$X64))</f>
        <v>BSI TR-03183-1 v1.0.0</v>
      </c>
      <c r="D64" s="10" t="str">
        <f>IF($X64="","",INDEX(Assessment!$C:$C,$X64))</f>
        <v>5.13.1 Update Risk Assessment - General</v>
      </c>
      <c r="E64" s="10" t="str">
        <f>IF($X64="","",INDEX(Assessment!$F:$F,$X64))</f>
        <v>Risk assessment - update</v>
      </c>
      <c r="F64" s="10" t="str">
        <f>IF($X64="","",INDEX(Assessment!$G:$G,$X64))</f>
        <v>High</v>
      </c>
      <c r="G64" s="10" t="str">
        <f>IF($X64="","",INDEX(Assessment!$J:$J,$X64))</f>
        <v>Operate SBOM-based continuous vulnerability monitoring, periodic security reviews and remediation for all supported releases.</v>
      </c>
      <c r="H64" s="10" t="str">
        <f>IF($X64="","",INDEX(Assessment!$L:$L,$X64))</f>
        <v>PSIRT Lead / Product Security Officer</v>
      </c>
      <c r="I64" s="10" t="str">
        <f>IF($X64="","",INDEX(Assessment!$N:$N,$X64))</f>
        <v>M</v>
      </c>
      <c r="X64">
        <f>IF(48&lt;=$B$6,SMALL($Y$2:$Y$593,48),IF(48&lt;=$B$6+$B$7,SMALL($Z$2:$Z$593,48-$B$6),""))</f>
        <v>191</v>
      </c>
      <c r="Y64" t="str">
        <f>IF(Assessment!$G64="Critical",ROW(Assessment!$G64),"")</f>
        <v/>
      </c>
      <c r="Z64" t="str">
        <f>IF(Assessment!$G64="High",ROW(Assessment!$G64),"")</f>
        <v/>
      </c>
    </row>
    <row r="65" spans="1:26" x14ac:dyDescent="0.25">
      <c r="A65" s="10">
        <f>IF($X65="","",49)</f>
        <v>49</v>
      </c>
      <c r="B65" s="10" t="str">
        <f>IF($X65="","",INDEX(Assessment!$A:$A,$X65))</f>
        <v>TR1-158</v>
      </c>
      <c r="C65" s="10" t="str">
        <f>IF($X65="","",INDEX(Assessment!$B:$B,$X65))</f>
        <v>BSI TR-03183-1 v1.0.0</v>
      </c>
      <c r="D65" s="10" t="str">
        <f>IF($X65="","",INDEX(Assessment!$C:$C,$X65))</f>
        <v>5.13.1 Update Risk Assessment - General (trigger)</v>
      </c>
      <c r="E65" s="10" t="str">
        <f>IF($X65="","",INDEX(Assessment!$F:$F,$X65))</f>
        <v>Risk assessment - update</v>
      </c>
      <c r="F65" s="10" t="str">
        <f>IF($X65="","",INDEX(Assessment!$G:$G,$X65))</f>
        <v>High</v>
      </c>
      <c r="G65" s="10" t="str">
        <f>IF($X65="","",INDEX(Assessment!$J:$J,$X65))</f>
        <v>Operate SBOM-based continuous vulnerability monitoring, periodic security reviews and remediation for all supported releases.</v>
      </c>
      <c r="H65" s="10" t="str">
        <f>IF($X65="","",INDEX(Assessment!$L:$L,$X65))</f>
        <v>PSIRT Lead / Product Security Officer</v>
      </c>
      <c r="I65" s="10" t="str">
        <f>IF($X65="","",INDEX(Assessment!$N:$N,$X65))</f>
        <v>M</v>
      </c>
      <c r="X65">
        <f>IF(49&lt;=$B$6,SMALL($Y$2:$Y$593,49),IF(49&lt;=$B$6+$B$7,SMALL($Z$2:$Z$593,49-$B$6),""))</f>
        <v>193</v>
      </c>
      <c r="Y65" t="str">
        <f>IF(Assessment!$G65="Critical",ROW(Assessment!$G65),"")</f>
        <v/>
      </c>
      <c r="Z65" t="str">
        <f>IF(Assessment!$G65="High",ROW(Assessment!$G65),"")</f>
        <v/>
      </c>
    </row>
    <row r="66" spans="1:26" x14ac:dyDescent="0.25">
      <c r="A66" s="10">
        <f>IF($X66="","",50)</f>
        <v>50</v>
      </c>
      <c r="B66" s="10" t="str">
        <f>IF($X66="","",INDEX(Assessment!$A:$A,$X66))</f>
        <v>RH_UPD.1-a</v>
      </c>
      <c r="C66" s="10" t="str">
        <f>IF($X66="","",INDEX(Assessment!$B:$B,$X66))</f>
        <v>BSI TR-03183-1 v1.0.0</v>
      </c>
      <c r="D66" s="10" t="str">
        <f>IF($X66="","",INDEX(Assessment!$C:$C,$X66))</f>
        <v>5.13.3 Control - RH_UPD.1 Update Risk Assessment (Activity)</v>
      </c>
      <c r="E66" s="10" t="str">
        <f>IF($X66="","",INDEX(Assessment!$F:$F,$X66))</f>
        <v>Risk assessment - update</v>
      </c>
      <c r="F66" s="10" t="str">
        <f>IF($X66="","",INDEX(Assessment!$G:$G,$X66))</f>
        <v>High</v>
      </c>
      <c r="G66" s="10" t="str">
        <f>IF($X66="","",INDEX(Assessment!$J:$J,$X66))</f>
        <v>Trigger risk-assessment updates from PSIRT cases and threat intelligence.</v>
      </c>
      <c r="H66" s="10" t="str">
        <f>IF($X66="","",INDEX(Assessment!$L:$L,$X66))</f>
        <v>Product Security Officer</v>
      </c>
      <c r="I66" s="10" t="str">
        <f>IF($X66="","",INDEX(Assessment!$N:$N,$X66))</f>
        <v>M</v>
      </c>
      <c r="X66">
        <f>IF(50&lt;=$B$6,SMALL($Y$2:$Y$593,50),IF(50&lt;=$B$6+$B$7,SMALL($Z$2:$Z$593,50-$B$6),""))</f>
        <v>196</v>
      </c>
      <c r="Y66" t="str">
        <f>IF(Assessment!$G66="Critical",ROW(Assessment!$G66),"")</f>
        <v/>
      </c>
      <c r="Z66" t="str">
        <f>IF(Assessment!$G66="High",ROW(Assessment!$G66),"")</f>
        <v/>
      </c>
    </row>
    <row r="67" spans="1:26" x14ac:dyDescent="0.25">
      <c r="A67" s="10">
        <f>IF($X67="","",51)</f>
        <v>51</v>
      </c>
      <c r="B67" s="10" t="str">
        <f>IF($X67="","",INDEX(Assessment!$A:$A,$X67))</f>
        <v>RH_UPD.1-b</v>
      </c>
      <c r="C67" s="10" t="str">
        <f>IF($X67="","",INDEX(Assessment!$B:$B,$X67))</f>
        <v>BSI TR-03183-1 v1.0.0</v>
      </c>
      <c r="D67" s="10" t="str">
        <f>IF($X67="","",INDEX(Assessment!$C:$C,$X67))</f>
        <v>5.13.3 Control - RH_UPD.1 Update Risk Assessment (Activity)</v>
      </c>
      <c r="E67" s="10" t="str">
        <f>IF($X67="","",INDEX(Assessment!$F:$F,$X67))</f>
        <v>Risk treatment</v>
      </c>
      <c r="F67" s="10" t="str">
        <f>IF($X67="","",INDEX(Assessment!$G:$G,$X67))</f>
        <v>High</v>
      </c>
      <c r="G67" s="10" t="str">
        <f>IF($X67="","",INDEX(Assessment!$J:$J,$X67))</f>
        <v>Treat post-market risks via fixes, mitigations or documented acceptance.</v>
      </c>
      <c r="H67" s="10" t="str">
        <f>IF($X67="","",INDEX(Assessment!$L:$L,$X67))</f>
        <v>Product Security Officer</v>
      </c>
      <c r="I67" s="10" t="str">
        <f>IF($X67="","",INDEX(Assessment!$N:$N,$X67))</f>
        <v>M</v>
      </c>
      <c r="X67">
        <f>IF(51&lt;=$B$6,SMALL($Y$2:$Y$593,51),IF(51&lt;=$B$6+$B$7,SMALL($Z$2:$Z$593,51-$B$6),""))</f>
        <v>197</v>
      </c>
      <c r="Y67" t="str">
        <f>IF(Assessment!$G67="Critical",ROW(Assessment!$G67),"")</f>
        <v/>
      </c>
      <c r="Z67" t="str">
        <f>IF(Assessment!$G67="High",ROW(Assessment!$G67),"")</f>
        <v/>
      </c>
    </row>
    <row r="68" spans="1:26" x14ac:dyDescent="0.25">
      <c r="A68" s="10">
        <f>IF($X68="","",52)</f>
        <v>52</v>
      </c>
      <c r="B68" s="10" t="str">
        <f>IF($X68="","",INDEX(Assessment!$A:$A,$X68))</f>
        <v>ER.1</v>
      </c>
      <c r="C68" s="10" t="str">
        <f>IF($X68="","",INDEX(Assessment!$B:$B,$X68))</f>
        <v>BSI TR-03183-1 v1.0.0</v>
      </c>
      <c r="D68" s="10" t="str">
        <f>IF($X68="","",INDEX(Assessment!$C:$C,$X68))</f>
        <v>Annex B Table 9 (CRA Annex I Part I (2)(a)); text also in 3.9</v>
      </c>
      <c r="E68" s="10" t="str">
        <f>IF($X68="","",INDEX(Assessment!$F:$F,$X68))</f>
        <v>Essential requirements - no known exploitable vulnerabilities</v>
      </c>
      <c r="F68" s="10" t="str">
        <f>IF($X68="","",INDEX(Assessment!$G:$G,$X68))</f>
        <v>High</v>
      </c>
      <c r="G68" s="10" t="str">
        <f>IF($X68="","",INDEX(Assessment!$J:$J,$X68))</f>
        <v>Check in regression and post-market reviews that updates do not weaken the property.</v>
      </c>
      <c r="H68" s="10" t="str">
        <f>IF($X68="","",INDEX(Assessment!$L:$L,$X68))</f>
        <v>PSIRT Lead / QA Lead</v>
      </c>
      <c r="I68" s="10" t="str">
        <f>IF($X68="","",INDEX(Assessment!$N:$N,$X68))</f>
        <v>M</v>
      </c>
      <c r="X68">
        <f>IF(52&lt;=$B$6,SMALL($Y$2:$Y$593,52),IF(52&lt;=$B$6+$B$7,SMALL($Z$2:$Z$593,52-$B$6),""))</f>
        <v>231</v>
      </c>
      <c r="Y68" t="str">
        <f>IF(Assessment!$G68="Critical",ROW(Assessment!$G68),"")</f>
        <v/>
      </c>
      <c r="Z68" t="str">
        <f>IF(Assessment!$G68="High",ROW(Assessment!$G68),"")</f>
        <v/>
      </c>
    </row>
    <row r="69" spans="1:26" x14ac:dyDescent="0.25">
      <c r="A69" s="10">
        <f>IF($X69="","",53)</f>
        <v>53</v>
      </c>
      <c r="B69" s="10" t="str">
        <f>IF($X69="","",INDEX(Assessment!$A:$A,$X69))</f>
        <v>ER.4</v>
      </c>
      <c r="C69" s="10" t="str">
        <f>IF($X69="","",INDEX(Assessment!$B:$B,$X69))</f>
        <v>BSI TR-03183-1 v1.0.0</v>
      </c>
      <c r="D69" s="10" t="str">
        <f>IF($X69="","",INDEX(Assessment!$C:$C,$X69))</f>
        <v>Annex B Table 9 (CRA Annex I Part I (2)(c)); text also in 3.9</v>
      </c>
      <c r="E69" s="10" t="str">
        <f>IF($X69="","",INDEX(Assessment!$F:$F,$X69))</f>
        <v>Essential requirements - security updates</v>
      </c>
      <c r="F69" s="10" t="str">
        <f>IF($X69="","",INDEX(Assessment!$G:$G,$X69))</f>
        <v>High</v>
      </c>
      <c r="G69" s="10" t="str">
        <f>IF($X69="","",INDEX(Assessment!$J:$J,$X69))</f>
        <v>Operate update distribution and track installation status per site.</v>
      </c>
      <c r="H69" s="10" t="str">
        <f>IF($X69="","",INDEX(Assessment!$L:$L,$X69))</f>
        <v>Service Delivery Manager</v>
      </c>
      <c r="I69" s="10" t="str">
        <f>IF($X69="","",INDEX(Assessment!$N:$N,$X69))</f>
        <v>M</v>
      </c>
      <c r="X69">
        <f>IF(53&lt;=$B$6,SMALL($Y$2:$Y$593,53),IF(53&lt;=$B$6+$B$7,SMALL($Z$2:$Z$593,53-$B$6),""))</f>
        <v>234</v>
      </c>
      <c r="Y69" t="str">
        <f>IF(Assessment!$G69="Critical",ROW(Assessment!$G69),"")</f>
        <v/>
      </c>
      <c r="Z69" t="str">
        <f>IF(Assessment!$G69="High",ROW(Assessment!$G69),"")</f>
        <v/>
      </c>
    </row>
    <row r="70" spans="1:26" x14ac:dyDescent="0.25">
      <c r="A70" s="10">
        <f>IF($X70="","",54)</f>
        <v>54</v>
      </c>
      <c r="B70" s="10" t="str">
        <f>IF($X70="","",INDEX(Assessment!$A:$A,$X70))</f>
        <v>ER.4c</v>
      </c>
      <c r="C70" s="10" t="str">
        <f>IF($X70="","",INDEX(Assessment!$B:$B,$X70))</f>
        <v>BSI TR-03183-1 v1.0.0</v>
      </c>
      <c r="D70" s="10" t="str">
        <f>IF($X70="","",INDEX(Assessment!$C:$C,$X70))</f>
        <v>Annex B Table 9 (CRA Annex I Part I (2)(c)); text also in 3.9</v>
      </c>
      <c r="E70" s="10" t="str">
        <f>IF($X70="","",INDEX(Assessment!$F:$F,$X70))</f>
        <v>Essential requirements - security updates</v>
      </c>
      <c r="F70" s="10" t="str">
        <f>IF($X70="","",INDEX(Assessment!$G:$G,$X70))</f>
        <v>High</v>
      </c>
      <c r="G70" s="10" t="str">
        <f>IF($X70="","",INDEX(Assessment!$J:$J,$X70))</f>
        <v>Operate update distribution and track installation status per site.</v>
      </c>
      <c r="H70" s="10" t="str">
        <f>IF($X70="","",INDEX(Assessment!$L:$L,$X70))</f>
        <v>Service Delivery Manager</v>
      </c>
      <c r="I70" s="10" t="str">
        <f>IF($X70="","",INDEX(Assessment!$N:$N,$X70))</f>
        <v>M</v>
      </c>
      <c r="X70">
        <f>IF(54&lt;=$B$6,SMALL($Y$2:$Y$593,54),IF(54&lt;=$B$6+$B$7,SMALL($Z$2:$Z$593,54-$B$6),""))</f>
        <v>237</v>
      </c>
      <c r="Y70" t="str">
        <f>IF(Assessment!$G70="Critical",ROW(Assessment!$G70),"")</f>
        <v/>
      </c>
      <c r="Z70" t="str">
        <f>IF(Assessment!$G70="High",ROW(Assessment!$G70),"")</f>
        <v/>
      </c>
    </row>
    <row r="71" spans="1:26" x14ac:dyDescent="0.25">
      <c r="A71" s="10">
        <f>IF($X71="","",55)</f>
        <v>55</v>
      </c>
      <c r="B71" s="10" t="str">
        <f>IF($X71="","",INDEX(Assessment!$A:$A,$X71))</f>
        <v>ER.9</v>
      </c>
      <c r="C71" s="10" t="str">
        <f>IF($X71="","",INDEX(Assessment!$B:$B,$X71))</f>
        <v>BSI TR-03183-1 v1.0.0</v>
      </c>
      <c r="D71" s="10" t="str">
        <f>IF($X71="","",INDEX(Assessment!$C:$C,$X71))</f>
        <v>Annex B Table 9 (CRA Annex I Part I (2)(h)); text also in 3.9</v>
      </c>
      <c r="E71" s="10" t="str">
        <f>IF($X71="","",INDEX(Assessment!$F:$F,$X71))</f>
        <v>Essential requirements - availability &amp; resilience</v>
      </c>
      <c r="F71" s="10" t="str">
        <f>IF($X71="","",INDEX(Assessment!$G:$G,$X71))</f>
        <v>High</v>
      </c>
      <c r="G71" s="10" t="str">
        <f>IF($X71="","",INDEX(Assessment!$J:$J,$X71))</f>
        <v>Check in regression and post-market reviews that updates do not weaken the property.</v>
      </c>
      <c r="H71" s="10" t="str">
        <f>IF($X71="","",INDEX(Assessment!$L:$L,$X71))</f>
        <v>PSIRT Lead / QA Lead</v>
      </c>
      <c r="I71" s="10" t="str">
        <f>IF($X71="","",INDEX(Assessment!$N:$N,$X71))</f>
        <v>M</v>
      </c>
      <c r="X71">
        <f>IF(55&lt;=$B$6,SMALL($Y$2:$Y$593,55),IF(55&lt;=$B$6+$B$7,SMALL($Z$2:$Z$593,55-$B$6),""))</f>
        <v>246</v>
      </c>
      <c r="Y71" t="str">
        <f>IF(Assessment!$G71="Critical",ROW(Assessment!$G71),"")</f>
        <v/>
      </c>
      <c r="Z71" t="str">
        <f>IF(Assessment!$G71="High",ROW(Assessment!$G71),"")</f>
        <v/>
      </c>
    </row>
    <row r="72" spans="1:26" x14ac:dyDescent="0.25">
      <c r="A72" s="10">
        <f>IF($X72="","",56)</f>
        <v>56</v>
      </c>
      <c r="B72" s="10" t="str">
        <f>IF($X72="","",INDEX(Assessment!$A:$A,$X72))</f>
        <v>VH.1a</v>
      </c>
      <c r="C72" s="10" t="str">
        <f>IF($X72="","",INDEX(Assessment!$B:$B,$X72))</f>
        <v>BSI TR-03183-1 v1.0.0</v>
      </c>
      <c r="D72" s="10" t="str">
        <f>IF($X72="","",INDEX(Assessment!$C:$C,$X72))</f>
        <v>Annex B Table 10 (CRA Annex I Part II (1)); text also in 3.9</v>
      </c>
      <c r="E72" s="10" t="str">
        <f>IF($X72="","",INDEX(Assessment!$F:$F,$X72))</f>
        <v>SBOM (CRA)</v>
      </c>
      <c r="F72" s="10" t="str">
        <f>IF($X72="","",INDEX(Assessment!$G:$G,$X72))</f>
        <v>High</v>
      </c>
      <c r="G72" s="10" t="str">
        <f>IF($X72="","",INDEX(Assessment!$J:$J,$X72))</f>
        <v>Implement, document and operate: draw up an SBOM in a commonly used machine-readable format covering at least top-level dependencies.</v>
      </c>
      <c r="H72" s="10" t="str">
        <f>IF($X72="","",INDEX(Assessment!$L:$L,$X72))</f>
        <v>PSIRT Lead</v>
      </c>
      <c r="I72" s="10" t="str">
        <f>IF($X72="","",INDEX(Assessment!$N:$N,$X72))</f>
        <v>M</v>
      </c>
      <c r="X72">
        <f>IF(56&lt;=$B$6,SMALL($Y$2:$Y$593,56),IF(56&lt;=$B$6+$B$7,SMALL($Z$2:$Z$593,56-$B$6),""))</f>
        <v>258</v>
      </c>
      <c r="Y72" t="str">
        <f>IF(Assessment!$G72="Critical",ROW(Assessment!$G72),"")</f>
        <v/>
      </c>
      <c r="Z72" t="str">
        <f>IF(Assessment!$G72="High",ROW(Assessment!$G72),"")</f>
        <v/>
      </c>
    </row>
    <row r="73" spans="1:26" x14ac:dyDescent="0.25">
      <c r="A73" s="10">
        <f>IF($X73="","",57)</f>
        <v>57</v>
      </c>
      <c r="B73" s="10" t="str">
        <f>IF($X73="","",INDEX(Assessment!$A:$A,$X73))</f>
        <v>VH.2a-b</v>
      </c>
      <c r="C73" s="10" t="str">
        <f>IF($X73="","",INDEX(Assessment!$B:$B,$X73))</f>
        <v>BSI TR-03183-1 v1.0.0</v>
      </c>
      <c r="D73" s="10" t="str">
        <f>IF($X73="","",INDEX(Assessment!$C:$C,$X73))</f>
        <v>Annex B Table 10 (CRA Annex I Part II (2)); text also in 3.9</v>
      </c>
      <c r="E73" s="10" t="str">
        <f>IF($X73="","",INDEX(Assessment!$F:$F,$X73))</f>
        <v>Vulnerability handling - separate security updates</v>
      </c>
      <c r="F73" s="10" t="str">
        <f>IF($X73="","",INDEX(Assessment!$G:$G,$X73))</f>
        <v>High</v>
      </c>
      <c r="G73" s="10" t="str">
        <f>IF($X73="","",INDEX(Assessment!$J:$J,$X73))</f>
        <v>Implement, document and operate: provide security updates separately from functionality updates where technically feasible.</v>
      </c>
      <c r="H73" s="10" t="str">
        <f>IF($X73="","",INDEX(Assessment!$L:$L,$X73))</f>
        <v>PSIRT Lead</v>
      </c>
      <c r="I73" s="10" t="str">
        <f>IF($X73="","",INDEX(Assessment!$N:$N,$X73))</f>
        <v>M</v>
      </c>
      <c r="X73">
        <f>IF(57&lt;=$B$6,SMALL($Y$2:$Y$593,57),IF(57&lt;=$B$6+$B$7,SMALL($Z$2:$Z$593,57-$B$6),""))</f>
        <v>260</v>
      </c>
      <c r="Y73" t="str">
        <f>IF(Assessment!$G73="Critical",ROW(Assessment!$G73),"")</f>
        <v/>
      </c>
      <c r="Z73" t="str">
        <f>IF(Assessment!$G73="High",ROW(Assessment!$G73),"")</f>
        <v/>
      </c>
    </row>
    <row r="74" spans="1:26" x14ac:dyDescent="0.25">
      <c r="A74" s="10">
        <f>IF($X74="","",58)</f>
        <v>58</v>
      </c>
      <c r="B74" s="10" t="str">
        <f>IF($X74="","",INDEX(Assessment!$A:$A,$X74))</f>
        <v>VH.6</v>
      </c>
      <c r="C74" s="10" t="str">
        <f>IF($X74="","",INDEX(Assessment!$B:$B,$X74))</f>
        <v>BSI TR-03183-1 v1.0.0</v>
      </c>
      <c r="D74" s="10" t="str">
        <f>IF($X74="","",INDEX(Assessment!$C:$C,$X74))</f>
        <v>Annex B Table 10 (CRA Annex I Part II (6)); text also in 3.9</v>
      </c>
      <c r="E74" s="10" t="str">
        <f>IF($X74="","",INDEX(Assessment!$F:$F,$X74))</f>
        <v>Vulnerability information sharing</v>
      </c>
      <c r="F74" s="10" t="str">
        <f>IF($X74="","",INDEX(Assessment!$G:$G,$X74))</f>
        <v>High</v>
      </c>
      <c r="G74" s="10" t="str">
        <f>IF($X74="","",INDEX(Assessment!$J:$J,$X74))</f>
        <v>Implement, document and operate: facilitate sharing information about potential vulnerabilities in the product and its third-party components.</v>
      </c>
      <c r="H74" s="10" t="str">
        <f>IF($X74="","",INDEX(Assessment!$L:$L,$X74))</f>
        <v>PSIRT Lead</v>
      </c>
      <c r="I74" s="10" t="str">
        <f>IF($X74="","",INDEX(Assessment!$N:$N,$X74))</f>
        <v>M</v>
      </c>
      <c r="X74">
        <f>IF(58&lt;=$B$6,SMALL($Y$2:$Y$593,58),IF(58&lt;=$B$6+$B$7,SMALL($Z$2:$Z$593,58-$B$6),""))</f>
        <v>265</v>
      </c>
      <c r="Y74" t="str">
        <f>IF(Assessment!$G74="Critical",ROW(Assessment!$G74),"")</f>
        <v/>
      </c>
      <c r="Z74" t="str">
        <f>IF(Assessment!$G74="High",ROW(Assessment!$G74),"")</f>
        <v/>
      </c>
    </row>
    <row r="75" spans="1:26" x14ac:dyDescent="0.25">
      <c r="A75" s="10">
        <f>IF($X75="","",59)</f>
        <v>59</v>
      </c>
      <c r="B75" s="10" t="str">
        <f>IF($X75="","",INDEX(Assessment!$A:$A,$X75))</f>
        <v>VH.8a-a</v>
      </c>
      <c r="C75" s="10" t="str">
        <f>IF($X75="","",INDEX(Assessment!$B:$B,$X75))</f>
        <v>BSI TR-03183-1 v1.0.0</v>
      </c>
      <c r="D75" s="10" t="str">
        <f>IF($X75="","",INDEX(Assessment!$C:$C,$X75))</f>
        <v>Annex B Table 10 (CRA Annex I Part II (8)); text also in 3.9</v>
      </c>
      <c r="E75" s="10" t="str">
        <f>IF($X75="","",INDEX(Assessment!$F:$F,$X75))</f>
        <v>Security updates - free of charge</v>
      </c>
      <c r="F75" s="10" t="str">
        <f>IF($X75="","",INDEX(Assessment!$G:$G,$X75))</f>
        <v>High</v>
      </c>
      <c r="G75" s="10" t="str">
        <f>IF($X75="","",INDEX(Assessment!$J:$J,$X75))</f>
        <v>Implement, document and operate: security updates free of charge unless otherwise agreed for tailor-made business products.</v>
      </c>
      <c r="H75" s="10" t="str">
        <f>IF($X75="","",INDEX(Assessment!$L:$L,$X75))</f>
        <v>PSIRT Lead</v>
      </c>
      <c r="I75" s="10" t="str">
        <f>IF($X75="","",INDEX(Assessment!$N:$N,$X75))</f>
        <v>M</v>
      </c>
      <c r="X75">
        <f>IF(59&lt;=$B$6,SMALL($Y$2:$Y$593,59),IF(59&lt;=$B$6+$B$7,SMALL($Z$2:$Z$593,59-$B$6),""))</f>
        <v>270</v>
      </c>
      <c r="Y75" t="str">
        <f>IF(Assessment!$G75="Critical",ROW(Assessment!$G75),"")</f>
        <v/>
      </c>
      <c r="Z75" t="str">
        <f>IF(Assessment!$G75="High",ROW(Assessment!$G75),"")</f>
        <v/>
      </c>
    </row>
    <row r="76" spans="1:26" x14ac:dyDescent="0.25">
      <c r="A76" s="10">
        <f>IF($X76="","",60)</f>
        <v>60</v>
      </c>
      <c r="B76" s="10" t="str">
        <f>IF($X76="","",INDEX(Assessment!$A:$A,$X76))</f>
        <v>VH.8a-b</v>
      </c>
      <c r="C76" s="10" t="str">
        <f>IF($X76="","",INDEX(Assessment!$B:$B,$X76))</f>
        <v>BSI TR-03183-1 v1.0.0</v>
      </c>
      <c r="D76" s="10" t="str">
        <f>IF($X76="","",INDEX(Assessment!$C:$C,$X76))</f>
        <v>Annex B Table 10 (CRA Annex I Part II (8)); text also in 3.9</v>
      </c>
      <c r="E76" s="10" t="str">
        <f>IF($X76="","",INDEX(Assessment!$F:$F,$X76))</f>
        <v>Security advisories</v>
      </c>
      <c r="F76" s="10" t="str">
        <f>IF($X76="","",INDEX(Assessment!$G:$G,$X76))</f>
        <v>High</v>
      </c>
      <c r="G76" s="10" t="str">
        <f>IF($X76="","",INDEX(Assessment!$J:$J,$X76))</f>
        <v>Implement, document and operate: accompany security updates with advisory messages incl. actions to take.</v>
      </c>
      <c r="H76" s="10" t="str">
        <f>IF($X76="","",INDEX(Assessment!$L:$L,$X76))</f>
        <v>PSIRT Lead</v>
      </c>
      <c r="I76" s="10" t="str">
        <f>IF($X76="","",INDEX(Assessment!$N:$N,$X76))</f>
        <v>M</v>
      </c>
      <c r="X76">
        <f>IF(60&lt;=$B$6,SMALL($Y$2:$Y$593,60),IF(60&lt;=$B$6+$B$7,SMALL($Z$2:$Z$593,60-$B$6),""))</f>
        <v>271</v>
      </c>
      <c r="Y76" t="str">
        <f>IF(Assessment!$G76="Critical",ROW(Assessment!$G76),"")</f>
        <v/>
      </c>
      <c r="Z76" t="str">
        <f>IF(Assessment!$G76="High",ROW(Assessment!$G76),"")</f>
        <v/>
      </c>
    </row>
    <row r="77" spans="1:26" x14ac:dyDescent="0.25">
      <c r="A77" s="10">
        <f>IF($X77="","",61)</f>
        <v>61</v>
      </c>
      <c r="B77" s="10" t="str">
        <f>IF($X77="","",INDEX(Assessment!$A:$A,$X77))</f>
        <v>TR2-003</v>
      </c>
      <c r="C77" s="10" t="str">
        <f>IF($X77="","",INDEX(Assessment!$B:$B,$X77))</f>
        <v>BSI TR-03183-2 v2.1.0</v>
      </c>
      <c r="D77" s="10" t="str">
        <f>IF($X77="","",INDEX(Assessment!$C:$C,$X77))</f>
        <v>1 Introduction</v>
      </c>
      <c r="E77" s="10" t="str">
        <f>IF($X77="","",INDEX(Assessment!$F:$F,$X77))</f>
        <v>SBOM - vulnerability information</v>
      </c>
      <c r="F77" s="10" t="str">
        <f>IF($X77="","",INDEX(Assessment!$G:$G,$X77))</f>
        <v>High</v>
      </c>
      <c r="G77" s="10" t="str">
        <f>IF($X77="","",INDEX(Assessment!$J:$J,$X77))</f>
        <v>Triage every SBOM-based match, record the exploitability decision, and publish product status as CSAF/VEX linked to SBOM component identifiers.</v>
      </c>
      <c r="H77" s="10" t="str">
        <f>IF($X77="","",INDEX(Assessment!$L:$L,$X77))</f>
        <v>PSIRT Lead</v>
      </c>
      <c r="I77" s="10" t="str">
        <f>IF($X77="","",INDEX(Assessment!$N:$N,$X77))</f>
        <v>M</v>
      </c>
      <c r="X77">
        <f>IF(61&lt;=$B$6,SMALL($Y$2:$Y$593,61),IF(61&lt;=$B$6+$B$7,SMALL($Z$2:$Z$593,61-$B$6),""))</f>
        <v>286</v>
      </c>
      <c r="Y77" t="str">
        <f>IF(Assessment!$G77="Critical",ROW(Assessment!$G77),"")</f>
        <v/>
      </c>
      <c r="Z77" t="str">
        <f>IF(Assessment!$G77="High",ROW(Assessment!$G77),"")</f>
        <v/>
      </c>
    </row>
    <row r="78" spans="1:26" x14ac:dyDescent="0.25">
      <c r="A78" s="10">
        <f>IF($X78="","",62)</f>
        <v>62</v>
      </c>
      <c r="B78" s="10" t="str">
        <f>IF($X78="","",INDEX(Assessment!$A:$A,$X78))</f>
        <v>TR2-005</v>
      </c>
      <c r="C78" s="10" t="str">
        <f>IF($X78="","",INDEX(Assessment!$B:$B,$X78))</f>
        <v>BSI TR-03183-2 v2.1.0</v>
      </c>
      <c r="D78" s="10" t="str">
        <f>IF($X78="","",INDEX(Assessment!$C:$C,$X78))</f>
        <v>1 Introduction</v>
      </c>
      <c r="E78" s="10" t="str">
        <f>IF($X78="","",INDEX(Assessment!$F:$F,$X78))</f>
        <v>SBOM - general</v>
      </c>
      <c r="F78" s="10" t="str">
        <f>IF($X78="","",INDEX(Assessment!$G:$G,$X78))</f>
        <v>High</v>
      </c>
      <c r="G78" s="10" t="str">
        <f>IF($X78="","",INDEX(Assessment!$J:$J,$X78))</f>
        <v>Load every released SBOM into the vulnerability monitoring tool; publish updated/corrected SBOMs with patch releases.</v>
      </c>
      <c r="H78" s="10" t="str">
        <f>IF($X78="","",INDEX(Assessment!$L:$L,$X78))</f>
        <v>PSIRT Lead</v>
      </c>
      <c r="I78" s="10" t="str">
        <f>IF($X78="","",INDEX(Assessment!$N:$N,$X78))</f>
        <v>M</v>
      </c>
      <c r="X78">
        <f>IF(62&lt;=$B$6,SMALL($Y$2:$Y$593,62),IF(62&lt;=$B$6+$B$7,SMALL($Z$2:$Z$593,62-$B$6),""))</f>
        <v>288</v>
      </c>
      <c r="Y78" t="str">
        <f>IF(Assessment!$G78="Critical",ROW(Assessment!$G78),"")</f>
        <v/>
      </c>
      <c r="Z78">
        <f>IF(Assessment!$G78="High",ROW(Assessment!$G78),"")</f>
        <v>78</v>
      </c>
    </row>
    <row r="79" spans="1:26" x14ac:dyDescent="0.25">
      <c r="A79" s="10">
        <f>IF($X79="","",63)</f>
        <v>63</v>
      </c>
      <c r="B79" s="10" t="str">
        <f>IF($X79="","",INDEX(Assessment!$A:$A,$X79))</f>
        <v>TR2-006-a</v>
      </c>
      <c r="C79" s="10" t="str">
        <f>IF($X79="","",INDEX(Assessment!$B:$B,$X79))</f>
        <v>BSI TR-03183-2 v2.1.0</v>
      </c>
      <c r="D79" s="10" t="str">
        <f>IF($X79="","",INDEX(Assessment!$C:$C,$X79))</f>
        <v>1 Introduction</v>
      </c>
      <c r="E79" s="10" t="str">
        <f>IF($X79="","",INDEX(Assessment!$F:$F,$X79))</f>
        <v>Vulnerability handling process</v>
      </c>
      <c r="F79" s="10" t="str">
        <f>IF($X79="","",INDEX(Assessment!$G:$G,$X79))</f>
        <v>High</v>
      </c>
      <c r="G79" s="10" t="str">
        <f>IF($X79="","",INDEX(Assessment!$J:$J,$X79))</f>
        <v>Establish and document the vulnerability handling chain: intake, triage, fix, release, secure distribution, installation tracking.</v>
      </c>
      <c r="H79" s="10" t="str">
        <f>IF($X79="","",INDEX(Assessment!$L:$L,$X79))</f>
        <v>PSIRT Lead</v>
      </c>
      <c r="I79" s="10" t="str">
        <f>IF($X79="","",INDEX(Assessment!$N:$N,$X79))</f>
        <v>M</v>
      </c>
      <c r="X79">
        <f>IF(63&lt;=$B$6,SMALL($Y$2:$Y$593,63),IF(63&lt;=$B$6+$B$7,SMALL($Z$2:$Z$593,63-$B$6),""))</f>
        <v>289</v>
      </c>
      <c r="Y79" t="str">
        <f>IF(Assessment!$G79="Critical",ROW(Assessment!$G79),"")</f>
        <v/>
      </c>
      <c r="Z79">
        <f>IF(Assessment!$G79="High",ROW(Assessment!$G79),"")</f>
        <v>79</v>
      </c>
    </row>
    <row r="80" spans="1:26" x14ac:dyDescent="0.25">
      <c r="A80" s="10">
        <f>IF($X80="","",64)</f>
        <v>64</v>
      </c>
      <c r="B80" s="10" t="str">
        <f>IF($X80="","",INDEX(Assessment!$A:$A,$X80))</f>
        <v>TR2-011</v>
      </c>
      <c r="C80" s="10" t="str">
        <f>IF($X80="","",INDEX(Assessment!$B:$B,$X80))</f>
        <v>BSI TR-03183-2 v2.1.0</v>
      </c>
      <c r="D80" s="10" t="str">
        <f>IF($X80="","",INDEX(Assessment!$C:$C,$X80))</f>
        <v>3.1 Definition of SBOM</v>
      </c>
      <c r="E80" s="10" t="str">
        <f>IF($X80="","",INDEX(Assessment!$F:$F,$X80))</f>
        <v>SBOM - per version</v>
      </c>
      <c r="F80" s="10" t="str">
        <f>IF($X80="","",INDEX(Assessment!$G:$G,$X80))</f>
        <v>High</v>
      </c>
      <c r="G80" s="10" t="str">
        <f>IF($X80="","",INDEX(Assessment!$J:$J,$X80))</f>
        <v>Load every released SBOM into the vulnerability monitoring tool; publish updated/corrected SBOMs with patch releases.</v>
      </c>
      <c r="H80" s="10" t="str">
        <f>IF($X80="","",INDEX(Assessment!$L:$L,$X80))</f>
        <v>PSIRT Lead</v>
      </c>
      <c r="I80" s="10" t="str">
        <f>IF($X80="","",INDEX(Assessment!$N:$N,$X80))</f>
        <v>M</v>
      </c>
      <c r="X80">
        <f>IF(64&lt;=$B$6,SMALL($Y$2:$Y$593,64),IF(64&lt;=$B$6+$B$7,SMALL($Z$2:$Z$593,64-$B$6),""))</f>
        <v>295</v>
      </c>
      <c r="Y80" t="str">
        <f>IF(Assessment!$G80="Critical",ROW(Assessment!$G80),"")</f>
        <v/>
      </c>
      <c r="Z80">
        <f>IF(Assessment!$G80="High",ROW(Assessment!$G80),"")</f>
        <v>80</v>
      </c>
    </row>
    <row r="81" spans="1:26" x14ac:dyDescent="0.25">
      <c r="A81" s="10">
        <f>IF($X81="","",65)</f>
        <v>65</v>
      </c>
      <c r="B81" s="10" t="str">
        <f>IF($X81="","",INDEX(Assessment!$A:$A,$X81))</f>
        <v>TR2-066</v>
      </c>
      <c r="C81" s="10" t="str">
        <f>IF($X81="","",INDEX(Assessment!$B:$B,$X81))</f>
        <v>BSI TR-03183-2 v2.1.0</v>
      </c>
      <c r="D81" s="10" t="str">
        <f>IF($X81="","",INDEX(Assessment!$C:$C,$X81))</f>
        <v>5.2.4 Additional data fields for each component (Table 5)</v>
      </c>
      <c r="E81" s="10" t="str">
        <f>IF($X81="","",INDEX(Assessment!$F:$F,$X81))</f>
        <v>SBOM - data fields (component)</v>
      </c>
      <c r="F81" s="10" t="str">
        <f>IF($X81="","",INDEX(Assessment!$G:$G,$X81))</f>
        <v>High</v>
      </c>
      <c r="G81" s="10" t="str">
        <f>IF($X81="","",INDEX(Assessment!$J:$J,$X81))</f>
        <v>Use the field in monitoring/matching rules; correct and re-issue SBOMs where the data is wrong.</v>
      </c>
      <c r="H81" s="10" t="str">
        <f>IF($X81="","",INDEX(Assessment!$L:$L,$X81))</f>
        <v>PSIRT Lead</v>
      </c>
      <c r="I81" s="10" t="str">
        <f>IF($X81="","",INDEX(Assessment!$N:$N,$X81))</f>
        <v>M</v>
      </c>
      <c r="X81">
        <f>IF(65&lt;=$B$6,SMALL($Y$2:$Y$593,65),IF(65&lt;=$B$6+$B$7,SMALL($Z$2:$Z$593,65-$B$6),""))</f>
        <v>363</v>
      </c>
      <c r="Y81" t="str">
        <f>IF(Assessment!$G81="Critical",ROW(Assessment!$G81),"")</f>
        <v/>
      </c>
      <c r="Z81" t="str">
        <f>IF(Assessment!$G81="High",ROW(Assessment!$G81),"")</f>
        <v/>
      </c>
    </row>
    <row r="82" spans="1:26" ht="25.5" x14ac:dyDescent="0.25">
      <c r="A82" s="10">
        <f>IF($X82="","",66)</f>
        <v>66</v>
      </c>
      <c r="B82" s="10" t="str">
        <f>IF($X82="","",INDEX(Assessment!$A:$A,$X82))</f>
        <v>TR2-092</v>
      </c>
      <c r="C82" s="10" t="str">
        <f>IF($X82="","",INDEX(Assessment!$B:$B,$X82))</f>
        <v>BSI TR-03183-2 v2.1.0</v>
      </c>
      <c r="D82" s="10" t="str">
        <f>IF($X82="","",INDEX(Assessment!$C:$C,$X82))</f>
        <v>8.1.14 Vulnerability information (appendix)</v>
      </c>
      <c r="E82" s="10" t="str">
        <f>IF($X82="","",INDEX(Assessment!$F:$F,$X82))</f>
        <v>SBOM - vulnerability information</v>
      </c>
      <c r="F82" s="10" t="str">
        <f>IF($X82="","",INDEX(Assessment!$G:$G,$X82))</f>
        <v>High</v>
      </c>
      <c r="G82" s="10" t="str">
        <f>IF($X82="","",INDEX(Assessment!$J:$J,$X82))</f>
        <v>Triage every SBOM-based match, record the exploitability decision, and publish product status as CSAF/VEX linked to SBOM component identifiers.</v>
      </c>
      <c r="H82" s="10" t="str">
        <f>IF($X82="","",INDEX(Assessment!$L:$L,$X82))</f>
        <v>PSIRT Lead</v>
      </c>
      <c r="I82" s="10" t="str">
        <f>IF($X82="","",INDEX(Assessment!$N:$N,$X82))</f>
        <v>M</v>
      </c>
      <c r="X82">
        <f>IF(66&lt;=$B$6,SMALL($Y$2:$Y$593,66),IF(66&lt;=$B$6+$B$7,SMALL($Z$2:$Z$593,66-$B$6),""))</f>
        <v>395</v>
      </c>
      <c r="Y82" t="str">
        <f>IF(Assessment!$G82="Critical",ROW(Assessment!$G82),"")</f>
        <v/>
      </c>
      <c r="Z82" t="str">
        <f>IF(Assessment!$G82="High",ROW(Assessment!$G82),"")</f>
        <v/>
      </c>
    </row>
    <row r="83" spans="1:26" ht="25.5" x14ac:dyDescent="0.25">
      <c r="A83" s="10">
        <f>IF($X83="","",67)</f>
        <v>67</v>
      </c>
      <c r="B83" s="10" t="str">
        <f>IF($X83="","",INDEX(Assessment!$A:$A,$X83))</f>
        <v>TR3-001</v>
      </c>
      <c r="C83" s="10" t="str">
        <f>IF($X83="","",INDEX(Assessment!$B:$B,$X83))</f>
        <v>BSI TR-03183-3 v1.0.0</v>
      </c>
      <c r="D83" s="10" t="str">
        <f>IF($X83="","",INDEX(Assessment!$C:$C,$X83))</f>
        <v>1 Introduction</v>
      </c>
      <c r="E83" s="10" t="str">
        <f>IF($X83="","",INDEX(Assessment!$F:$F,$X83))</f>
        <v>Vulnerability handling process</v>
      </c>
      <c r="F83" s="10" t="str">
        <f>IF($X83="","",INDEX(Assessment!$G:$G,$X83))</f>
        <v>High</v>
      </c>
      <c r="G83" s="10" t="str">
        <f>IF($X83="","",INDEX(Assessment!$J:$J,$X83))</f>
        <v>Establish and document the vulnerability handling chain: intake, triage, fix, release, secure distribution, installation tracking.</v>
      </c>
      <c r="H83" s="10" t="str">
        <f>IF($X83="","",INDEX(Assessment!$L:$L,$X83))</f>
        <v>PSIRT Lead</v>
      </c>
      <c r="I83" s="10" t="str">
        <f>IF($X83="","",INDEX(Assessment!$N:$N,$X83))</f>
        <v>M</v>
      </c>
      <c r="X83">
        <f>IF(67&lt;=$B$6,SMALL($Y$2:$Y$593,67),IF(67&lt;=$B$6+$B$7,SMALL($Z$2:$Z$593,67-$B$6),""))</f>
        <v>412</v>
      </c>
      <c r="Y83" t="str">
        <f>IF(Assessment!$G83="Critical",ROW(Assessment!$G83),"")</f>
        <v/>
      </c>
      <c r="Z83" t="str">
        <f>IF(Assessment!$G83="High",ROW(Assessment!$G83),"")</f>
        <v/>
      </c>
    </row>
    <row r="84" spans="1:26" ht="38.25" x14ac:dyDescent="0.25">
      <c r="A84" s="10">
        <f>IF($X84="","",68)</f>
        <v>68</v>
      </c>
      <c r="B84" s="10" t="str">
        <f>IF($X84="","",INDEX(Assessment!$A:$A,$X84))</f>
        <v>TR3-003</v>
      </c>
      <c r="C84" s="10" t="str">
        <f>IF($X84="","",INDEX(Assessment!$B:$B,$X84))</f>
        <v>BSI TR-03183-3 v1.0.0</v>
      </c>
      <c r="D84" s="10" t="str">
        <f>IF($X84="","",INDEX(Assessment!$C:$C,$X84))</f>
        <v>1 Introduction</v>
      </c>
      <c r="E84" s="10" t="str">
        <f>IF($X84="","",INDEX(Assessment!$F:$F,$X84))</f>
        <v>CVD - preparation</v>
      </c>
      <c r="F84" s="10" t="str">
        <f>IF($X84="","",INDEX(Assessment!$G:$G,$X84))</f>
        <v>High</v>
      </c>
      <c r="G84" s="10" t="str">
        <f>IF($X84="","",INDEX(Assessment!$J:$J,$X84))</f>
        <v>Write into the CVD policy / PSIRT procedure and apply in case handling: prepare holistic internal CVD processes across departments, contact options and channels.</v>
      </c>
      <c r="H84" s="10" t="str">
        <f>IF($X84="","",INDEX(Assessment!$L:$L,$X84))</f>
        <v>PSIRT Lead (Legal reviews policy wording)</v>
      </c>
      <c r="I84" s="10" t="str">
        <f>IF($X84="","",INDEX(Assessment!$N:$N,$X84))</f>
        <v>M</v>
      </c>
      <c r="X84">
        <f>IF(68&lt;=$B$6,SMALL($Y$2:$Y$593,68),IF(68&lt;=$B$6+$B$7,SMALL($Z$2:$Z$593,68-$B$6),""))</f>
        <v>415</v>
      </c>
      <c r="Y84" t="str">
        <f>IF(Assessment!$G84="Critical",ROW(Assessment!$G84),"")</f>
        <v/>
      </c>
      <c r="Z84">
        <f>IF(Assessment!$G84="High",ROW(Assessment!$G84),"")</f>
        <v>84</v>
      </c>
    </row>
    <row r="85" spans="1:26" ht="38.25" x14ac:dyDescent="0.25">
      <c r="A85" s="10">
        <f>IF($X85="","",69)</f>
        <v>69</v>
      </c>
      <c r="B85" s="10" t="str">
        <f>IF($X85="","",INDEX(Assessment!$A:$A,$X85))</f>
        <v>TR3-005</v>
      </c>
      <c r="C85" s="10" t="str">
        <f>IF($X85="","",INDEX(Assessment!$B:$B,$X85))</f>
        <v>BSI TR-03183-3 v1.0.0</v>
      </c>
      <c r="D85" s="10" t="str">
        <f>IF($X85="","",INDEX(Assessment!$C:$C,$X85))</f>
        <v>1 Introduction</v>
      </c>
      <c r="E85" s="10" t="str">
        <f>IF($X85="","",INDEX(Assessment!$F:$F,$X85))</f>
        <v>CVD - preparation</v>
      </c>
      <c r="F85" s="10" t="str">
        <f>IF($X85="","",INDEX(Assessment!$G:$G,$X85))</f>
        <v>High</v>
      </c>
      <c r="G85" s="10" t="str">
        <f>IF($X85="","",INDEX(Assessment!$J:$J,$X85))</f>
        <v>Implement on the corporate website: publish the contact options and the CVD policy for external communication; include it in the quarterly security.txt/contact check.</v>
      </c>
      <c r="H85" s="10" t="str">
        <f>IF($X85="","",INDEX(Assessment!$L:$L,$X85))</f>
        <v>PSIRT Lead with Web/IT team</v>
      </c>
      <c r="I85" s="10" t="str">
        <f>IF($X85="","",INDEX(Assessment!$N:$N,$X85))</f>
        <v>M</v>
      </c>
      <c r="X85">
        <f>IF(69&lt;=$B$6,SMALL($Y$2:$Y$593,69),IF(69&lt;=$B$6+$B$7,SMALL($Z$2:$Z$593,69-$B$6),""))</f>
        <v>418</v>
      </c>
      <c r="Y85" t="str">
        <f>IF(Assessment!$G85="Critical",ROW(Assessment!$G85),"")</f>
        <v/>
      </c>
      <c r="Z85" t="str">
        <f>IF(Assessment!$G85="High",ROW(Assessment!$G85),"")</f>
        <v/>
      </c>
    </row>
    <row r="86" spans="1:26" ht="25.5" x14ac:dyDescent="0.25">
      <c r="A86" s="10">
        <f>IF($X86="","",70)</f>
        <v>70</v>
      </c>
      <c r="B86" s="10" t="str">
        <f>IF($X86="","",INDEX(Assessment!$A:$A,$X86))</f>
        <v>TR3-006</v>
      </c>
      <c r="C86" s="10" t="str">
        <f>IF($X86="","",INDEX(Assessment!$B:$B,$X86))</f>
        <v>BSI TR-03183-3 v1.0.0</v>
      </c>
      <c r="D86" s="10" t="str">
        <f>IF($X86="","",INDEX(Assessment!$C:$C,$X86))</f>
        <v>3.1.5 Security advisory</v>
      </c>
      <c r="E86" s="10" t="str">
        <f>IF($X86="","",INDEX(Assessment!$F:$F,$X86))</f>
        <v>Security advisories (CSAF)</v>
      </c>
      <c r="F86" s="10" t="str">
        <f>IF($X86="","",INDEX(Assessment!$G:$G,$X86))</f>
        <v>High</v>
      </c>
      <c r="G86" s="10" t="str">
        <f>IF($X86="","",INDEX(Assessment!$J:$J,$X86))</f>
        <v>publish security advisories on the manufacturer website in CSAF format - define the disclosure workflow, deadlines and approvals.</v>
      </c>
      <c r="H86" s="10" t="str">
        <f>IF($X86="","",INDEX(Assessment!$L:$L,$X86))</f>
        <v>PSIRT Lead</v>
      </c>
      <c r="I86" s="10" t="str">
        <f>IF($X86="","",INDEX(Assessment!$N:$N,$X86))</f>
        <v>M</v>
      </c>
      <c r="X86">
        <f>IF(70&lt;=$B$6,SMALL($Y$2:$Y$593,70),IF(70&lt;=$B$6+$B$7,SMALL($Z$2:$Z$593,70-$B$6),""))</f>
        <v>419</v>
      </c>
      <c r="Y86" t="str">
        <f>IF(Assessment!$G86="Critical",ROW(Assessment!$G86),"")</f>
        <v/>
      </c>
      <c r="Z86" t="str">
        <f>IF(Assessment!$G86="High",ROW(Assessment!$G86),"")</f>
        <v/>
      </c>
    </row>
    <row r="87" spans="1:26" ht="38.25" x14ac:dyDescent="0.25">
      <c r="A87" s="10">
        <f>IF($X87="","",71)</f>
        <v>71</v>
      </c>
      <c r="B87" s="10" t="str">
        <f>IF($X87="","",INDEX(Assessment!$A:$A,$X87))</f>
        <v>TR3-008</v>
      </c>
      <c r="C87" s="10" t="str">
        <f>IF($X87="","",INDEX(Assessment!$B:$B,$X87))</f>
        <v>BSI TR-03183-3 v1.0.0</v>
      </c>
      <c r="D87" s="10" t="str">
        <f>IF($X87="","",INDEX(Assessment!$C:$C,$X87))</f>
        <v>3.1.7 Corresponding national CSIRT</v>
      </c>
      <c r="E87" s="10" t="str">
        <f>IF($X87="","",INDEX(Assessment!$F:$F,$X87))</f>
        <v>CVD - national CSIRT coordination</v>
      </c>
      <c r="F87" s="10" t="str">
        <f>IF($X87="","",INDEX(Assessment!$G:$G,$X87))</f>
        <v>High</v>
      </c>
      <c r="G87" s="10" t="str">
        <f>IF($X87="","",INDEX(Assessment!$J:$J,$X87))</f>
        <v>determine the corresponding CSIRT according to CRA Art. 14(7) (main establishment) - document it in the PSIRT notification procedure and keep a case log.</v>
      </c>
      <c r="H87" s="10" t="str">
        <f>IF($X87="","",INDEX(Assessment!$L:$L,$X87))</f>
        <v>PSIRT Lead / Compliance Officer</v>
      </c>
      <c r="I87" s="10" t="str">
        <f>IF($X87="","",INDEX(Assessment!$N:$N,$X87))</f>
        <v>S</v>
      </c>
      <c r="X87">
        <f>IF(71&lt;=$B$6,SMALL($Y$2:$Y$593,71),IF(71&lt;=$B$6+$B$7,SMALL($Z$2:$Z$593,71-$B$6),""))</f>
        <v>421</v>
      </c>
      <c r="Y87" t="str">
        <f>IF(Assessment!$G87="Critical",ROW(Assessment!$G87),"")</f>
        <v/>
      </c>
      <c r="Z87" t="str">
        <f>IF(Assessment!$G87="High",ROW(Assessment!$G87),"")</f>
        <v/>
      </c>
    </row>
    <row r="88" spans="1:26" ht="25.5" x14ac:dyDescent="0.25">
      <c r="A88" s="10">
        <f>IF($X88="","",72)</f>
        <v>72</v>
      </c>
      <c r="B88" s="10" t="str">
        <f>IF($X88="","",INDEX(Assessment!$A:$A,$X88))</f>
        <v>TR3-016</v>
      </c>
      <c r="C88" s="10" t="str">
        <f>IF($X88="","",INDEX(Assessment!$B:$B,$X88))</f>
        <v>BSI TR-03183-3 v1.0.0</v>
      </c>
      <c r="D88" s="10" t="str">
        <f>IF($X88="","",INDEX(Assessment!$C:$C,$X88))</f>
        <v>4 Cybersecurity requirements for receiving vulnerability reports</v>
      </c>
      <c r="E88" s="10" t="str">
        <f>IF($X88="","",INDEX(Assessment!$F:$F,$X88))</f>
        <v>Vulnerability intake - records</v>
      </c>
      <c r="F88" s="10" t="str">
        <f>IF($X88="","",INDEX(Assessment!$G:$G,$X88))</f>
        <v>High</v>
      </c>
      <c r="G88" s="10" t="str">
        <f>IF($X88="","",INDEX(Assessment!$J:$J,$X88))</f>
        <v>Keep an evidence register: implemented measures, test procedures and test results for the reporting channels.</v>
      </c>
      <c r="H88" s="10" t="str">
        <f>IF($X88="","",INDEX(Assessment!$L:$L,$X88))</f>
        <v>PSIRT Lead</v>
      </c>
      <c r="I88" s="10" t="str">
        <f>IF($X88="","",INDEX(Assessment!$N:$N,$X88))</f>
        <v>M</v>
      </c>
      <c r="X88">
        <f>IF(72&lt;=$B$6,SMALL($Y$2:$Y$593,72),IF(72&lt;=$B$6+$B$7,SMALL($Z$2:$Z$593,72-$B$6),""))</f>
        <v>429</v>
      </c>
      <c r="Y88" t="str">
        <f>IF(Assessment!$G88="Critical",ROW(Assessment!$G88),"")</f>
        <v/>
      </c>
      <c r="Z88" t="str">
        <f>IF(Assessment!$G88="High",ROW(Assessment!$G88),"")</f>
        <v/>
      </c>
    </row>
    <row r="89" spans="1:26" ht="25.5" x14ac:dyDescent="0.25">
      <c r="A89" s="10">
        <f>IF($X89="","",73)</f>
        <v>73</v>
      </c>
      <c r="B89" s="10" t="str">
        <f>IF($X89="","",INDEX(Assessment!$A:$A,$X89))</f>
        <v>TR3-019</v>
      </c>
      <c r="C89" s="10" t="str">
        <f>IF($X89="","",INDEX(Assessment!$B:$B,$X89))</f>
        <v>BSI TR-03183-3 v1.0.0</v>
      </c>
      <c r="D89" s="10" t="str">
        <f>IF($X89="","",INDEX(Assessment!$C:$C,$X89))</f>
        <v>4.1 Website of the manufacturer</v>
      </c>
      <c r="E89" s="10" t="str">
        <f>IF($X89="","",INDEX(Assessment!$F:$F,$X89))</f>
        <v>Security information website</v>
      </c>
      <c r="F89" s="10" t="str">
        <f>IF($X89="","",INDEX(Assessment!$G:$G,$X89))</f>
        <v>High</v>
      </c>
      <c r="G89" s="10" t="str">
        <f>IF($X89="","",INDEX(Assessment!$J:$J,$X89))</f>
        <v>Implement on the corporate website: make security-related information easily accessible to the public; include it in the quarterly security.txt/contact check.</v>
      </c>
      <c r="H89" s="10" t="str">
        <f>IF($X89="","",INDEX(Assessment!$L:$L,$X89))</f>
        <v>PSIRT Lead with Web/IT team</v>
      </c>
      <c r="I89" s="10" t="str">
        <f>IF($X89="","",INDEX(Assessment!$N:$N,$X89))</f>
        <v>M</v>
      </c>
      <c r="X89">
        <f>IF(73&lt;=$B$6,SMALL($Y$2:$Y$593,73),IF(73&lt;=$B$6+$B$7,SMALL($Z$2:$Z$593,73-$B$6),""))</f>
        <v>432</v>
      </c>
      <c r="Y89" t="str">
        <f>IF(Assessment!$G89="Critical",ROW(Assessment!$G89),"")</f>
        <v/>
      </c>
      <c r="Z89" t="str">
        <f>IF(Assessment!$G89="High",ROW(Assessment!$G89),"")</f>
        <v/>
      </c>
    </row>
    <row r="90" spans="1:26" ht="38.25" x14ac:dyDescent="0.25">
      <c r="A90" s="10">
        <f>IF($X90="","",74)</f>
        <v>74</v>
      </c>
      <c r="B90" s="10" t="str">
        <f>IF($X90="","",INDEX(Assessment!$A:$A,$X90))</f>
        <v>TR3-4.1.1a</v>
      </c>
      <c r="C90" s="10" t="str">
        <f>IF($X90="","",INDEX(Assessment!$B:$B,$X90))</f>
        <v>BSI TR-03183-3 v1.0.0</v>
      </c>
      <c r="D90" s="10" t="str">
        <f>IF($X90="","",INDEX(Assessment!$C:$C,$X90))</f>
        <v>4.1.1 General</v>
      </c>
      <c r="E90" s="10" t="str">
        <f>IF($X90="","",INDEX(Assessment!$F:$F,$X90))</f>
        <v>Security information website</v>
      </c>
      <c r="F90" s="10" t="str">
        <f>IF($X90="","",INDEX(Assessment!$G:$G,$X90))</f>
        <v>High</v>
      </c>
      <c r="G90" s="10" t="str">
        <f>IF($X90="","",INDEX(Assessment!$J:$J,$X90))</f>
        <v>Implement on the corporate website: operate a website that publicly provides security-related information about the manufacturer and its products; include it in the quarterly security.txt/contact check.</v>
      </c>
      <c r="H90" s="10" t="str">
        <f>IF($X90="","",INDEX(Assessment!$L:$L,$X90))</f>
        <v>PSIRT Lead with Web/IT team</v>
      </c>
      <c r="I90" s="10" t="str">
        <f>IF($X90="","",INDEX(Assessment!$N:$N,$X90))</f>
        <v>M</v>
      </c>
      <c r="X90">
        <f>IF(74&lt;=$B$6,SMALL($Y$2:$Y$593,74),IF(74&lt;=$B$6+$B$7,SMALL($Z$2:$Z$593,74-$B$6),""))</f>
        <v>433</v>
      </c>
      <c r="Y90" t="str">
        <f>IF(Assessment!$G90="Critical",ROW(Assessment!$G90),"")</f>
        <v/>
      </c>
      <c r="Z90" t="str">
        <f>IF(Assessment!$G90="High",ROW(Assessment!$G90),"")</f>
        <v/>
      </c>
    </row>
    <row r="91" spans="1:26" ht="38.25" x14ac:dyDescent="0.25">
      <c r="A91" s="10">
        <f>IF($X91="","",75)</f>
        <v>75</v>
      </c>
      <c r="B91" s="10" t="str">
        <f>IF($X91="","",INDEX(Assessment!$A:$A,$X91))</f>
        <v>TR3-020</v>
      </c>
      <c r="C91" s="10" t="str">
        <f>IF($X91="","",INDEX(Assessment!$B:$B,$X91))</f>
        <v>BSI TR-03183-3 v1.0.0</v>
      </c>
      <c r="D91" s="10" t="str">
        <f>IF($X91="","",INDEX(Assessment!$C:$C,$X91))</f>
        <v>4.2 Security.txt file in accordance with RFC 9116</v>
      </c>
      <c r="E91" s="10" t="str">
        <f>IF($X91="","",INDEX(Assessment!$F:$F,$X91))</f>
        <v>security.txt (RFC 9116)</v>
      </c>
      <c r="F91" s="10" t="str">
        <f>IF($X91="","",INDEX(Assessment!$G:$G,$X91))</f>
        <v>High</v>
      </c>
      <c r="G91" s="10" t="str">
        <f>IF($X91="","",INDEX(Assessment!$J:$J,$X91))</f>
        <v>Implement on the corporate website: create a security.txt according to RFC 9116 and make it available on the website; include it in the quarterly security.txt/contact check.</v>
      </c>
      <c r="H91" s="10" t="str">
        <f>IF($X91="","",INDEX(Assessment!$L:$L,$X91))</f>
        <v>PSIRT Lead with Web/IT team</v>
      </c>
      <c r="I91" s="10" t="str">
        <f>IF($X91="","",INDEX(Assessment!$N:$N,$X91))</f>
        <v>M</v>
      </c>
      <c r="X91">
        <f>IF(75&lt;=$B$6,SMALL($Y$2:$Y$593,75),IF(75&lt;=$B$6+$B$7,SMALL($Z$2:$Z$593,75-$B$6),""))</f>
        <v>436</v>
      </c>
      <c r="Y91" t="str">
        <f>IF(Assessment!$G91="Critical",ROW(Assessment!$G91),"")</f>
        <v/>
      </c>
      <c r="Z91" t="str">
        <f>IF(Assessment!$G91="High",ROW(Assessment!$G91),"")</f>
        <v/>
      </c>
    </row>
    <row r="92" spans="1:26" ht="25.5" x14ac:dyDescent="0.25">
      <c r="A92" s="10">
        <f>IF($X92="","",76)</f>
        <v>76</v>
      </c>
      <c r="B92" s="10" t="str">
        <f>IF($X92="","",INDEX(Assessment!$A:$A,$X92))</f>
        <v>TR3-021</v>
      </c>
      <c r="C92" s="10" t="str">
        <f>IF($X92="","",INDEX(Assessment!$B:$B,$X92))</f>
        <v>BSI TR-03183-3 v1.0.0</v>
      </c>
      <c r="D92" s="10" t="str">
        <f>IF($X92="","",INDEX(Assessment!$C:$C,$X92))</f>
        <v>4.3 Preliminary measures for a CVD process</v>
      </c>
      <c r="E92" s="10" t="str">
        <f>IF($X92="","",INDEX(Assessment!$F:$F,$X92))</f>
        <v>PSIRT / CSIRT organisation</v>
      </c>
      <c r="F92" s="10" t="str">
        <f>IF($X92="","",INDEX(Assessment!$G:$G,$X92))</f>
        <v>High</v>
      </c>
      <c r="G92" s="10" t="str">
        <f>IF($X92="","",INDEX(Assessment!$J:$J,$X92))</f>
        <v>Set up and document: organise the response process for vulnerability reports in advance.</v>
      </c>
      <c r="H92" s="10" t="str">
        <f>IF($X92="","",INDEX(Assessment!$L:$L,$X92))</f>
        <v>CISO / PSIRT Lead</v>
      </c>
      <c r="I92" s="10" t="str">
        <f>IF($X92="","",INDEX(Assessment!$N:$N,$X92))</f>
        <v>M</v>
      </c>
      <c r="X92">
        <f>IF(76&lt;=$B$6,SMALL($Y$2:$Y$593,76),IF(76&lt;=$B$6+$B$7,SMALL($Z$2:$Z$593,76-$B$6),""))</f>
        <v>478</v>
      </c>
      <c r="Y92" t="str">
        <f>IF(Assessment!$G92="Critical",ROW(Assessment!$G92),"")</f>
        <v/>
      </c>
      <c r="Z92" t="str">
        <f>IF(Assessment!$G92="High",ROW(Assessment!$G92),"")</f>
        <v/>
      </c>
    </row>
    <row r="93" spans="1:26" ht="25.5" x14ac:dyDescent="0.25">
      <c r="A93" s="10">
        <f>IF($X93="","",77)</f>
        <v>77</v>
      </c>
      <c r="B93" s="10" t="str">
        <f>IF($X93="","",INDEX(Assessment!$A:$A,$X93))</f>
        <v>TR3-4.3.1b</v>
      </c>
      <c r="C93" s="10" t="str">
        <f>IF($X93="","",INDEX(Assessment!$B:$B,$X93))</f>
        <v>BSI TR-03183-3 v1.0.0</v>
      </c>
      <c r="D93" s="10" t="str">
        <f>IF($X93="","",INDEX(Assessment!$C:$C,$X93))</f>
        <v>4.3.1 Roles of responsible cybersecurity contacts</v>
      </c>
      <c r="E93" s="10" t="str">
        <f>IF($X93="","",INDEX(Assessment!$F:$F,$X93))</f>
        <v>PSIRT / CSIRT organisation</v>
      </c>
      <c r="F93" s="10" t="str">
        <f>IF($X93="","",INDEX(Assessment!$G:$G,$X93))</f>
        <v>High</v>
      </c>
      <c r="G93" s="10" t="str">
        <f>IF($X93="","",INDEX(Assessment!$J:$J,$X93))</f>
        <v>Set up and document: PSIRT and CSIRT must not be one person; split across several individuals (unless microenterprise).</v>
      </c>
      <c r="H93" s="10" t="str">
        <f>IF($X93="","",INDEX(Assessment!$L:$L,$X93))</f>
        <v>CISO / PSIRT Lead</v>
      </c>
      <c r="I93" s="10" t="str">
        <f>IF($X93="","",INDEX(Assessment!$N:$N,$X93))</f>
        <v>M</v>
      </c>
      <c r="X93">
        <f>IF(77&lt;=$B$6,SMALL($Y$2:$Y$593,77),IF(77&lt;=$B$6+$B$7,SMALL($Z$2:$Z$593,77-$B$6),""))</f>
        <v>480</v>
      </c>
      <c r="Y93" t="str">
        <f>IF(Assessment!$G93="Critical",ROW(Assessment!$G93),"")</f>
        <v/>
      </c>
      <c r="Z93" t="str">
        <f>IF(Assessment!$G93="High",ROW(Assessment!$G93),"")</f>
        <v/>
      </c>
    </row>
    <row r="94" spans="1:26" ht="25.5" x14ac:dyDescent="0.25">
      <c r="A94" s="10">
        <f>IF($X94="","",78)</f>
        <v>78</v>
      </c>
      <c r="B94" s="10" t="str">
        <f>IF($X94="","",INDEX(Assessment!$A:$A,$X94))</f>
        <v>TR3-4.3.1f</v>
      </c>
      <c r="C94" s="10" t="str">
        <f>IF($X94="","",INDEX(Assessment!$B:$B,$X94))</f>
        <v>BSI TR-03183-3 v1.0.0</v>
      </c>
      <c r="D94" s="10" t="str">
        <f>IF($X94="","",INDEX(Assessment!$C:$C,$X94))</f>
        <v>4.3.1 Roles of responsible cybersecurity contacts</v>
      </c>
      <c r="E94" s="10" t="str">
        <f>IF($X94="","",INDEX(Assessment!$F:$F,$X94))</f>
        <v>PSIRT / CSIRT organisation</v>
      </c>
      <c r="F94" s="10" t="str">
        <f>IF($X94="","",INDEX(Assessment!$G:$G,$X94))</f>
        <v>High</v>
      </c>
      <c r="G94" s="10" t="str">
        <f>IF($X94="","",INDEX(Assessment!$J:$J,$X94))</f>
        <v>Set up and document: PSIRT is the first contact and covers vulnerability handling of products and services.</v>
      </c>
      <c r="H94" s="10" t="str">
        <f>IF($X94="","",INDEX(Assessment!$L:$L,$X94))</f>
        <v>CISO / PSIRT Lead</v>
      </c>
      <c r="I94" s="10" t="str">
        <f>IF($X94="","",INDEX(Assessment!$N:$N,$X94))</f>
        <v>M</v>
      </c>
      <c r="X94">
        <f>IF(78&lt;=$B$6,SMALL($Y$2:$Y$593,78),IF(78&lt;=$B$6+$B$7,SMALL($Z$2:$Z$593,78-$B$6),""))</f>
        <v>485</v>
      </c>
      <c r="Y94" t="str">
        <f>IF(Assessment!$G94="Critical",ROW(Assessment!$G94),"")</f>
        <v/>
      </c>
      <c r="Z94" t="str">
        <f>IF(Assessment!$G94="High",ROW(Assessment!$G94),"")</f>
        <v/>
      </c>
    </row>
    <row r="95" spans="1:26" ht="25.5" x14ac:dyDescent="0.25">
      <c r="A95" s="10">
        <f>IF($X95="","",79)</f>
        <v>79</v>
      </c>
      <c r="B95" s="10" t="str">
        <f>IF($X95="","",INDEX(Assessment!$A:$A,$X95))</f>
        <v>TR3-4.3.1m</v>
      </c>
      <c r="C95" s="10" t="str">
        <f>IF($X95="","",INDEX(Assessment!$B:$B,$X95))</f>
        <v>BSI TR-03183-3 v1.0.0</v>
      </c>
      <c r="D95" s="10" t="str">
        <f>IF($X95="","",INDEX(Assessment!$C:$C,$X95))</f>
        <v>4.3.1 Roles of responsible cybersecurity contacts</v>
      </c>
      <c r="E95" s="10" t="str">
        <f>IF($X95="","",INDEX(Assessment!$F:$F,$X95))</f>
        <v>PSIRT / CSIRT organisation</v>
      </c>
      <c r="F95" s="10" t="str">
        <f>IF($X95="","",INDEX(Assessment!$G:$G,$X95))</f>
        <v>High</v>
      </c>
      <c r="G95" s="10" t="str">
        <f>IF($X95="","",INDEX(Assessment!$J:$J,$X95))</f>
        <v>Set up and document: provide sufficient resources for absences and to guarantee CVD response times.</v>
      </c>
      <c r="H95" s="10" t="str">
        <f>IF($X95="","",INDEX(Assessment!$L:$L,$X95))</f>
        <v>CISO / PSIRT Lead</v>
      </c>
      <c r="I95" s="10" t="str">
        <f>IF($X95="","",INDEX(Assessment!$N:$N,$X95))</f>
        <v>M</v>
      </c>
      <c r="X95">
        <f>IF(79&lt;=$B$6,SMALL($Y$2:$Y$593,79),IF(79&lt;=$B$6+$B$7,SMALL($Z$2:$Z$593,79-$B$6),""))</f>
        <v>495</v>
      </c>
      <c r="Y95" t="str">
        <f>IF(Assessment!$G95="Critical",ROW(Assessment!$G95),"")</f>
        <v/>
      </c>
      <c r="Z95" t="str">
        <f>IF(Assessment!$G95="High",ROW(Assessment!$G95),"")</f>
        <v/>
      </c>
    </row>
    <row r="96" spans="1:26" ht="25.5" x14ac:dyDescent="0.25">
      <c r="A96" s="10">
        <f>IF($X96="","",80)</f>
        <v>80</v>
      </c>
      <c r="B96" s="10" t="str">
        <f>IF($X96="","",INDEX(Assessment!$A:$A,$X96))</f>
        <v>TR3-4.3.3a-a</v>
      </c>
      <c r="C96" s="10" t="str">
        <f>IF($X96="","",INDEX(Assessment!$B:$B,$X96))</f>
        <v>BSI TR-03183-3 v1.0.0</v>
      </c>
      <c r="D96" s="10" t="str">
        <f>IF($X96="","",INDEX(Assessment!$C:$C,$X96))</f>
        <v>4.3.3 Web form for vulnerability reports</v>
      </c>
      <c r="E96" s="10" t="str">
        <f>IF($X96="","",INDEX(Assessment!$F:$F,$X96))</f>
        <v>Vulnerability report web form</v>
      </c>
      <c r="F96" s="10" t="str">
        <f>IF($X96="","",INDEX(Assessment!$G:$G,$X96))</f>
        <v>High</v>
      </c>
      <c r="G96" s="10" t="str">
        <f>IF($X96="","",INDEX(Assessment!$J:$J,$X96))</f>
        <v>Build the report web form with a secure back-end into PSIRT case tooling; no trackers; anonymous submission possible.</v>
      </c>
      <c r="H96" s="10" t="str">
        <f>IF($X96="","",INDEX(Assessment!$L:$L,$X96))</f>
        <v>PSIRT Lead with Web/IT team</v>
      </c>
      <c r="I96" s="10" t="str">
        <f>IF($X96="","",INDEX(Assessment!$N:$N,$X96))</f>
        <v>M</v>
      </c>
      <c r="X96">
        <f>IF(80&lt;=$B$6,SMALL($Y$2:$Y$593,80),IF(80&lt;=$B$6+$B$7,SMALL($Z$2:$Z$593,80-$B$6),""))</f>
        <v>505</v>
      </c>
      <c r="Y96" t="str">
        <f>IF(Assessment!$G96="Critical",ROW(Assessment!$G96),"")</f>
        <v/>
      </c>
      <c r="Z96" t="str">
        <f>IF(Assessment!$G96="High",ROW(Assessment!$G96),"")</f>
        <v/>
      </c>
    </row>
    <row r="97" spans="1:26" ht="25.5" x14ac:dyDescent="0.25">
      <c r="A97" s="10">
        <f>IF($X97="","",81)</f>
        <v>81</v>
      </c>
      <c r="B97" s="10" t="str">
        <f>IF($X97="","",INDEX(Assessment!$A:$A,$X97))</f>
        <v>TR3-4.4.2b-a</v>
      </c>
      <c r="C97" s="10" t="str">
        <f>IF($X97="","",INDEX(Assessment!$B:$B,$X97))</f>
        <v>BSI TR-03183-3 v1.0.0</v>
      </c>
      <c r="D97" s="10" t="str">
        <f>IF($X97="","",INDEX(Assessment!$C:$C,$X97))</f>
        <v>4.4.2 Corresponding national CSIRT</v>
      </c>
      <c r="E97" s="10" t="str">
        <f>IF($X97="","",INDEX(Assessment!$F:$F,$X97))</f>
        <v>Incident &amp; vulnerability reporting (CSIRT)</v>
      </c>
      <c r="F97" s="10" t="str">
        <f>IF($X97="","",INDEX(Assessment!$G:$G,$X97))</f>
        <v>High</v>
      </c>
      <c r="G97" s="10" t="str">
        <f>IF($X97="","",INDEX(Assessment!$J:$J,$X97))</f>
        <v>inform the CSIRT about all new information, mitigation measures and their schedules - document it in the PSIRT notification procedure and keep a case log.</v>
      </c>
      <c r="H97" s="10" t="str">
        <f>IF($X97="","",INDEX(Assessment!$L:$L,$X97))</f>
        <v>PSIRT Lead / Compliance Officer</v>
      </c>
      <c r="I97" s="10" t="str">
        <f>IF($X97="","",INDEX(Assessment!$N:$N,$X97))</f>
        <v>M</v>
      </c>
      <c r="X97">
        <f>IF(81&lt;=$B$6,SMALL($Y$2:$Y$593,81),IF(81&lt;=$B$6+$B$7,SMALL($Z$2:$Z$593,81-$B$6),""))</f>
        <v>521</v>
      </c>
      <c r="Y97" t="str">
        <f>IF(Assessment!$G97="Critical",ROW(Assessment!$G97),"")</f>
        <v/>
      </c>
      <c r="Z97" t="str">
        <f>IF(Assessment!$G97="High",ROW(Assessment!$G97),"")</f>
        <v/>
      </c>
    </row>
    <row r="98" spans="1:26" ht="25.5" x14ac:dyDescent="0.25">
      <c r="A98" s="10">
        <f>IF($X98="","",82)</f>
        <v>82</v>
      </c>
      <c r="B98" s="10" t="str">
        <f>IF($X98="","",INDEX(Assessment!$A:$A,$X98))</f>
        <v>TR3-4.4.2b-b</v>
      </c>
      <c r="C98" s="10" t="str">
        <f>IF($X98="","",INDEX(Assessment!$B:$B,$X98))</f>
        <v>BSI TR-03183-3 v1.0.0</v>
      </c>
      <c r="D98" s="10" t="str">
        <f>IF($X98="","",INDEX(Assessment!$C:$C,$X98))</f>
        <v>4.4.2 Corresponding national CSIRT</v>
      </c>
      <c r="E98" s="10" t="str">
        <f>IF($X98="","",INDEX(Assessment!$F:$F,$X98))</f>
        <v>Incident &amp; vulnerability reporting (CSIRT)</v>
      </c>
      <c r="F98" s="10" t="str">
        <f>IF($X98="","",INDEX(Assessment!$G:$G,$X98))</f>
        <v>High</v>
      </c>
      <c r="G98" s="10" t="str">
        <f>IF($X98="","",INDEX(Assessment!$J:$J,$X98))</f>
        <v>coordinate mitigation measures and schedules with the CSIRT - document it in the PSIRT notification procedure and keep a case log.</v>
      </c>
      <c r="H98" s="10" t="str">
        <f>IF($X98="","",INDEX(Assessment!$L:$L,$X98))</f>
        <v>PSIRT Lead / Compliance Officer</v>
      </c>
      <c r="I98" s="10" t="str">
        <f>IF($X98="","",INDEX(Assessment!$N:$N,$X98))</f>
        <v>M</v>
      </c>
      <c r="X98">
        <f>IF(82&lt;=$B$6,SMALL($Y$2:$Y$593,82),IF(82&lt;=$B$6+$B$7,SMALL($Z$2:$Z$593,82-$B$6),""))</f>
        <v>522</v>
      </c>
      <c r="Y98" t="str">
        <f>IF(Assessment!$G98="Critical",ROW(Assessment!$G98),"")</f>
        <v/>
      </c>
      <c r="Z98" t="str">
        <f>IF(Assessment!$G98="High",ROW(Assessment!$G98),"")</f>
        <v/>
      </c>
    </row>
    <row r="99" spans="1:26" ht="38.25" x14ac:dyDescent="0.25">
      <c r="A99" s="10">
        <f>IF($X99="","",83)</f>
        <v>83</v>
      </c>
      <c r="B99" s="10" t="str">
        <f>IF($X99="","",INDEX(Assessment!$A:$A,$X99))</f>
        <v>TR3-4.4.4a</v>
      </c>
      <c r="C99" s="10" t="str">
        <f>IF($X99="","",INDEX(Assessment!$B:$B,$X99))</f>
        <v>BSI TR-03183-3 v1.0.0</v>
      </c>
      <c r="D99" s="10" t="str">
        <f>IF($X99="","",INDEX(Assessment!$C:$C,$X99))</f>
        <v>4.4.4 Assurances of the manufacturer to the reporting entity</v>
      </c>
      <c r="E99" s="10" t="str">
        <f>IF($X99="","",INDEX(Assessment!$F:$F,$X99))</f>
        <v>CVD policy - assurances to reporters</v>
      </c>
      <c r="F99" s="10" t="str">
        <f>IF($X99="","",INDEX(Assessment!$G:$G,$X99))</f>
        <v>High</v>
      </c>
      <c r="G99" s="10" t="str">
        <f>IF($X99="","",INDEX(Assessment!$J:$J,$X99))</f>
        <v>Write into the CVD policy / PSIRT procedure and apply in case handling: treat each incoming report confidentially to the extent permitted by law.</v>
      </c>
      <c r="H99" s="10" t="str">
        <f>IF($X99="","",INDEX(Assessment!$L:$L,$X99))</f>
        <v>PSIRT Lead (Legal reviews policy wording)</v>
      </c>
      <c r="I99" s="10" t="str">
        <f>IF($X99="","",INDEX(Assessment!$N:$N,$X99))</f>
        <v>M</v>
      </c>
      <c r="X99">
        <f>IF(83&lt;=$B$6,SMALL($Y$2:$Y$593,83),IF(83&lt;=$B$6+$B$7,SMALL($Z$2:$Z$593,83-$B$6),""))</f>
        <v>525</v>
      </c>
      <c r="Y99" t="str">
        <f>IF(Assessment!$G99="Critical",ROW(Assessment!$G99),"")</f>
        <v/>
      </c>
      <c r="Z99" t="str">
        <f>IF(Assessment!$G99="High",ROW(Assessment!$G99),"")</f>
        <v/>
      </c>
    </row>
    <row r="100" spans="1:26" ht="38.25" x14ac:dyDescent="0.25">
      <c r="A100" s="10">
        <f>IF($X100="","",84)</f>
        <v>84</v>
      </c>
      <c r="B100" s="10" t="str">
        <f>IF($X100="","",INDEX(Assessment!$A:$A,$X100))</f>
        <v>TR3-4.4.4c</v>
      </c>
      <c r="C100" s="10" t="str">
        <f>IF($X100="","",INDEX(Assessment!$B:$B,$X100))</f>
        <v>BSI TR-03183-3 v1.0.0</v>
      </c>
      <c r="D100" s="10" t="str">
        <f>IF($X100="","",INDEX(Assessment!$C:$C,$X100))</f>
        <v>4.4.4 Assurances of the manufacturer to the reporting entity</v>
      </c>
      <c r="E100" s="10" t="str">
        <f>IF($X100="","",INDEX(Assessment!$F:$F,$X100))</f>
        <v>CVD policy - assurances to reporters</v>
      </c>
      <c r="F100" s="10" t="str">
        <f>IF($X100="","",INDEX(Assessment!$G:$G,$X100))</f>
        <v>High</v>
      </c>
      <c r="G100" s="10" t="str">
        <f>IF($X100="","",INDEX(Assessment!$J:$J,$X100))</f>
        <v>Write into the CVD policy / PSIRT procedure and apply in case handling: respond to each report or update within the guaranteed response times.</v>
      </c>
      <c r="H100" s="10" t="str">
        <f>IF($X100="","",INDEX(Assessment!$L:$L,$X100))</f>
        <v>PSIRT Lead (Legal reviews policy wording)</v>
      </c>
      <c r="I100" s="10" t="str">
        <f>IF($X100="","",INDEX(Assessment!$N:$N,$X100))</f>
        <v>M</v>
      </c>
      <c r="X100">
        <f>IF(84&lt;=$B$6,SMALL($Y$2:$Y$593,84),IF(84&lt;=$B$6+$B$7,SMALL($Z$2:$Z$593,84-$B$6),""))</f>
        <v>527</v>
      </c>
      <c r="Y100" t="str">
        <f>IF(Assessment!$G100="Critical",ROW(Assessment!$G100),"")</f>
        <v/>
      </c>
      <c r="Z100" t="str">
        <f>IF(Assessment!$G100="High",ROW(Assessment!$G100),"")</f>
        <v/>
      </c>
    </row>
    <row r="101" spans="1:26" ht="38.25" x14ac:dyDescent="0.25">
      <c r="A101" s="10">
        <f>IF($X101="","",85)</f>
        <v>85</v>
      </c>
      <c r="B101" s="10" t="str">
        <f>IF($X101="","",INDEX(Assessment!$A:$A,$X101))</f>
        <v>TR3-4.4.4d</v>
      </c>
      <c r="C101" s="10" t="str">
        <f>IF($X101="","",INDEX(Assessment!$B:$B,$X101))</f>
        <v>BSI TR-03183-3 v1.0.0</v>
      </c>
      <c r="D101" s="10" t="str">
        <f>IF($X101="","",INDEX(Assessment!$C:$C,$X101))</f>
        <v>4.4.4 Assurances of the manufacturer to the reporting entity</v>
      </c>
      <c r="E101" s="10" t="str">
        <f>IF($X101="","",INDEX(Assessment!$F:$F,$X101))</f>
        <v>CVD policy - assurances to reporters</v>
      </c>
      <c r="F101" s="10" t="str">
        <f>IF($X101="","",INDEX(Assessment!$G:$G,$X101))</f>
        <v>High</v>
      </c>
      <c r="G101" s="10" t="str">
        <f>IF($X101="","",INDEX(Assessment!$J:$J,$X101))</f>
        <v>Write into the CVD policy / PSIRT procedure and apply in case handling: no criminal charges against good-faith reporters who comply with the policy.</v>
      </c>
      <c r="H101" s="10" t="str">
        <f>IF($X101="","",INDEX(Assessment!$L:$L,$X101))</f>
        <v>PSIRT Lead (Legal reviews policy wording)</v>
      </c>
      <c r="I101" s="10" t="str">
        <f>IF($X101="","",INDEX(Assessment!$N:$N,$X101))</f>
        <v>M</v>
      </c>
      <c r="X101">
        <f>IF(85&lt;=$B$6,SMALL($Y$2:$Y$593,85),IF(85&lt;=$B$6+$B$7,SMALL($Z$2:$Z$593,85-$B$6),""))</f>
        <v>528</v>
      </c>
      <c r="Y101" t="str">
        <f>IF(Assessment!$G101="Critical",ROW(Assessment!$G101),"")</f>
        <v/>
      </c>
      <c r="Z101" t="str">
        <f>IF(Assessment!$G101="High",ROW(Assessment!$G101),"")</f>
        <v/>
      </c>
    </row>
    <row r="102" spans="1:26" ht="25.5" x14ac:dyDescent="0.25">
      <c r="A102" s="10">
        <f>IF($X102="","",86)</f>
        <v>86</v>
      </c>
      <c r="B102" s="10" t="str">
        <f>IF($X102="","",INDEX(Assessment!$A:$A,$X102))</f>
        <v>TR3-4.4.7g</v>
      </c>
      <c r="C102" s="10" t="str">
        <f>IF($X102="","",INDEX(Assessment!$B:$B,$X102))</f>
        <v>BSI TR-03183-3 v1.0.0</v>
      </c>
      <c r="D102" s="10" t="str">
        <f>IF($X102="","",INDEX(Assessment!$C:$C,$X102))</f>
        <v>4.4.7 Good communication</v>
      </c>
      <c r="E102" s="10" t="str">
        <f>IF($X102="","",INDEX(Assessment!$F:$F,$X102))</f>
        <v>CVD policy - communication</v>
      </c>
      <c r="F102" s="10" t="str">
        <f>IF($X102="","",INDEX(Assessment!$G:$G,$X102))</f>
        <v>High</v>
      </c>
      <c r="G102" s="10" t="str">
        <f>IF($X102="","",INDEX(Assessment!$J:$J,$X102))</f>
        <v>Write into the CVD policy / PSIRT procedure and apply in case handling: treat all reports to the best extent and ensure no single analyst can close a report.</v>
      </c>
      <c r="H102" s="10" t="str">
        <f>IF($X102="","",INDEX(Assessment!$L:$L,$X102))</f>
        <v>PSIRT Lead (Legal reviews policy wording)</v>
      </c>
      <c r="I102" s="10" t="str">
        <f>IF($X102="","",INDEX(Assessment!$N:$N,$X102))</f>
        <v>M</v>
      </c>
      <c r="X102">
        <f>IF(86&lt;=$B$6,SMALL($Y$2:$Y$593,86),IF(86&lt;=$B$6+$B$7,SMALL($Z$2:$Z$593,86-$B$6),""))</f>
        <v>553</v>
      </c>
      <c r="Y102" t="str">
        <f>IF(Assessment!$G102="Critical",ROW(Assessment!$G102),"")</f>
        <v/>
      </c>
      <c r="Z102" t="str">
        <f>IF(Assessment!$G102="High",ROW(Assessment!$G102),"")</f>
        <v/>
      </c>
    </row>
    <row r="103" spans="1:26" ht="25.5" x14ac:dyDescent="0.25">
      <c r="A103" s="10">
        <f>IF($X103="","",87)</f>
        <v>87</v>
      </c>
      <c r="B103" s="10" t="str">
        <f>IF($X103="","",INDEX(Assessment!$A:$A,$X103))</f>
        <v>TR3-4.4.8a-a</v>
      </c>
      <c r="C103" s="10" t="str">
        <f>IF($X103="","",INDEX(Assessment!$B:$B,$X103))</f>
        <v>BSI TR-03183-3 v1.0.0</v>
      </c>
      <c r="D103" s="10" t="str">
        <f>IF($X103="","",INDEX(Assessment!$C:$C,$X103))</f>
        <v>4.4.8 Guaranteed response times</v>
      </c>
      <c r="E103" s="10" t="str">
        <f>IF($X103="","",INDEX(Assessment!$F:$F,$X103))</f>
        <v>CVD policy - response times</v>
      </c>
      <c r="F103" s="10" t="str">
        <f>IF($X103="","",INDEX(Assessment!$G:$G,$X103))</f>
        <v>High</v>
      </c>
      <c r="G103" s="10" t="str">
        <f>IF($X103="","",INDEX(Assessment!$J:$J,$X103))</f>
        <v>Write into the CVD policy / PSIRT procedure and apply in case handling: give a simple response within five working days (not for anonymous reports).</v>
      </c>
      <c r="H103" s="10" t="str">
        <f>IF($X103="","",INDEX(Assessment!$L:$L,$X103))</f>
        <v>PSIRT Lead (Legal reviews policy wording)</v>
      </c>
      <c r="I103" s="10" t="str">
        <f>IF($X103="","",INDEX(Assessment!$N:$N,$X103))</f>
        <v>M</v>
      </c>
      <c r="X103">
        <f>IF(87&lt;=$B$6,SMALL($Y$2:$Y$593,87),IF(87&lt;=$B$6+$B$7,SMALL($Z$2:$Z$593,87-$B$6),""))</f>
        <v>554</v>
      </c>
      <c r="Y103" t="str">
        <f>IF(Assessment!$G103="Critical",ROW(Assessment!$G103),"")</f>
        <v/>
      </c>
      <c r="Z103" t="str">
        <f>IF(Assessment!$G103="High",ROW(Assessment!$G103),"")</f>
        <v/>
      </c>
    </row>
    <row r="104" spans="1:26" ht="38.25" x14ac:dyDescent="0.25">
      <c r="A104" s="10">
        <f>IF($X104="","",88)</f>
        <v>88</v>
      </c>
      <c r="B104" s="10" t="str">
        <f>IF($X104="","",INDEX(Assessment!$A:$A,$X104))</f>
        <v>TR3-4.4.8b</v>
      </c>
      <c r="C104" s="10" t="str">
        <f>IF($X104="","",INDEX(Assessment!$B:$B,$X104))</f>
        <v>BSI TR-03183-3 v1.0.0</v>
      </c>
      <c r="D104" s="10" t="str">
        <f>IF($X104="","",INDEX(Assessment!$C:$C,$X104))</f>
        <v>4.4.8 Guaranteed response times</v>
      </c>
      <c r="E104" s="10" t="str">
        <f>IF($X104="","",INDEX(Assessment!$F:$F,$X104))</f>
        <v>CVD policy - response times</v>
      </c>
      <c r="F104" s="10" t="str">
        <f>IF($X104="","",INDEX(Assessment!$G:$G,$X104))</f>
        <v>High</v>
      </c>
      <c r="G104" s="10" t="str">
        <f>IF($X104="","",INDEX(Assessment!$J:$J,$X104))</f>
        <v>Write into the CVD policy / PSIRT procedure and apply in case handling: give detailed feedback after analysis within ten working days (not for anonymous reports).</v>
      </c>
      <c r="H104" s="10" t="str">
        <f>IF($X104="","",INDEX(Assessment!$L:$L,$X104))</f>
        <v>PSIRT Lead (Legal reviews policy wording)</v>
      </c>
      <c r="I104" s="10" t="str">
        <f>IF($X104="","",INDEX(Assessment!$N:$N,$X104))</f>
        <v>M</v>
      </c>
      <c r="X104">
        <f>IF(88&lt;=$B$6,SMALL($Y$2:$Y$593,88),IF(88&lt;=$B$6+$B$7,SMALL($Z$2:$Z$593,88-$B$6),""))</f>
        <v>556</v>
      </c>
      <c r="Y104" t="str">
        <f>IF(Assessment!$G104="Critical",ROW(Assessment!$G104),"")</f>
        <v/>
      </c>
      <c r="Z104" t="str">
        <f>IF(Assessment!$G104="High",ROW(Assessment!$G104),"")</f>
        <v/>
      </c>
    </row>
    <row r="105" spans="1:26" ht="38.25" x14ac:dyDescent="0.25">
      <c r="A105" s="10">
        <f>IF($X105="","",89)</f>
        <v>89</v>
      </c>
      <c r="B105" s="10" t="str">
        <f>IF($X105="","",INDEX(Assessment!$A:$A,$X105))</f>
        <v>TR3-4.4.10a-a</v>
      </c>
      <c r="C105" s="10" t="str">
        <f>IF($X105="","",INDEX(Assessment!$B:$B,$X105))</f>
        <v>BSI TR-03183-3 v1.0.0</v>
      </c>
      <c r="D105" s="10" t="str">
        <f>IF($X105="","",INDEX(Assessment!$C:$C,$X105))</f>
        <v>4.4.10 Vulnerability disclosure</v>
      </c>
      <c r="E105" s="10" t="str">
        <f>IF($X105="","",INDEX(Assessment!$F:$F,$X105))</f>
        <v>Vulnerability disclosure</v>
      </c>
      <c r="F105" s="10" t="str">
        <f>IF($X105="","",INDEX(Assessment!$G:$G,$X105))</f>
        <v>High</v>
      </c>
      <c r="G105" s="10" t="str">
        <f>IF($X105="","",INDEX(Assessment!$J:$J,$X105))</f>
        <v>publicly disclose validated and verified vulnerabilities within 90 days unless fixed before placing on the market - define the disclosure workflow, deadlines and approvals.</v>
      </c>
      <c r="H105" s="10" t="str">
        <f>IF($X105="","",INDEX(Assessment!$L:$L,$X105))</f>
        <v>PSIRT Lead</v>
      </c>
      <c r="I105" s="10" t="str">
        <f>IF($X105="","",INDEX(Assessment!$N:$N,$X105))</f>
        <v>M</v>
      </c>
      <c r="X105">
        <f>IF(89&lt;=$B$6,SMALL($Y$2:$Y$593,89),IF(89&lt;=$B$6+$B$7,SMALL($Z$2:$Z$593,89-$B$6),""))</f>
        <v>563</v>
      </c>
      <c r="Y105" t="str">
        <f>IF(Assessment!$G105="Critical",ROW(Assessment!$G105),"")</f>
        <v/>
      </c>
      <c r="Z105" t="str">
        <f>IF(Assessment!$G105="High",ROW(Assessment!$G105),"")</f>
        <v/>
      </c>
    </row>
    <row r="106" spans="1:26" x14ac:dyDescent="0.25">
      <c r="A106" s="10" t="str">
        <f>IF($X106="","",90)</f>
        <v/>
      </c>
      <c r="B106" s="10" t="str">
        <f>IF($X106="","",INDEX(Assessment!$A:$A,$X106))</f>
        <v/>
      </c>
      <c r="C106" s="10" t="str">
        <f>IF($X106="","",INDEX(Assessment!$B:$B,$X106))</f>
        <v/>
      </c>
      <c r="D106" s="10" t="str">
        <f>IF($X106="","",INDEX(Assessment!$C:$C,$X106))</f>
        <v/>
      </c>
      <c r="E106" s="10" t="str">
        <f>IF($X106="","",INDEX(Assessment!$F:$F,$X106))</f>
        <v/>
      </c>
      <c r="F106" s="10" t="str">
        <f>IF($X106="","",INDEX(Assessment!$G:$G,$X106))</f>
        <v/>
      </c>
      <c r="G106" s="10" t="str">
        <f>IF($X106="","",INDEX(Assessment!$J:$J,$X106))</f>
        <v/>
      </c>
      <c r="H106" s="10" t="str">
        <f>IF($X106="","",INDEX(Assessment!$L:$L,$X106))</f>
        <v/>
      </c>
      <c r="I106" s="10" t="str">
        <f>IF($X106="","",INDEX(Assessment!$N:$N,$X106))</f>
        <v/>
      </c>
      <c r="X106" t="str">
        <f>IF(90&lt;=$B$6,SMALL($Y$2:$Y$593,90),IF(90&lt;=$B$6+$B$7,SMALL($Z$2:$Z$593,90-$B$6),""))</f>
        <v/>
      </c>
      <c r="Y106" t="str">
        <f>IF(Assessment!$G106="Critical",ROW(Assessment!$G106),"")</f>
        <v/>
      </c>
      <c r="Z106" t="str">
        <f>IF(Assessment!$G106="High",ROW(Assessment!$G106),"")</f>
        <v/>
      </c>
    </row>
    <row r="107" spans="1:26" x14ac:dyDescent="0.25">
      <c r="A107" s="10" t="str">
        <f>IF($X107="","",91)</f>
        <v/>
      </c>
      <c r="B107" s="10" t="str">
        <f>IF($X107="","",INDEX(Assessment!$A:$A,$X107))</f>
        <v/>
      </c>
      <c r="C107" s="10" t="str">
        <f>IF($X107="","",INDEX(Assessment!$B:$B,$X107))</f>
        <v/>
      </c>
      <c r="D107" s="10" t="str">
        <f>IF($X107="","",INDEX(Assessment!$C:$C,$X107))</f>
        <v/>
      </c>
      <c r="E107" s="10" t="str">
        <f>IF($X107="","",INDEX(Assessment!$F:$F,$X107))</f>
        <v/>
      </c>
      <c r="F107" s="10" t="str">
        <f>IF($X107="","",INDEX(Assessment!$G:$G,$X107))</f>
        <v/>
      </c>
      <c r="G107" s="10" t="str">
        <f>IF($X107="","",INDEX(Assessment!$J:$J,$X107))</f>
        <v/>
      </c>
      <c r="H107" s="10" t="str">
        <f>IF($X107="","",INDEX(Assessment!$L:$L,$X107))</f>
        <v/>
      </c>
      <c r="I107" s="10" t="str">
        <f>IF($X107="","",INDEX(Assessment!$N:$N,$X107))</f>
        <v/>
      </c>
      <c r="X107" t="str">
        <f>IF(91&lt;=$B$6,SMALL($Y$2:$Y$593,91),IF(91&lt;=$B$6+$B$7,SMALL($Z$2:$Z$593,91-$B$6),""))</f>
        <v/>
      </c>
      <c r="Y107" t="str">
        <f>IF(Assessment!$G107="Critical",ROW(Assessment!$G107),"")</f>
        <v/>
      </c>
      <c r="Z107" t="str">
        <f>IF(Assessment!$G107="High",ROW(Assessment!$G107),"")</f>
        <v/>
      </c>
    </row>
    <row r="108" spans="1:26" x14ac:dyDescent="0.25">
      <c r="A108" s="10" t="str">
        <f>IF($X108="","",92)</f>
        <v/>
      </c>
      <c r="B108" s="10" t="str">
        <f>IF($X108="","",INDEX(Assessment!$A:$A,$X108))</f>
        <v/>
      </c>
      <c r="C108" s="10" t="str">
        <f>IF($X108="","",INDEX(Assessment!$B:$B,$X108))</f>
        <v/>
      </c>
      <c r="D108" s="10" t="str">
        <f>IF($X108="","",INDEX(Assessment!$C:$C,$X108))</f>
        <v/>
      </c>
      <c r="E108" s="10" t="str">
        <f>IF($X108="","",INDEX(Assessment!$F:$F,$X108))</f>
        <v/>
      </c>
      <c r="F108" s="10" t="str">
        <f>IF($X108="","",INDEX(Assessment!$G:$G,$X108))</f>
        <v/>
      </c>
      <c r="G108" s="10" t="str">
        <f>IF($X108="","",INDEX(Assessment!$J:$J,$X108))</f>
        <v/>
      </c>
      <c r="H108" s="10" t="str">
        <f>IF($X108="","",INDEX(Assessment!$L:$L,$X108))</f>
        <v/>
      </c>
      <c r="I108" s="10" t="str">
        <f>IF($X108="","",INDEX(Assessment!$N:$N,$X108))</f>
        <v/>
      </c>
      <c r="X108" t="str">
        <f>IF(92&lt;=$B$6,SMALL($Y$2:$Y$593,92),IF(92&lt;=$B$6+$B$7,SMALL($Z$2:$Z$593,92-$B$6),""))</f>
        <v/>
      </c>
      <c r="Y108" t="str">
        <f>IF(Assessment!$G108="Critical",ROW(Assessment!$G108),"")</f>
        <v/>
      </c>
      <c r="Z108" t="str">
        <f>IF(Assessment!$G108="High",ROW(Assessment!$G108),"")</f>
        <v/>
      </c>
    </row>
    <row r="109" spans="1:26" x14ac:dyDescent="0.25">
      <c r="A109" s="10" t="str">
        <f>IF($X109="","",93)</f>
        <v/>
      </c>
      <c r="B109" s="10" t="str">
        <f>IF($X109="","",INDEX(Assessment!$A:$A,$X109))</f>
        <v/>
      </c>
      <c r="C109" s="10" t="str">
        <f>IF($X109="","",INDEX(Assessment!$B:$B,$X109))</f>
        <v/>
      </c>
      <c r="D109" s="10" t="str">
        <f>IF($X109="","",INDEX(Assessment!$C:$C,$X109))</f>
        <v/>
      </c>
      <c r="E109" s="10" t="str">
        <f>IF($X109="","",INDEX(Assessment!$F:$F,$X109))</f>
        <v/>
      </c>
      <c r="F109" s="10" t="str">
        <f>IF($X109="","",INDEX(Assessment!$G:$G,$X109))</f>
        <v/>
      </c>
      <c r="G109" s="10" t="str">
        <f>IF($X109="","",INDEX(Assessment!$J:$J,$X109))</f>
        <v/>
      </c>
      <c r="H109" s="10" t="str">
        <f>IF($X109="","",INDEX(Assessment!$L:$L,$X109))</f>
        <v/>
      </c>
      <c r="I109" s="10" t="str">
        <f>IF($X109="","",INDEX(Assessment!$N:$N,$X109))</f>
        <v/>
      </c>
      <c r="X109" t="str">
        <f>IF(93&lt;=$B$6,SMALL($Y$2:$Y$593,93),IF(93&lt;=$B$6+$B$7,SMALL($Z$2:$Z$593,93-$B$6),""))</f>
        <v/>
      </c>
      <c r="Y109" t="str">
        <f>IF(Assessment!$G109="Critical",ROW(Assessment!$G109),"")</f>
        <v/>
      </c>
      <c r="Z109" t="str">
        <f>IF(Assessment!$G109="High",ROW(Assessment!$G109),"")</f>
        <v/>
      </c>
    </row>
    <row r="110" spans="1:26" x14ac:dyDescent="0.25">
      <c r="A110" s="10" t="str">
        <f>IF($X110="","",94)</f>
        <v/>
      </c>
      <c r="B110" s="10" t="str">
        <f>IF($X110="","",INDEX(Assessment!$A:$A,$X110))</f>
        <v/>
      </c>
      <c r="C110" s="10" t="str">
        <f>IF($X110="","",INDEX(Assessment!$B:$B,$X110))</f>
        <v/>
      </c>
      <c r="D110" s="10" t="str">
        <f>IF($X110="","",INDEX(Assessment!$C:$C,$X110))</f>
        <v/>
      </c>
      <c r="E110" s="10" t="str">
        <f>IF($X110="","",INDEX(Assessment!$F:$F,$X110))</f>
        <v/>
      </c>
      <c r="F110" s="10" t="str">
        <f>IF($X110="","",INDEX(Assessment!$G:$G,$X110))</f>
        <v/>
      </c>
      <c r="G110" s="10" t="str">
        <f>IF($X110="","",INDEX(Assessment!$J:$J,$X110))</f>
        <v/>
      </c>
      <c r="H110" s="10" t="str">
        <f>IF($X110="","",INDEX(Assessment!$L:$L,$X110))</f>
        <v/>
      </c>
      <c r="I110" s="10" t="str">
        <f>IF($X110="","",INDEX(Assessment!$N:$N,$X110))</f>
        <v/>
      </c>
      <c r="X110" t="str">
        <f>IF(94&lt;=$B$6,SMALL($Y$2:$Y$593,94),IF(94&lt;=$B$6+$B$7,SMALL($Z$2:$Z$593,94-$B$6),""))</f>
        <v/>
      </c>
      <c r="Y110" t="str">
        <f>IF(Assessment!$G110="Critical",ROW(Assessment!$G110),"")</f>
        <v/>
      </c>
      <c r="Z110" t="str">
        <f>IF(Assessment!$G110="High",ROW(Assessment!$G110),"")</f>
        <v/>
      </c>
    </row>
    <row r="111" spans="1:26" x14ac:dyDescent="0.25">
      <c r="A111" s="10" t="str">
        <f>IF($X111="","",95)</f>
        <v/>
      </c>
      <c r="B111" s="10" t="str">
        <f>IF($X111="","",INDEX(Assessment!$A:$A,$X111))</f>
        <v/>
      </c>
      <c r="C111" s="10" t="str">
        <f>IF($X111="","",INDEX(Assessment!$B:$B,$X111))</f>
        <v/>
      </c>
      <c r="D111" s="10" t="str">
        <f>IF($X111="","",INDEX(Assessment!$C:$C,$X111))</f>
        <v/>
      </c>
      <c r="E111" s="10" t="str">
        <f>IF($X111="","",INDEX(Assessment!$F:$F,$X111))</f>
        <v/>
      </c>
      <c r="F111" s="10" t="str">
        <f>IF($X111="","",INDEX(Assessment!$G:$G,$X111))</f>
        <v/>
      </c>
      <c r="G111" s="10" t="str">
        <f>IF($X111="","",INDEX(Assessment!$J:$J,$X111))</f>
        <v/>
      </c>
      <c r="H111" s="10" t="str">
        <f>IF($X111="","",INDEX(Assessment!$L:$L,$X111))</f>
        <v/>
      </c>
      <c r="I111" s="10" t="str">
        <f>IF($X111="","",INDEX(Assessment!$N:$N,$X111))</f>
        <v/>
      </c>
      <c r="X111" t="str">
        <f>IF(95&lt;=$B$6,SMALL($Y$2:$Y$593,95),IF(95&lt;=$B$6+$B$7,SMALL($Z$2:$Z$593,95-$B$6),""))</f>
        <v/>
      </c>
      <c r="Y111" t="str">
        <f>IF(Assessment!$G111="Critical",ROW(Assessment!$G111),"")</f>
        <v/>
      </c>
      <c r="Z111" t="str">
        <f>IF(Assessment!$G111="High",ROW(Assessment!$G111),"")</f>
        <v/>
      </c>
    </row>
    <row r="112" spans="1:26" x14ac:dyDescent="0.25">
      <c r="A112" s="10" t="str">
        <f>IF($X112="","",96)</f>
        <v/>
      </c>
      <c r="B112" s="10" t="str">
        <f>IF($X112="","",INDEX(Assessment!$A:$A,$X112))</f>
        <v/>
      </c>
      <c r="C112" s="10" t="str">
        <f>IF($X112="","",INDEX(Assessment!$B:$B,$X112))</f>
        <v/>
      </c>
      <c r="D112" s="10" t="str">
        <f>IF($X112="","",INDEX(Assessment!$C:$C,$X112))</f>
        <v/>
      </c>
      <c r="E112" s="10" t="str">
        <f>IF($X112="","",INDEX(Assessment!$F:$F,$X112))</f>
        <v/>
      </c>
      <c r="F112" s="10" t="str">
        <f>IF($X112="","",INDEX(Assessment!$G:$G,$X112))</f>
        <v/>
      </c>
      <c r="G112" s="10" t="str">
        <f>IF($X112="","",INDEX(Assessment!$J:$J,$X112))</f>
        <v/>
      </c>
      <c r="H112" s="10" t="str">
        <f>IF($X112="","",INDEX(Assessment!$L:$L,$X112))</f>
        <v/>
      </c>
      <c r="I112" s="10" t="str">
        <f>IF($X112="","",INDEX(Assessment!$N:$N,$X112))</f>
        <v/>
      </c>
      <c r="X112" t="str">
        <f>IF(96&lt;=$B$6,SMALL($Y$2:$Y$593,96),IF(96&lt;=$B$6+$B$7,SMALL($Z$2:$Z$593,96-$B$6),""))</f>
        <v/>
      </c>
      <c r="Y112" t="str">
        <f>IF(Assessment!$G112="Critical",ROW(Assessment!$G112),"")</f>
        <v/>
      </c>
      <c r="Z112" t="str">
        <f>IF(Assessment!$G112="High",ROW(Assessment!$G112),"")</f>
        <v/>
      </c>
    </row>
    <row r="113" spans="1:26" x14ac:dyDescent="0.25">
      <c r="A113" s="10" t="str">
        <f>IF($X113="","",97)</f>
        <v/>
      </c>
      <c r="B113" s="10" t="str">
        <f>IF($X113="","",INDEX(Assessment!$A:$A,$X113))</f>
        <v/>
      </c>
      <c r="C113" s="10" t="str">
        <f>IF($X113="","",INDEX(Assessment!$B:$B,$X113))</f>
        <v/>
      </c>
      <c r="D113" s="10" t="str">
        <f>IF($X113="","",INDEX(Assessment!$C:$C,$X113))</f>
        <v/>
      </c>
      <c r="E113" s="10" t="str">
        <f>IF($X113="","",INDEX(Assessment!$F:$F,$X113))</f>
        <v/>
      </c>
      <c r="F113" s="10" t="str">
        <f>IF($X113="","",INDEX(Assessment!$G:$G,$X113))</f>
        <v/>
      </c>
      <c r="G113" s="10" t="str">
        <f>IF($X113="","",INDEX(Assessment!$J:$J,$X113))</f>
        <v/>
      </c>
      <c r="H113" s="10" t="str">
        <f>IF($X113="","",INDEX(Assessment!$L:$L,$X113))</f>
        <v/>
      </c>
      <c r="I113" s="10" t="str">
        <f>IF($X113="","",INDEX(Assessment!$N:$N,$X113))</f>
        <v/>
      </c>
      <c r="X113" t="str">
        <f>IF(97&lt;=$B$6,SMALL($Y$2:$Y$593,97),IF(97&lt;=$B$6+$B$7,SMALL($Z$2:$Z$593,97-$B$6),""))</f>
        <v/>
      </c>
      <c r="Y113" t="str">
        <f>IF(Assessment!$G113="Critical",ROW(Assessment!$G113),"")</f>
        <v/>
      </c>
      <c r="Z113" t="str">
        <f>IF(Assessment!$G113="High",ROW(Assessment!$G113),"")</f>
        <v/>
      </c>
    </row>
    <row r="114" spans="1:26" x14ac:dyDescent="0.25">
      <c r="A114" s="10" t="str">
        <f>IF($X114="","",98)</f>
        <v/>
      </c>
      <c r="B114" s="10" t="str">
        <f>IF($X114="","",INDEX(Assessment!$A:$A,$X114))</f>
        <v/>
      </c>
      <c r="C114" s="10" t="str">
        <f>IF($X114="","",INDEX(Assessment!$B:$B,$X114))</f>
        <v/>
      </c>
      <c r="D114" s="10" t="str">
        <f>IF($X114="","",INDEX(Assessment!$C:$C,$X114))</f>
        <v/>
      </c>
      <c r="E114" s="10" t="str">
        <f>IF($X114="","",INDEX(Assessment!$F:$F,$X114))</f>
        <v/>
      </c>
      <c r="F114" s="10" t="str">
        <f>IF($X114="","",INDEX(Assessment!$G:$G,$X114))</f>
        <v/>
      </c>
      <c r="G114" s="10" t="str">
        <f>IF($X114="","",INDEX(Assessment!$J:$J,$X114))</f>
        <v/>
      </c>
      <c r="H114" s="10" t="str">
        <f>IF($X114="","",INDEX(Assessment!$L:$L,$X114))</f>
        <v/>
      </c>
      <c r="I114" s="10" t="str">
        <f>IF($X114="","",INDEX(Assessment!$N:$N,$X114))</f>
        <v/>
      </c>
      <c r="X114" t="str">
        <f>IF(98&lt;=$B$6,SMALL($Y$2:$Y$593,98),IF(98&lt;=$B$6+$B$7,SMALL($Z$2:$Z$593,98-$B$6),""))</f>
        <v/>
      </c>
      <c r="Y114" t="str">
        <f>IF(Assessment!$G114="Critical",ROW(Assessment!$G114),"")</f>
        <v/>
      </c>
      <c r="Z114" t="str">
        <f>IF(Assessment!$G114="High",ROW(Assessment!$G114),"")</f>
        <v/>
      </c>
    </row>
    <row r="115" spans="1:26" x14ac:dyDescent="0.25">
      <c r="A115" s="10" t="str">
        <f>IF($X115="","",99)</f>
        <v/>
      </c>
      <c r="B115" s="10" t="str">
        <f>IF($X115="","",INDEX(Assessment!$A:$A,$X115))</f>
        <v/>
      </c>
      <c r="C115" s="10" t="str">
        <f>IF($X115="","",INDEX(Assessment!$B:$B,$X115))</f>
        <v/>
      </c>
      <c r="D115" s="10" t="str">
        <f>IF($X115="","",INDEX(Assessment!$C:$C,$X115))</f>
        <v/>
      </c>
      <c r="E115" s="10" t="str">
        <f>IF($X115="","",INDEX(Assessment!$F:$F,$X115))</f>
        <v/>
      </c>
      <c r="F115" s="10" t="str">
        <f>IF($X115="","",INDEX(Assessment!$G:$G,$X115))</f>
        <v/>
      </c>
      <c r="G115" s="10" t="str">
        <f>IF($X115="","",INDEX(Assessment!$J:$J,$X115))</f>
        <v/>
      </c>
      <c r="H115" s="10" t="str">
        <f>IF($X115="","",INDEX(Assessment!$L:$L,$X115))</f>
        <v/>
      </c>
      <c r="I115" s="10" t="str">
        <f>IF($X115="","",INDEX(Assessment!$N:$N,$X115))</f>
        <v/>
      </c>
      <c r="X115" t="str">
        <f>IF(99&lt;=$B$6,SMALL($Y$2:$Y$593,99),IF(99&lt;=$B$6+$B$7,SMALL($Z$2:$Z$593,99-$B$6),""))</f>
        <v/>
      </c>
      <c r="Y115" t="str">
        <f>IF(Assessment!$G115="Critical",ROW(Assessment!$G115),"")</f>
        <v/>
      </c>
      <c r="Z115" t="str">
        <f>IF(Assessment!$G115="High",ROW(Assessment!$G115),"")</f>
        <v/>
      </c>
    </row>
    <row r="116" spans="1:26" x14ac:dyDescent="0.25">
      <c r="A116" s="10" t="str">
        <f>IF($X116="","",100)</f>
        <v/>
      </c>
      <c r="B116" s="10" t="str">
        <f>IF($X116="","",INDEX(Assessment!$A:$A,$X116))</f>
        <v/>
      </c>
      <c r="C116" s="10" t="str">
        <f>IF($X116="","",INDEX(Assessment!$B:$B,$X116))</f>
        <v/>
      </c>
      <c r="D116" s="10" t="str">
        <f>IF($X116="","",INDEX(Assessment!$C:$C,$X116))</f>
        <v/>
      </c>
      <c r="E116" s="10" t="str">
        <f>IF($X116="","",INDEX(Assessment!$F:$F,$X116))</f>
        <v/>
      </c>
      <c r="F116" s="10" t="str">
        <f>IF($X116="","",INDEX(Assessment!$G:$G,$X116))</f>
        <v/>
      </c>
      <c r="G116" s="10" t="str">
        <f>IF($X116="","",INDEX(Assessment!$J:$J,$X116))</f>
        <v/>
      </c>
      <c r="H116" s="10" t="str">
        <f>IF($X116="","",INDEX(Assessment!$L:$L,$X116))</f>
        <v/>
      </c>
      <c r="I116" s="10" t="str">
        <f>IF($X116="","",INDEX(Assessment!$N:$N,$X116))</f>
        <v/>
      </c>
      <c r="X116" t="str">
        <f>IF(100&lt;=$B$6,SMALL($Y$2:$Y$593,100),IF(100&lt;=$B$6+$B$7,SMALL($Z$2:$Z$593,100-$B$6),""))</f>
        <v/>
      </c>
      <c r="Y116" t="str">
        <f>IF(Assessment!$G116="Critical",ROW(Assessment!$G116),"")</f>
        <v/>
      </c>
      <c r="Z116" t="str">
        <f>IF(Assessment!$G116="High",ROW(Assessment!$G116),"")</f>
        <v/>
      </c>
    </row>
    <row r="117" spans="1:26" x14ac:dyDescent="0.25">
      <c r="A117" s="10" t="str">
        <f>IF($X117="","",101)</f>
        <v/>
      </c>
      <c r="B117" s="10" t="str">
        <f>IF($X117="","",INDEX(Assessment!$A:$A,$X117))</f>
        <v/>
      </c>
      <c r="C117" s="10" t="str">
        <f>IF($X117="","",INDEX(Assessment!$B:$B,$X117))</f>
        <v/>
      </c>
      <c r="D117" s="10" t="str">
        <f>IF($X117="","",INDEX(Assessment!$C:$C,$X117))</f>
        <v/>
      </c>
      <c r="E117" s="10" t="str">
        <f>IF($X117="","",INDEX(Assessment!$F:$F,$X117))</f>
        <v/>
      </c>
      <c r="F117" s="10" t="str">
        <f>IF($X117="","",INDEX(Assessment!$G:$G,$X117))</f>
        <v/>
      </c>
      <c r="G117" s="10" t="str">
        <f>IF($X117="","",INDEX(Assessment!$J:$J,$X117))</f>
        <v/>
      </c>
      <c r="H117" s="10" t="str">
        <f>IF($X117="","",INDEX(Assessment!$L:$L,$X117))</f>
        <v/>
      </c>
      <c r="I117" s="10" t="str">
        <f>IF($X117="","",INDEX(Assessment!$N:$N,$X117))</f>
        <v/>
      </c>
      <c r="X117" t="str">
        <f>IF(101&lt;=$B$6,SMALL($Y$2:$Y$593,101),IF(101&lt;=$B$6+$B$7,SMALL($Z$2:$Z$593,101-$B$6),""))</f>
        <v/>
      </c>
      <c r="Y117" t="str">
        <f>IF(Assessment!$G117="Critical",ROW(Assessment!$G117),"")</f>
        <v/>
      </c>
      <c r="Z117" t="str">
        <f>IF(Assessment!$G117="High",ROW(Assessment!$G117),"")</f>
        <v/>
      </c>
    </row>
    <row r="118" spans="1:26" x14ac:dyDescent="0.25">
      <c r="A118" s="10" t="str">
        <f>IF($X118="","",102)</f>
        <v/>
      </c>
      <c r="B118" s="10" t="str">
        <f>IF($X118="","",INDEX(Assessment!$A:$A,$X118))</f>
        <v/>
      </c>
      <c r="C118" s="10" t="str">
        <f>IF($X118="","",INDEX(Assessment!$B:$B,$X118))</f>
        <v/>
      </c>
      <c r="D118" s="10" t="str">
        <f>IF($X118="","",INDEX(Assessment!$C:$C,$X118))</f>
        <v/>
      </c>
      <c r="E118" s="10" t="str">
        <f>IF($X118="","",INDEX(Assessment!$F:$F,$X118))</f>
        <v/>
      </c>
      <c r="F118" s="10" t="str">
        <f>IF($X118="","",INDEX(Assessment!$G:$G,$X118))</f>
        <v/>
      </c>
      <c r="G118" s="10" t="str">
        <f>IF($X118="","",INDEX(Assessment!$J:$J,$X118))</f>
        <v/>
      </c>
      <c r="H118" s="10" t="str">
        <f>IF($X118="","",INDEX(Assessment!$L:$L,$X118))</f>
        <v/>
      </c>
      <c r="I118" s="10" t="str">
        <f>IF($X118="","",INDEX(Assessment!$N:$N,$X118))</f>
        <v/>
      </c>
      <c r="X118" t="str">
        <f>IF(102&lt;=$B$6,SMALL($Y$2:$Y$593,102),IF(102&lt;=$B$6+$B$7,SMALL($Z$2:$Z$593,102-$B$6),""))</f>
        <v/>
      </c>
      <c r="Y118" t="str">
        <f>IF(Assessment!$G118="Critical",ROW(Assessment!$G118),"")</f>
        <v/>
      </c>
      <c r="Z118" t="str">
        <f>IF(Assessment!$G118="High",ROW(Assessment!$G118),"")</f>
        <v/>
      </c>
    </row>
    <row r="119" spans="1:26" x14ac:dyDescent="0.25">
      <c r="A119" s="10" t="str">
        <f>IF($X119="","",103)</f>
        <v/>
      </c>
      <c r="B119" s="10" t="str">
        <f>IF($X119="","",INDEX(Assessment!$A:$A,$X119))</f>
        <v/>
      </c>
      <c r="C119" s="10" t="str">
        <f>IF($X119="","",INDEX(Assessment!$B:$B,$X119))</f>
        <v/>
      </c>
      <c r="D119" s="10" t="str">
        <f>IF($X119="","",INDEX(Assessment!$C:$C,$X119))</f>
        <v/>
      </c>
      <c r="E119" s="10" t="str">
        <f>IF($X119="","",INDEX(Assessment!$F:$F,$X119))</f>
        <v/>
      </c>
      <c r="F119" s="10" t="str">
        <f>IF($X119="","",INDEX(Assessment!$G:$G,$X119))</f>
        <v/>
      </c>
      <c r="G119" s="10" t="str">
        <f>IF($X119="","",INDEX(Assessment!$J:$J,$X119))</f>
        <v/>
      </c>
      <c r="H119" s="10" t="str">
        <f>IF($X119="","",INDEX(Assessment!$L:$L,$X119))</f>
        <v/>
      </c>
      <c r="I119" s="10" t="str">
        <f>IF($X119="","",INDEX(Assessment!$N:$N,$X119))</f>
        <v/>
      </c>
      <c r="X119" t="str">
        <f>IF(103&lt;=$B$6,SMALL($Y$2:$Y$593,103),IF(103&lt;=$B$6+$B$7,SMALL($Z$2:$Z$593,103-$B$6),""))</f>
        <v/>
      </c>
      <c r="Y119" t="str">
        <f>IF(Assessment!$G119="Critical",ROW(Assessment!$G119),"")</f>
        <v/>
      </c>
      <c r="Z119" t="str">
        <f>IF(Assessment!$G119="High",ROW(Assessment!$G119),"")</f>
        <v/>
      </c>
    </row>
    <row r="120" spans="1:26" x14ac:dyDescent="0.25">
      <c r="A120" s="10" t="str">
        <f>IF($X120="","",104)</f>
        <v/>
      </c>
      <c r="B120" s="10" t="str">
        <f>IF($X120="","",INDEX(Assessment!$A:$A,$X120))</f>
        <v/>
      </c>
      <c r="C120" s="10" t="str">
        <f>IF($X120="","",INDEX(Assessment!$B:$B,$X120))</f>
        <v/>
      </c>
      <c r="D120" s="10" t="str">
        <f>IF($X120="","",INDEX(Assessment!$C:$C,$X120))</f>
        <v/>
      </c>
      <c r="E120" s="10" t="str">
        <f>IF($X120="","",INDEX(Assessment!$F:$F,$X120))</f>
        <v/>
      </c>
      <c r="F120" s="10" t="str">
        <f>IF($X120="","",INDEX(Assessment!$G:$G,$X120))</f>
        <v/>
      </c>
      <c r="G120" s="10" t="str">
        <f>IF($X120="","",INDEX(Assessment!$J:$J,$X120))</f>
        <v/>
      </c>
      <c r="H120" s="10" t="str">
        <f>IF($X120="","",INDEX(Assessment!$L:$L,$X120))</f>
        <v/>
      </c>
      <c r="I120" s="10" t="str">
        <f>IF($X120="","",INDEX(Assessment!$N:$N,$X120))</f>
        <v/>
      </c>
      <c r="X120" t="str">
        <f>IF(104&lt;=$B$6,SMALL($Y$2:$Y$593,104),IF(104&lt;=$B$6+$B$7,SMALL($Z$2:$Z$593,104-$B$6),""))</f>
        <v/>
      </c>
      <c r="Y120" t="str">
        <f>IF(Assessment!$G120="Critical",ROW(Assessment!$G120),"")</f>
        <v/>
      </c>
      <c r="Z120" t="str">
        <f>IF(Assessment!$G120="High",ROW(Assessment!$G120),"")</f>
        <v/>
      </c>
    </row>
    <row r="121" spans="1:26" x14ac:dyDescent="0.25">
      <c r="A121" s="10" t="str">
        <f>IF($X121="","",105)</f>
        <v/>
      </c>
      <c r="B121" s="10" t="str">
        <f>IF($X121="","",INDEX(Assessment!$A:$A,$X121))</f>
        <v/>
      </c>
      <c r="C121" s="10" t="str">
        <f>IF($X121="","",INDEX(Assessment!$B:$B,$X121))</f>
        <v/>
      </c>
      <c r="D121" s="10" t="str">
        <f>IF($X121="","",INDEX(Assessment!$C:$C,$X121))</f>
        <v/>
      </c>
      <c r="E121" s="10" t="str">
        <f>IF($X121="","",INDEX(Assessment!$F:$F,$X121))</f>
        <v/>
      </c>
      <c r="F121" s="10" t="str">
        <f>IF($X121="","",INDEX(Assessment!$G:$G,$X121))</f>
        <v/>
      </c>
      <c r="G121" s="10" t="str">
        <f>IF($X121="","",INDEX(Assessment!$J:$J,$X121))</f>
        <v/>
      </c>
      <c r="H121" s="10" t="str">
        <f>IF($X121="","",INDEX(Assessment!$L:$L,$X121))</f>
        <v/>
      </c>
      <c r="I121" s="10" t="str">
        <f>IF($X121="","",INDEX(Assessment!$N:$N,$X121))</f>
        <v/>
      </c>
      <c r="X121" t="str">
        <f>IF(105&lt;=$B$6,SMALL($Y$2:$Y$593,105),IF(105&lt;=$B$6+$B$7,SMALL($Z$2:$Z$593,105-$B$6),""))</f>
        <v/>
      </c>
      <c r="Y121" t="str">
        <f>IF(Assessment!$G121="Critical",ROW(Assessment!$G121),"")</f>
        <v/>
      </c>
      <c r="Z121" t="str">
        <f>IF(Assessment!$G121="High",ROW(Assessment!$G121),"")</f>
        <v/>
      </c>
    </row>
    <row r="122" spans="1:26" x14ac:dyDescent="0.25">
      <c r="A122" s="10" t="str">
        <f>IF($X122="","",106)</f>
        <v/>
      </c>
      <c r="B122" s="10" t="str">
        <f>IF($X122="","",INDEX(Assessment!$A:$A,$X122))</f>
        <v/>
      </c>
      <c r="C122" s="10" t="str">
        <f>IF($X122="","",INDEX(Assessment!$B:$B,$X122))</f>
        <v/>
      </c>
      <c r="D122" s="10" t="str">
        <f>IF($X122="","",INDEX(Assessment!$C:$C,$X122))</f>
        <v/>
      </c>
      <c r="E122" s="10" t="str">
        <f>IF($X122="","",INDEX(Assessment!$F:$F,$X122))</f>
        <v/>
      </c>
      <c r="F122" s="10" t="str">
        <f>IF($X122="","",INDEX(Assessment!$G:$G,$X122))</f>
        <v/>
      </c>
      <c r="G122" s="10" t="str">
        <f>IF($X122="","",INDEX(Assessment!$J:$J,$X122))</f>
        <v/>
      </c>
      <c r="H122" s="10" t="str">
        <f>IF($X122="","",INDEX(Assessment!$L:$L,$X122))</f>
        <v/>
      </c>
      <c r="I122" s="10" t="str">
        <f>IF($X122="","",INDEX(Assessment!$N:$N,$X122))</f>
        <v/>
      </c>
      <c r="X122" t="str">
        <f>IF(106&lt;=$B$6,SMALL($Y$2:$Y$593,106),IF(106&lt;=$B$6+$B$7,SMALL($Z$2:$Z$593,106-$B$6),""))</f>
        <v/>
      </c>
      <c r="Y122" t="str">
        <f>IF(Assessment!$G122="Critical",ROW(Assessment!$G122),"")</f>
        <v/>
      </c>
      <c r="Z122" t="str">
        <f>IF(Assessment!$G122="High",ROW(Assessment!$G122),"")</f>
        <v/>
      </c>
    </row>
    <row r="123" spans="1:26" x14ac:dyDescent="0.25">
      <c r="A123" s="10" t="str">
        <f>IF($X123="","",107)</f>
        <v/>
      </c>
      <c r="B123" s="10" t="str">
        <f>IF($X123="","",INDEX(Assessment!$A:$A,$X123))</f>
        <v/>
      </c>
      <c r="C123" s="10" t="str">
        <f>IF($X123="","",INDEX(Assessment!$B:$B,$X123))</f>
        <v/>
      </c>
      <c r="D123" s="10" t="str">
        <f>IF($X123="","",INDEX(Assessment!$C:$C,$X123))</f>
        <v/>
      </c>
      <c r="E123" s="10" t="str">
        <f>IF($X123="","",INDEX(Assessment!$F:$F,$X123))</f>
        <v/>
      </c>
      <c r="F123" s="10" t="str">
        <f>IF($X123="","",INDEX(Assessment!$G:$G,$X123))</f>
        <v/>
      </c>
      <c r="G123" s="10" t="str">
        <f>IF($X123="","",INDEX(Assessment!$J:$J,$X123))</f>
        <v/>
      </c>
      <c r="H123" s="10" t="str">
        <f>IF($X123="","",INDEX(Assessment!$L:$L,$X123))</f>
        <v/>
      </c>
      <c r="I123" s="10" t="str">
        <f>IF($X123="","",INDEX(Assessment!$N:$N,$X123))</f>
        <v/>
      </c>
      <c r="X123" t="str">
        <f>IF(107&lt;=$B$6,SMALL($Y$2:$Y$593,107),IF(107&lt;=$B$6+$B$7,SMALL($Z$2:$Z$593,107-$B$6),""))</f>
        <v/>
      </c>
      <c r="Y123" t="str">
        <f>IF(Assessment!$G123="Critical",ROW(Assessment!$G123),"")</f>
        <v/>
      </c>
      <c r="Z123" t="str">
        <f>IF(Assessment!$G123="High",ROW(Assessment!$G123),"")</f>
        <v/>
      </c>
    </row>
    <row r="124" spans="1:26" x14ac:dyDescent="0.25">
      <c r="A124" s="10" t="str">
        <f>IF($X124="","",108)</f>
        <v/>
      </c>
      <c r="B124" s="10" t="str">
        <f>IF($X124="","",INDEX(Assessment!$A:$A,$X124))</f>
        <v/>
      </c>
      <c r="C124" s="10" t="str">
        <f>IF($X124="","",INDEX(Assessment!$B:$B,$X124))</f>
        <v/>
      </c>
      <c r="D124" s="10" t="str">
        <f>IF($X124="","",INDEX(Assessment!$C:$C,$X124))</f>
        <v/>
      </c>
      <c r="E124" s="10" t="str">
        <f>IF($X124="","",INDEX(Assessment!$F:$F,$X124))</f>
        <v/>
      </c>
      <c r="F124" s="10" t="str">
        <f>IF($X124="","",INDEX(Assessment!$G:$G,$X124))</f>
        <v/>
      </c>
      <c r="G124" s="10" t="str">
        <f>IF($X124="","",INDEX(Assessment!$J:$J,$X124))</f>
        <v/>
      </c>
      <c r="H124" s="10" t="str">
        <f>IF($X124="","",INDEX(Assessment!$L:$L,$X124))</f>
        <v/>
      </c>
      <c r="I124" s="10" t="str">
        <f>IF($X124="","",INDEX(Assessment!$N:$N,$X124))</f>
        <v/>
      </c>
      <c r="X124" t="str">
        <f>IF(108&lt;=$B$6,SMALL($Y$2:$Y$593,108),IF(108&lt;=$B$6+$B$7,SMALL($Z$2:$Z$593,108-$B$6),""))</f>
        <v/>
      </c>
      <c r="Y124" t="str">
        <f>IF(Assessment!$G124="Critical",ROW(Assessment!$G124),"")</f>
        <v/>
      </c>
      <c r="Z124" t="str">
        <f>IF(Assessment!$G124="High",ROW(Assessment!$G124),"")</f>
        <v/>
      </c>
    </row>
    <row r="125" spans="1:26" x14ac:dyDescent="0.25">
      <c r="A125" s="10" t="str">
        <f>IF($X125="","",109)</f>
        <v/>
      </c>
      <c r="B125" s="10" t="str">
        <f>IF($X125="","",INDEX(Assessment!$A:$A,$X125))</f>
        <v/>
      </c>
      <c r="C125" s="10" t="str">
        <f>IF($X125="","",INDEX(Assessment!$B:$B,$X125))</f>
        <v/>
      </c>
      <c r="D125" s="10" t="str">
        <f>IF($X125="","",INDEX(Assessment!$C:$C,$X125))</f>
        <v/>
      </c>
      <c r="E125" s="10" t="str">
        <f>IF($X125="","",INDEX(Assessment!$F:$F,$X125))</f>
        <v/>
      </c>
      <c r="F125" s="10" t="str">
        <f>IF($X125="","",INDEX(Assessment!$G:$G,$X125))</f>
        <v/>
      </c>
      <c r="G125" s="10" t="str">
        <f>IF($X125="","",INDEX(Assessment!$J:$J,$X125))</f>
        <v/>
      </c>
      <c r="H125" s="10" t="str">
        <f>IF($X125="","",INDEX(Assessment!$L:$L,$X125))</f>
        <v/>
      </c>
      <c r="I125" s="10" t="str">
        <f>IF($X125="","",INDEX(Assessment!$N:$N,$X125))</f>
        <v/>
      </c>
      <c r="X125" t="str">
        <f>IF(109&lt;=$B$6,SMALL($Y$2:$Y$593,109),IF(109&lt;=$B$6+$B$7,SMALL($Z$2:$Z$593,109-$B$6),""))</f>
        <v/>
      </c>
      <c r="Y125" t="str">
        <f>IF(Assessment!$G125="Critical",ROW(Assessment!$G125),"")</f>
        <v/>
      </c>
      <c r="Z125" t="str">
        <f>IF(Assessment!$G125="High",ROW(Assessment!$G125),"")</f>
        <v/>
      </c>
    </row>
    <row r="126" spans="1:26" x14ac:dyDescent="0.25">
      <c r="A126" s="10" t="str">
        <f>IF($X126="","",110)</f>
        <v/>
      </c>
      <c r="B126" s="10" t="str">
        <f>IF($X126="","",INDEX(Assessment!$A:$A,$X126))</f>
        <v/>
      </c>
      <c r="C126" s="10" t="str">
        <f>IF($X126="","",INDEX(Assessment!$B:$B,$X126))</f>
        <v/>
      </c>
      <c r="D126" s="10" t="str">
        <f>IF($X126="","",INDEX(Assessment!$C:$C,$X126))</f>
        <v/>
      </c>
      <c r="E126" s="10" t="str">
        <f>IF($X126="","",INDEX(Assessment!$F:$F,$X126))</f>
        <v/>
      </c>
      <c r="F126" s="10" t="str">
        <f>IF($X126="","",INDEX(Assessment!$G:$G,$X126))</f>
        <v/>
      </c>
      <c r="G126" s="10" t="str">
        <f>IF($X126="","",INDEX(Assessment!$J:$J,$X126))</f>
        <v/>
      </c>
      <c r="H126" s="10" t="str">
        <f>IF($X126="","",INDEX(Assessment!$L:$L,$X126))</f>
        <v/>
      </c>
      <c r="I126" s="10" t="str">
        <f>IF($X126="","",INDEX(Assessment!$N:$N,$X126))</f>
        <v/>
      </c>
      <c r="X126" t="str">
        <f>IF(110&lt;=$B$6,SMALL($Y$2:$Y$593,110),IF(110&lt;=$B$6+$B$7,SMALL($Z$2:$Z$593,110-$B$6),""))</f>
        <v/>
      </c>
      <c r="Y126" t="str">
        <f>IF(Assessment!$G126="Critical",ROW(Assessment!$G126),"")</f>
        <v/>
      </c>
      <c r="Z126" t="str">
        <f>IF(Assessment!$G126="High",ROW(Assessment!$G126),"")</f>
        <v/>
      </c>
    </row>
    <row r="127" spans="1:26" x14ac:dyDescent="0.25">
      <c r="A127" s="10" t="str">
        <f>IF($X127="","",111)</f>
        <v/>
      </c>
      <c r="B127" s="10" t="str">
        <f>IF($X127="","",INDEX(Assessment!$A:$A,$X127))</f>
        <v/>
      </c>
      <c r="C127" s="10" t="str">
        <f>IF($X127="","",INDEX(Assessment!$B:$B,$X127))</f>
        <v/>
      </c>
      <c r="D127" s="10" t="str">
        <f>IF($X127="","",INDEX(Assessment!$C:$C,$X127))</f>
        <v/>
      </c>
      <c r="E127" s="10" t="str">
        <f>IF($X127="","",INDEX(Assessment!$F:$F,$X127))</f>
        <v/>
      </c>
      <c r="F127" s="10" t="str">
        <f>IF($X127="","",INDEX(Assessment!$G:$G,$X127))</f>
        <v/>
      </c>
      <c r="G127" s="10" t="str">
        <f>IF($X127="","",INDEX(Assessment!$J:$J,$X127))</f>
        <v/>
      </c>
      <c r="H127" s="10" t="str">
        <f>IF($X127="","",INDEX(Assessment!$L:$L,$X127))</f>
        <v/>
      </c>
      <c r="I127" s="10" t="str">
        <f>IF($X127="","",INDEX(Assessment!$N:$N,$X127))</f>
        <v/>
      </c>
      <c r="X127" t="str">
        <f>IF(111&lt;=$B$6,SMALL($Y$2:$Y$593,111),IF(111&lt;=$B$6+$B$7,SMALL($Z$2:$Z$593,111-$B$6),""))</f>
        <v/>
      </c>
      <c r="Y127" t="str">
        <f>IF(Assessment!$G127="Critical",ROW(Assessment!$G127),"")</f>
        <v/>
      </c>
      <c r="Z127" t="str">
        <f>IF(Assessment!$G127="High",ROW(Assessment!$G127),"")</f>
        <v/>
      </c>
    </row>
    <row r="128" spans="1:26" x14ac:dyDescent="0.25">
      <c r="A128" s="10" t="str">
        <f>IF($X128="","",112)</f>
        <v/>
      </c>
      <c r="B128" s="10" t="str">
        <f>IF($X128="","",INDEX(Assessment!$A:$A,$X128))</f>
        <v/>
      </c>
      <c r="C128" s="10" t="str">
        <f>IF($X128="","",INDEX(Assessment!$B:$B,$X128))</f>
        <v/>
      </c>
      <c r="D128" s="10" t="str">
        <f>IF($X128="","",INDEX(Assessment!$C:$C,$X128))</f>
        <v/>
      </c>
      <c r="E128" s="10" t="str">
        <f>IF($X128="","",INDEX(Assessment!$F:$F,$X128))</f>
        <v/>
      </c>
      <c r="F128" s="10" t="str">
        <f>IF($X128="","",INDEX(Assessment!$G:$G,$X128))</f>
        <v/>
      </c>
      <c r="G128" s="10" t="str">
        <f>IF($X128="","",INDEX(Assessment!$J:$J,$X128))</f>
        <v/>
      </c>
      <c r="H128" s="10" t="str">
        <f>IF($X128="","",INDEX(Assessment!$L:$L,$X128))</f>
        <v/>
      </c>
      <c r="I128" s="10" t="str">
        <f>IF($X128="","",INDEX(Assessment!$N:$N,$X128))</f>
        <v/>
      </c>
      <c r="X128" t="str">
        <f>IF(112&lt;=$B$6,SMALL($Y$2:$Y$593,112),IF(112&lt;=$B$6+$B$7,SMALL($Z$2:$Z$593,112-$B$6),""))</f>
        <v/>
      </c>
      <c r="Y128" t="str">
        <f>IF(Assessment!$G128="Critical",ROW(Assessment!$G128),"")</f>
        <v/>
      </c>
      <c r="Z128" t="str">
        <f>IF(Assessment!$G128="High",ROW(Assessment!$G128),"")</f>
        <v/>
      </c>
    </row>
    <row r="129" spans="1:26" x14ac:dyDescent="0.25">
      <c r="A129" s="10" t="str">
        <f>IF($X129="","",113)</f>
        <v/>
      </c>
      <c r="B129" s="10" t="str">
        <f>IF($X129="","",INDEX(Assessment!$A:$A,$X129))</f>
        <v/>
      </c>
      <c r="C129" s="10" t="str">
        <f>IF($X129="","",INDEX(Assessment!$B:$B,$X129))</f>
        <v/>
      </c>
      <c r="D129" s="10" t="str">
        <f>IF($X129="","",INDEX(Assessment!$C:$C,$X129))</f>
        <v/>
      </c>
      <c r="E129" s="10" t="str">
        <f>IF($X129="","",INDEX(Assessment!$F:$F,$X129))</f>
        <v/>
      </c>
      <c r="F129" s="10" t="str">
        <f>IF($X129="","",INDEX(Assessment!$G:$G,$X129))</f>
        <v/>
      </c>
      <c r="G129" s="10" t="str">
        <f>IF($X129="","",INDEX(Assessment!$J:$J,$X129))</f>
        <v/>
      </c>
      <c r="H129" s="10" t="str">
        <f>IF($X129="","",INDEX(Assessment!$L:$L,$X129))</f>
        <v/>
      </c>
      <c r="I129" s="10" t="str">
        <f>IF($X129="","",INDEX(Assessment!$N:$N,$X129))</f>
        <v/>
      </c>
      <c r="X129" t="str">
        <f>IF(113&lt;=$B$6,SMALL($Y$2:$Y$593,113),IF(113&lt;=$B$6+$B$7,SMALL($Z$2:$Z$593,113-$B$6),""))</f>
        <v/>
      </c>
      <c r="Y129" t="str">
        <f>IF(Assessment!$G129="Critical",ROW(Assessment!$G129),"")</f>
        <v/>
      </c>
      <c r="Z129" t="str">
        <f>IF(Assessment!$G129="High",ROW(Assessment!$G129),"")</f>
        <v/>
      </c>
    </row>
    <row r="130" spans="1:26" x14ac:dyDescent="0.25">
      <c r="A130" s="10" t="str">
        <f>IF($X130="","",114)</f>
        <v/>
      </c>
      <c r="B130" s="10" t="str">
        <f>IF($X130="","",INDEX(Assessment!$A:$A,$X130))</f>
        <v/>
      </c>
      <c r="C130" s="10" t="str">
        <f>IF($X130="","",INDEX(Assessment!$B:$B,$X130))</f>
        <v/>
      </c>
      <c r="D130" s="10" t="str">
        <f>IF($X130="","",INDEX(Assessment!$C:$C,$X130))</f>
        <v/>
      </c>
      <c r="E130" s="10" t="str">
        <f>IF($X130="","",INDEX(Assessment!$F:$F,$X130))</f>
        <v/>
      </c>
      <c r="F130" s="10" t="str">
        <f>IF($X130="","",INDEX(Assessment!$G:$G,$X130))</f>
        <v/>
      </c>
      <c r="G130" s="10" t="str">
        <f>IF($X130="","",INDEX(Assessment!$J:$J,$X130))</f>
        <v/>
      </c>
      <c r="H130" s="10" t="str">
        <f>IF($X130="","",INDEX(Assessment!$L:$L,$X130))</f>
        <v/>
      </c>
      <c r="I130" s="10" t="str">
        <f>IF($X130="","",INDEX(Assessment!$N:$N,$X130))</f>
        <v/>
      </c>
      <c r="X130" t="str">
        <f>IF(114&lt;=$B$6,SMALL($Y$2:$Y$593,114),IF(114&lt;=$B$6+$B$7,SMALL($Z$2:$Z$593,114-$B$6),""))</f>
        <v/>
      </c>
      <c r="Y130" t="str">
        <f>IF(Assessment!$G130="Critical",ROW(Assessment!$G130),"")</f>
        <v/>
      </c>
      <c r="Z130" t="str">
        <f>IF(Assessment!$G130="High",ROW(Assessment!$G130),"")</f>
        <v/>
      </c>
    </row>
    <row r="131" spans="1:26" x14ac:dyDescent="0.25">
      <c r="A131" s="10" t="str">
        <f>IF($X131="","",115)</f>
        <v/>
      </c>
      <c r="B131" s="10" t="str">
        <f>IF($X131="","",INDEX(Assessment!$A:$A,$X131))</f>
        <v/>
      </c>
      <c r="C131" s="10" t="str">
        <f>IF($X131="","",INDEX(Assessment!$B:$B,$X131))</f>
        <v/>
      </c>
      <c r="D131" s="10" t="str">
        <f>IF($X131="","",INDEX(Assessment!$C:$C,$X131))</f>
        <v/>
      </c>
      <c r="E131" s="10" t="str">
        <f>IF($X131="","",INDEX(Assessment!$F:$F,$X131))</f>
        <v/>
      </c>
      <c r="F131" s="10" t="str">
        <f>IF($X131="","",INDEX(Assessment!$G:$G,$X131))</f>
        <v/>
      </c>
      <c r="G131" s="10" t="str">
        <f>IF($X131="","",INDEX(Assessment!$J:$J,$X131))</f>
        <v/>
      </c>
      <c r="H131" s="10" t="str">
        <f>IF($X131="","",INDEX(Assessment!$L:$L,$X131))</f>
        <v/>
      </c>
      <c r="I131" s="10" t="str">
        <f>IF($X131="","",INDEX(Assessment!$N:$N,$X131))</f>
        <v/>
      </c>
      <c r="X131" t="str">
        <f>IF(115&lt;=$B$6,SMALL($Y$2:$Y$593,115),IF(115&lt;=$B$6+$B$7,SMALL($Z$2:$Z$593,115-$B$6),""))</f>
        <v/>
      </c>
      <c r="Y131" t="str">
        <f>IF(Assessment!$G131="Critical",ROW(Assessment!$G131),"")</f>
        <v/>
      </c>
      <c r="Z131" t="str">
        <f>IF(Assessment!$G131="High",ROW(Assessment!$G131),"")</f>
        <v/>
      </c>
    </row>
    <row r="132" spans="1:26" x14ac:dyDescent="0.25">
      <c r="A132" s="10" t="str">
        <f>IF($X132="","",116)</f>
        <v/>
      </c>
      <c r="B132" s="10" t="str">
        <f>IF($X132="","",INDEX(Assessment!$A:$A,$X132))</f>
        <v/>
      </c>
      <c r="C132" s="10" t="str">
        <f>IF($X132="","",INDEX(Assessment!$B:$B,$X132))</f>
        <v/>
      </c>
      <c r="D132" s="10" t="str">
        <f>IF($X132="","",INDEX(Assessment!$C:$C,$X132))</f>
        <v/>
      </c>
      <c r="E132" s="10" t="str">
        <f>IF($X132="","",INDEX(Assessment!$F:$F,$X132))</f>
        <v/>
      </c>
      <c r="F132" s="10" t="str">
        <f>IF($X132="","",INDEX(Assessment!$G:$G,$X132))</f>
        <v/>
      </c>
      <c r="G132" s="10" t="str">
        <f>IF($X132="","",INDEX(Assessment!$J:$J,$X132))</f>
        <v/>
      </c>
      <c r="H132" s="10" t="str">
        <f>IF($X132="","",INDEX(Assessment!$L:$L,$X132))</f>
        <v/>
      </c>
      <c r="I132" s="10" t="str">
        <f>IF($X132="","",INDEX(Assessment!$N:$N,$X132))</f>
        <v/>
      </c>
      <c r="X132" t="str">
        <f>IF(116&lt;=$B$6,SMALL($Y$2:$Y$593,116),IF(116&lt;=$B$6+$B$7,SMALL($Z$2:$Z$593,116-$B$6),""))</f>
        <v/>
      </c>
      <c r="Y132" t="str">
        <f>IF(Assessment!$G132="Critical",ROW(Assessment!$G132),"")</f>
        <v/>
      </c>
      <c r="Z132" t="str">
        <f>IF(Assessment!$G132="High",ROW(Assessment!$G132),"")</f>
        <v/>
      </c>
    </row>
    <row r="133" spans="1:26" x14ac:dyDescent="0.25">
      <c r="A133" s="10" t="str">
        <f>IF($X133="","",117)</f>
        <v/>
      </c>
      <c r="B133" s="10" t="str">
        <f>IF($X133="","",INDEX(Assessment!$A:$A,$X133))</f>
        <v/>
      </c>
      <c r="C133" s="10" t="str">
        <f>IF($X133="","",INDEX(Assessment!$B:$B,$X133))</f>
        <v/>
      </c>
      <c r="D133" s="10" t="str">
        <f>IF($X133="","",INDEX(Assessment!$C:$C,$X133))</f>
        <v/>
      </c>
      <c r="E133" s="10" t="str">
        <f>IF($X133="","",INDEX(Assessment!$F:$F,$X133))</f>
        <v/>
      </c>
      <c r="F133" s="10" t="str">
        <f>IF($X133="","",INDEX(Assessment!$G:$G,$X133))</f>
        <v/>
      </c>
      <c r="G133" s="10" t="str">
        <f>IF($X133="","",INDEX(Assessment!$J:$J,$X133))</f>
        <v/>
      </c>
      <c r="H133" s="10" t="str">
        <f>IF($X133="","",INDEX(Assessment!$L:$L,$X133))</f>
        <v/>
      </c>
      <c r="I133" s="10" t="str">
        <f>IF($X133="","",INDEX(Assessment!$N:$N,$X133))</f>
        <v/>
      </c>
      <c r="X133" t="str">
        <f>IF(117&lt;=$B$6,SMALL($Y$2:$Y$593,117),IF(117&lt;=$B$6+$B$7,SMALL($Z$2:$Z$593,117-$B$6),""))</f>
        <v/>
      </c>
      <c r="Y133" t="str">
        <f>IF(Assessment!$G133="Critical",ROW(Assessment!$G133),"")</f>
        <v/>
      </c>
      <c r="Z133">
        <f>IF(Assessment!$G133="High",ROW(Assessment!$G133),"")</f>
        <v>133</v>
      </c>
    </row>
    <row r="134" spans="1:26" x14ac:dyDescent="0.25">
      <c r="A134" s="10" t="str">
        <f>IF($X134="","",118)</f>
        <v/>
      </c>
      <c r="B134" s="10" t="str">
        <f>IF($X134="","",INDEX(Assessment!$A:$A,$X134))</f>
        <v/>
      </c>
      <c r="C134" s="10" t="str">
        <f>IF($X134="","",INDEX(Assessment!$B:$B,$X134))</f>
        <v/>
      </c>
      <c r="D134" s="10" t="str">
        <f>IF($X134="","",INDEX(Assessment!$C:$C,$X134))</f>
        <v/>
      </c>
      <c r="E134" s="10" t="str">
        <f>IF($X134="","",INDEX(Assessment!$F:$F,$X134))</f>
        <v/>
      </c>
      <c r="F134" s="10" t="str">
        <f>IF($X134="","",INDEX(Assessment!$G:$G,$X134))</f>
        <v/>
      </c>
      <c r="G134" s="10" t="str">
        <f>IF($X134="","",INDEX(Assessment!$J:$J,$X134))</f>
        <v/>
      </c>
      <c r="H134" s="10" t="str">
        <f>IF($X134="","",INDEX(Assessment!$L:$L,$X134))</f>
        <v/>
      </c>
      <c r="I134" s="10" t="str">
        <f>IF($X134="","",INDEX(Assessment!$N:$N,$X134))</f>
        <v/>
      </c>
      <c r="X134" t="str">
        <f>IF(118&lt;=$B$6,SMALL($Y$2:$Y$593,118),IF(118&lt;=$B$6+$B$7,SMALL($Z$2:$Z$593,118-$B$6),""))</f>
        <v/>
      </c>
      <c r="Y134" t="str">
        <f>IF(Assessment!$G134="Critical",ROW(Assessment!$G134),"")</f>
        <v/>
      </c>
      <c r="Z134" t="str">
        <f>IF(Assessment!$G134="High",ROW(Assessment!$G134),"")</f>
        <v/>
      </c>
    </row>
    <row r="135" spans="1:26" x14ac:dyDescent="0.25">
      <c r="A135" s="10" t="str">
        <f>IF($X135="","",119)</f>
        <v/>
      </c>
      <c r="B135" s="10" t="str">
        <f>IF($X135="","",INDEX(Assessment!$A:$A,$X135))</f>
        <v/>
      </c>
      <c r="C135" s="10" t="str">
        <f>IF($X135="","",INDEX(Assessment!$B:$B,$X135))</f>
        <v/>
      </c>
      <c r="D135" s="10" t="str">
        <f>IF($X135="","",INDEX(Assessment!$C:$C,$X135))</f>
        <v/>
      </c>
      <c r="E135" s="10" t="str">
        <f>IF($X135="","",INDEX(Assessment!$F:$F,$X135))</f>
        <v/>
      </c>
      <c r="F135" s="10" t="str">
        <f>IF($X135="","",INDEX(Assessment!$G:$G,$X135))</f>
        <v/>
      </c>
      <c r="G135" s="10" t="str">
        <f>IF($X135="","",INDEX(Assessment!$J:$J,$X135))</f>
        <v/>
      </c>
      <c r="H135" s="10" t="str">
        <f>IF($X135="","",INDEX(Assessment!$L:$L,$X135))</f>
        <v/>
      </c>
      <c r="I135" s="10" t="str">
        <f>IF($X135="","",INDEX(Assessment!$N:$N,$X135))</f>
        <v/>
      </c>
      <c r="X135" t="str">
        <f>IF(119&lt;=$B$6,SMALL($Y$2:$Y$593,119),IF(119&lt;=$B$6+$B$7,SMALL($Z$2:$Z$593,119-$B$6),""))</f>
        <v/>
      </c>
      <c r="Y135" t="str">
        <f>IF(Assessment!$G135="Critical",ROW(Assessment!$G135),"")</f>
        <v/>
      </c>
      <c r="Z135" t="str">
        <f>IF(Assessment!$G135="High",ROW(Assessment!$G135),"")</f>
        <v/>
      </c>
    </row>
    <row r="136" spans="1:26" x14ac:dyDescent="0.25">
      <c r="A136" s="10" t="str">
        <f>IF($X136="","",120)</f>
        <v/>
      </c>
      <c r="B136" s="10" t="str">
        <f>IF($X136="","",INDEX(Assessment!$A:$A,$X136))</f>
        <v/>
      </c>
      <c r="C136" s="10" t="str">
        <f>IF($X136="","",INDEX(Assessment!$B:$B,$X136))</f>
        <v/>
      </c>
      <c r="D136" s="10" t="str">
        <f>IF($X136="","",INDEX(Assessment!$C:$C,$X136))</f>
        <v/>
      </c>
      <c r="E136" s="10" t="str">
        <f>IF($X136="","",INDEX(Assessment!$F:$F,$X136))</f>
        <v/>
      </c>
      <c r="F136" s="10" t="str">
        <f>IF($X136="","",INDEX(Assessment!$G:$G,$X136))</f>
        <v/>
      </c>
      <c r="G136" s="10" t="str">
        <f>IF($X136="","",INDEX(Assessment!$J:$J,$X136))</f>
        <v/>
      </c>
      <c r="H136" s="10" t="str">
        <f>IF($X136="","",INDEX(Assessment!$L:$L,$X136))</f>
        <v/>
      </c>
      <c r="I136" s="10" t="str">
        <f>IF($X136="","",INDEX(Assessment!$N:$N,$X136))</f>
        <v/>
      </c>
      <c r="X136" t="str">
        <f>IF(120&lt;=$B$6,SMALL($Y$2:$Y$593,120),IF(120&lt;=$B$6+$B$7,SMALL($Z$2:$Z$593,120-$B$6),""))</f>
        <v/>
      </c>
      <c r="Y136" t="str">
        <f>IF(Assessment!$G136="Critical",ROW(Assessment!$G136),"")</f>
        <v/>
      </c>
      <c r="Z136" t="str">
        <f>IF(Assessment!$G136="High",ROW(Assessment!$G136),"")</f>
        <v/>
      </c>
    </row>
    <row r="137" spans="1:26" x14ac:dyDescent="0.25">
      <c r="A137" s="10" t="str">
        <f>IF($X137="","",121)</f>
        <v/>
      </c>
      <c r="B137" s="10" t="str">
        <f>IF($X137="","",INDEX(Assessment!$A:$A,$X137))</f>
        <v/>
      </c>
      <c r="C137" s="10" t="str">
        <f>IF($X137="","",INDEX(Assessment!$B:$B,$X137))</f>
        <v/>
      </c>
      <c r="D137" s="10" t="str">
        <f>IF($X137="","",INDEX(Assessment!$C:$C,$X137))</f>
        <v/>
      </c>
      <c r="E137" s="10" t="str">
        <f>IF($X137="","",INDEX(Assessment!$F:$F,$X137))</f>
        <v/>
      </c>
      <c r="F137" s="10" t="str">
        <f>IF($X137="","",INDEX(Assessment!$G:$G,$X137))</f>
        <v/>
      </c>
      <c r="G137" s="10" t="str">
        <f>IF($X137="","",INDEX(Assessment!$J:$J,$X137))</f>
        <v/>
      </c>
      <c r="H137" s="10" t="str">
        <f>IF($X137="","",INDEX(Assessment!$L:$L,$X137))</f>
        <v/>
      </c>
      <c r="I137" s="10" t="str">
        <f>IF($X137="","",INDEX(Assessment!$N:$N,$X137))</f>
        <v/>
      </c>
      <c r="X137" t="str">
        <f>IF(121&lt;=$B$6,SMALL($Y$2:$Y$593,121),IF(121&lt;=$B$6+$B$7,SMALL($Z$2:$Z$593,121-$B$6),""))</f>
        <v/>
      </c>
      <c r="Y137" t="str">
        <f>IF(Assessment!$G137="Critical",ROW(Assessment!$G137),"")</f>
        <v/>
      </c>
      <c r="Z137" t="str">
        <f>IF(Assessment!$G137="High",ROW(Assessment!$G137),"")</f>
        <v/>
      </c>
    </row>
    <row r="138" spans="1:26" x14ac:dyDescent="0.25">
      <c r="A138" s="10" t="str">
        <f>IF($X138="","",122)</f>
        <v/>
      </c>
      <c r="B138" s="10" t="str">
        <f>IF($X138="","",INDEX(Assessment!$A:$A,$X138))</f>
        <v/>
      </c>
      <c r="C138" s="10" t="str">
        <f>IF($X138="","",INDEX(Assessment!$B:$B,$X138))</f>
        <v/>
      </c>
      <c r="D138" s="10" t="str">
        <f>IF($X138="","",INDEX(Assessment!$C:$C,$X138))</f>
        <v/>
      </c>
      <c r="E138" s="10" t="str">
        <f>IF($X138="","",INDEX(Assessment!$F:$F,$X138))</f>
        <v/>
      </c>
      <c r="F138" s="10" t="str">
        <f>IF($X138="","",INDEX(Assessment!$G:$G,$X138))</f>
        <v/>
      </c>
      <c r="G138" s="10" t="str">
        <f>IF($X138="","",INDEX(Assessment!$J:$J,$X138))</f>
        <v/>
      </c>
      <c r="H138" s="10" t="str">
        <f>IF($X138="","",INDEX(Assessment!$L:$L,$X138))</f>
        <v/>
      </c>
      <c r="I138" s="10" t="str">
        <f>IF($X138="","",INDEX(Assessment!$N:$N,$X138))</f>
        <v/>
      </c>
      <c r="X138" t="str">
        <f>IF(122&lt;=$B$6,SMALL($Y$2:$Y$593,122),IF(122&lt;=$B$6+$B$7,SMALL($Z$2:$Z$593,122-$B$6),""))</f>
        <v/>
      </c>
      <c r="Y138" t="str">
        <f>IF(Assessment!$G138="Critical",ROW(Assessment!$G138),"")</f>
        <v/>
      </c>
      <c r="Z138" t="str">
        <f>IF(Assessment!$G138="High",ROW(Assessment!$G138),"")</f>
        <v/>
      </c>
    </row>
    <row r="139" spans="1:26" x14ac:dyDescent="0.25">
      <c r="A139" s="10" t="str">
        <f>IF($X139="","",123)</f>
        <v/>
      </c>
      <c r="B139" s="10" t="str">
        <f>IF($X139="","",INDEX(Assessment!$A:$A,$X139))</f>
        <v/>
      </c>
      <c r="C139" s="10" t="str">
        <f>IF($X139="","",INDEX(Assessment!$B:$B,$X139))</f>
        <v/>
      </c>
      <c r="D139" s="10" t="str">
        <f>IF($X139="","",INDEX(Assessment!$C:$C,$X139))</f>
        <v/>
      </c>
      <c r="E139" s="10" t="str">
        <f>IF($X139="","",INDEX(Assessment!$F:$F,$X139))</f>
        <v/>
      </c>
      <c r="F139" s="10" t="str">
        <f>IF($X139="","",INDEX(Assessment!$G:$G,$X139))</f>
        <v/>
      </c>
      <c r="G139" s="10" t="str">
        <f>IF($X139="","",INDEX(Assessment!$J:$J,$X139))</f>
        <v/>
      </c>
      <c r="H139" s="10" t="str">
        <f>IF($X139="","",INDEX(Assessment!$L:$L,$X139))</f>
        <v/>
      </c>
      <c r="I139" s="10" t="str">
        <f>IF($X139="","",INDEX(Assessment!$N:$N,$X139))</f>
        <v/>
      </c>
      <c r="X139" t="str">
        <f>IF(123&lt;=$B$6,SMALL($Y$2:$Y$593,123),IF(123&lt;=$B$6+$B$7,SMALL($Z$2:$Z$593,123-$B$6),""))</f>
        <v/>
      </c>
      <c r="Y139" t="str">
        <f>IF(Assessment!$G139="Critical",ROW(Assessment!$G139),"")</f>
        <v/>
      </c>
      <c r="Z139" t="str">
        <f>IF(Assessment!$G139="High",ROW(Assessment!$G139),"")</f>
        <v/>
      </c>
    </row>
    <row r="140" spans="1:26" x14ac:dyDescent="0.25">
      <c r="A140" s="10" t="str">
        <f>IF($X140="","",124)</f>
        <v/>
      </c>
      <c r="B140" s="10" t="str">
        <f>IF($X140="","",INDEX(Assessment!$A:$A,$X140))</f>
        <v/>
      </c>
      <c r="C140" s="10" t="str">
        <f>IF($X140="","",INDEX(Assessment!$B:$B,$X140))</f>
        <v/>
      </c>
      <c r="D140" s="10" t="str">
        <f>IF($X140="","",INDEX(Assessment!$C:$C,$X140))</f>
        <v/>
      </c>
      <c r="E140" s="10" t="str">
        <f>IF($X140="","",INDEX(Assessment!$F:$F,$X140))</f>
        <v/>
      </c>
      <c r="F140" s="10" t="str">
        <f>IF($X140="","",INDEX(Assessment!$G:$G,$X140))</f>
        <v/>
      </c>
      <c r="G140" s="10" t="str">
        <f>IF($X140="","",INDEX(Assessment!$J:$J,$X140))</f>
        <v/>
      </c>
      <c r="H140" s="10" t="str">
        <f>IF($X140="","",INDEX(Assessment!$L:$L,$X140))</f>
        <v/>
      </c>
      <c r="I140" s="10" t="str">
        <f>IF($X140="","",INDEX(Assessment!$N:$N,$X140))</f>
        <v/>
      </c>
      <c r="X140" t="str">
        <f>IF(124&lt;=$B$6,SMALL($Y$2:$Y$593,124),IF(124&lt;=$B$6+$B$7,SMALL($Z$2:$Z$593,124-$B$6),""))</f>
        <v/>
      </c>
      <c r="Y140" t="str">
        <f>IF(Assessment!$G140="Critical",ROW(Assessment!$G140),"")</f>
        <v/>
      </c>
      <c r="Z140" t="str">
        <f>IF(Assessment!$G140="High",ROW(Assessment!$G140),"")</f>
        <v/>
      </c>
    </row>
    <row r="141" spans="1:26" x14ac:dyDescent="0.25">
      <c r="A141" s="10" t="str">
        <f>IF($X141="","",125)</f>
        <v/>
      </c>
      <c r="B141" s="10" t="str">
        <f>IF($X141="","",INDEX(Assessment!$A:$A,$X141))</f>
        <v/>
      </c>
      <c r="C141" s="10" t="str">
        <f>IF($X141="","",INDEX(Assessment!$B:$B,$X141))</f>
        <v/>
      </c>
      <c r="D141" s="10" t="str">
        <f>IF($X141="","",INDEX(Assessment!$C:$C,$X141))</f>
        <v/>
      </c>
      <c r="E141" s="10" t="str">
        <f>IF($X141="","",INDEX(Assessment!$F:$F,$X141))</f>
        <v/>
      </c>
      <c r="F141" s="10" t="str">
        <f>IF($X141="","",INDEX(Assessment!$G:$G,$X141))</f>
        <v/>
      </c>
      <c r="G141" s="10" t="str">
        <f>IF($X141="","",INDEX(Assessment!$J:$J,$X141))</f>
        <v/>
      </c>
      <c r="H141" s="10" t="str">
        <f>IF($X141="","",INDEX(Assessment!$L:$L,$X141))</f>
        <v/>
      </c>
      <c r="I141" s="10" t="str">
        <f>IF($X141="","",INDEX(Assessment!$N:$N,$X141))</f>
        <v/>
      </c>
      <c r="X141" t="str">
        <f>IF(125&lt;=$B$6,SMALL($Y$2:$Y$593,125),IF(125&lt;=$B$6+$B$7,SMALL($Z$2:$Z$593,125-$B$6),""))</f>
        <v/>
      </c>
      <c r="Y141" t="str">
        <f>IF(Assessment!$G141="Critical",ROW(Assessment!$G141),"")</f>
        <v/>
      </c>
      <c r="Z141" t="str">
        <f>IF(Assessment!$G141="High",ROW(Assessment!$G141),"")</f>
        <v/>
      </c>
    </row>
    <row r="142" spans="1:26" x14ac:dyDescent="0.25">
      <c r="A142" s="10" t="str">
        <f>IF($X142="","",126)</f>
        <v/>
      </c>
      <c r="B142" s="10" t="str">
        <f>IF($X142="","",INDEX(Assessment!$A:$A,$X142))</f>
        <v/>
      </c>
      <c r="C142" s="10" t="str">
        <f>IF($X142="","",INDEX(Assessment!$B:$B,$X142))</f>
        <v/>
      </c>
      <c r="D142" s="10" t="str">
        <f>IF($X142="","",INDEX(Assessment!$C:$C,$X142))</f>
        <v/>
      </c>
      <c r="E142" s="10" t="str">
        <f>IF($X142="","",INDEX(Assessment!$F:$F,$X142))</f>
        <v/>
      </c>
      <c r="F142" s="10" t="str">
        <f>IF($X142="","",INDEX(Assessment!$G:$G,$X142))</f>
        <v/>
      </c>
      <c r="G142" s="10" t="str">
        <f>IF($X142="","",INDEX(Assessment!$J:$J,$X142))</f>
        <v/>
      </c>
      <c r="H142" s="10" t="str">
        <f>IF($X142="","",INDEX(Assessment!$L:$L,$X142))</f>
        <v/>
      </c>
      <c r="I142" s="10" t="str">
        <f>IF($X142="","",INDEX(Assessment!$N:$N,$X142))</f>
        <v/>
      </c>
      <c r="X142" t="str">
        <f>IF(126&lt;=$B$6,SMALL($Y$2:$Y$593,126),IF(126&lt;=$B$6+$B$7,SMALL($Z$2:$Z$593,126-$B$6),""))</f>
        <v/>
      </c>
      <c r="Y142" t="str">
        <f>IF(Assessment!$G142="Critical",ROW(Assessment!$G142),"")</f>
        <v/>
      </c>
      <c r="Z142" t="str">
        <f>IF(Assessment!$G142="High",ROW(Assessment!$G142),"")</f>
        <v/>
      </c>
    </row>
    <row r="143" spans="1:26" x14ac:dyDescent="0.25">
      <c r="A143" s="10" t="str">
        <f>IF($X143="","",127)</f>
        <v/>
      </c>
      <c r="B143" s="10" t="str">
        <f>IF($X143="","",INDEX(Assessment!$A:$A,$X143))</f>
        <v/>
      </c>
      <c r="C143" s="10" t="str">
        <f>IF($X143="","",INDEX(Assessment!$B:$B,$X143))</f>
        <v/>
      </c>
      <c r="D143" s="10" t="str">
        <f>IF($X143="","",INDEX(Assessment!$C:$C,$X143))</f>
        <v/>
      </c>
      <c r="E143" s="10" t="str">
        <f>IF($X143="","",INDEX(Assessment!$F:$F,$X143))</f>
        <v/>
      </c>
      <c r="F143" s="10" t="str">
        <f>IF($X143="","",INDEX(Assessment!$G:$G,$X143))</f>
        <v/>
      </c>
      <c r="G143" s="10" t="str">
        <f>IF($X143="","",INDEX(Assessment!$J:$J,$X143))</f>
        <v/>
      </c>
      <c r="H143" s="10" t="str">
        <f>IF($X143="","",INDEX(Assessment!$L:$L,$X143))</f>
        <v/>
      </c>
      <c r="I143" s="10" t="str">
        <f>IF($X143="","",INDEX(Assessment!$N:$N,$X143))</f>
        <v/>
      </c>
      <c r="X143" t="str">
        <f>IF(127&lt;=$B$6,SMALL($Y$2:$Y$593,127),IF(127&lt;=$B$6+$B$7,SMALL($Z$2:$Z$593,127-$B$6),""))</f>
        <v/>
      </c>
      <c r="Y143" t="str">
        <f>IF(Assessment!$G143="Critical",ROW(Assessment!$G143),"")</f>
        <v/>
      </c>
      <c r="Z143" t="str">
        <f>IF(Assessment!$G143="High",ROW(Assessment!$G143),"")</f>
        <v/>
      </c>
    </row>
    <row r="144" spans="1:26" x14ac:dyDescent="0.25">
      <c r="A144" s="10" t="str">
        <f>IF($X144="","",128)</f>
        <v/>
      </c>
      <c r="B144" s="10" t="str">
        <f>IF($X144="","",INDEX(Assessment!$A:$A,$X144))</f>
        <v/>
      </c>
      <c r="C144" s="10" t="str">
        <f>IF($X144="","",INDEX(Assessment!$B:$B,$X144))</f>
        <v/>
      </c>
      <c r="D144" s="10" t="str">
        <f>IF($X144="","",INDEX(Assessment!$C:$C,$X144))</f>
        <v/>
      </c>
      <c r="E144" s="10" t="str">
        <f>IF($X144="","",INDEX(Assessment!$F:$F,$X144))</f>
        <v/>
      </c>
      <c r="F144" s="10" t="str">
        <f>IF($X144="","",INDEX(Assessment!$G:$G,$X144))</f>
        <v/>
      </c>
      <c r="G144" s="10" t="str">
        <f>IF($X144="","",INDEX(Assessment!$J:$J,$X144))</f>
        <v/>
      </c>
      <c r="H144" s="10" t="str">
        <f>IF($X144="","",INDEX(Assessment!$L:$L,$X144))</f>
        <v/>
      </c>
      <c r="I144" s="10" t="str">
        <f>IF($X144="","",INDEX(Assessment!$N:$N,$X144))</f>
        <v/>
      </c>
      <c r="X144" t="str">
        <f>IF(128&lt;=$B$6,SMALL($Y$2:$Y$593,128),IF(128&lt;=$B$6+$B$7,SMALL($Z$2:$Z$593,128-$B$6),""))</f>
        <v/>
      </c>
      <c r="Y144" t="str">
        <f>IF(Assessment!$G144="Critical",ROW(Assessment!$G144),"")</f>
        <v/>
      </c>
      <c r="Z144" t="str">
        <f>IF(Assessment!$G144="High",ROW(Assessment!$G144),"")</f>
        <v/>
      </c>
    </row>
    <row r="145" spans="1:26" x14ac:dyDescent="0.25">
      <c r="A145" s="10" t="str">
        <f>IF($X145="","",129)</f>
        <v/>
      </c>
      <c r="B145" s="10" t="str">
        <f>IF($X145="","",INDEX(Assessment!$A:$A,$X145))</f>
        <v/>
      </c>
      <c r="C145" s="10" t="str">
        <f>IF($X145="","",INDEX(Assessment!$B:$B,$X145))</f>
        <v/>
      </c>
      <c r="D145" s="10" t="str">
        <f>IF($X145="","",INDEX(Assessment!$C:$C,$X145))</f>
        <v/>
      </c>
      <c r="E145" s="10" t="str">
        <f>IF($X145="","",INDEX(Assessment!$F:$F,$X145))</f>
        <v/>
      </c>
      <c r="F145" s="10" t="str">
        <f>IF($X145="","",INDEX(Assessment!$G:$G,$X145))</f>
        <v/>
      </c>
      <c r="G145" s="10" t="str">
        <f>IF($X145="","",INDEX(Assessment!$J:$J,$X145))</f>
        <v/>
      </c>
      <c r="H145" s="10" t="str">
        <f>IF($X145="","",INDEX(Assessment!$L:$L,$X145))</f>
        <v/>
      </c>
      <c r="I145" s="10" t="str">
        <f>IF($X145="","",INDEX(Assessment!$N:$N,$X145))</f>
        <v/>
      </c>
      <c r="X145" t="str">
        <f>IF(129&lt;=$B$6,SMALL($Y$2:$Y$593,129),IF(129&lt;=$B$6+$B$7,SMALL($Z$2:$Z$593,129-$B$6),""))</f>
        <v/>
      </c>
      <c r="Y145" t="str">
        <f>IF(Assessment!$G145="Critical",ROW(Assessment!$G145),"")</f>
        <v/>
      </c>
      <c r="Z145" t="str">
        <f>IF(Assessment!$G145="High",ROW(Assessment!$G145),"")</f>
        <v/>
      </c>
    </row>
    <row r="146" spans="1:26" x14ac:dyDescent="0.25">
      <c r="A146" s="10" t="str">
        <f>IF($X146="","",130)</f>
        <v/>
      </c>
      <c r="B146" s="10" t="str">
        <f>IF($X146="","",INDEX(Assessment!$A:$A,$X146))</f>
        <v/>
      </c>
      <c r="C146" s="10" t="str">
        <f>IF($X146="","",INDEX(Assessment!$B:$B,$X146))</f>
        <v/>
      </c>
      <c r="D146" s="10" t="str">
        <f>IF($X146="","",INDEX(Assessment!$C:$C,$X146))</f>
        <v/>
      </c>
      <c r="E146" s="10" t="str">
        <f>IF($X146="","",INDEX(Assessment!$F:$F,$X146))</f>
        <v/>
      </c>
      <c r="F146" s="10" t="str">
        <f>IF($X146="","",INDEX(Assessment!$G:$G,$X146))</f>
        <v/>
      </c>
      <c r="G146" s="10" t="str">
        <f>IF($X146="","",INDEX(Assessment!$J:$J,$X146))</f>
        <v/>
      </c>
      <c r="H146" s="10" t="str">
        <f>IF($X146="","",INDEX(Assessment!$L:$L,$X146))</f>
        <v/>
      </c>
      <c r="I146" s="10" t="str">
        <f>IF($X146="","",INDEX(Assessment!$N:$N,$X146))</f>
        <v/>
      </c>
      <c r="X146" t="str">
        <f>IF(130&lt;=$B$6,SMALL($Y$2:$Y$593,130),IF(130&lt;=$B$6+$B$7,SMALL($Z$2:$Z$593,130-$B$6),""))</f>
        <v/>
      </c>
      <c r="Y146" t="str">
        <f>IF(Assessment!$G146="Critical",ROW(Assessment!$G146),"")</f>
        <v/>
      </c>
      <c r="Z146" t="str">
        <f>IF(Assessment!$G146="High",ROW(Assessment!$G146),"")</f>
        <v/>
      </c>
    </row>
    <row r="147" spans="1:26" x14ac:dyDescent="0.25">
      <c r="A147" s="10" t="str">
        <f>IF($X147="","",131)</f>
        <v/>
      </c>
      <c r="B147" s="10" t="str">
        <f>IF($X147="","",INDEX(Assessment!$A:$A,$X147))</f>
        <v/>
      </c>
      <c r="C147" s="10" t="str">
        <f>IF($X147="","",INDEX(Assessment!$B:$B,$X147))</f>
        <v/>
      </c>
      <c r="D147" s="10" t="str">
        <f>IF($X147="","",INDEX(Assessment!$C:$C,$X147))</f>
        <v/>
      </c>
      <c r="E147" s="10" t="str">
        <f>IF($X147="","",INDEX(Assessment!$F:$F,$X147))</f>
        <v/>
      </c>
      <c r="F147" s="10" t="str">
        <f>IF($X147="","",INDEX(Assessment!$G:$G,$X147))</f>
        <v/>
      </c>
      <c r="G147" s="10" t="str">
        <f>IF($X147="","",INDEX(Assessment!$J:$J,$X147))</f>
        <v/>
      </c>
      <c r="H147" s="10" t="str">
        <f>IF($X147="","",INDEX(Assessment!$L:$L,$X147))</f>
        <v/>
      </c>
      <c r="I147" s="10" t="str">
        <f>IF($X147="","",INDEX(Assessment!$N:$N,$X147))</f>
        <v/>
      </c>
      <c r="X147" t="str">
        <f>IF(131&lt;=$B$6,SMALL($Y$2:$Y$593,131),IF(131&lt;=$B$6+$B$7,SMALL($Z$2:$Z$593,131-$B$6),""))</f>
        <v/>
      </c>
      <c r="Y147" t="str">
        <f>IF(Assessment!$G147="Critical",ROW(Assessment!$G147),"")</f>
        <v/>
      </c>
      <c r="Z147" t="str">
        <f>IF(Assessment!$G147="High",ROW(Assessment!$G147),"")</f>
        <v/>
      </c>
    </row>
    <row r="148" spans="1:26" x14ac:dyDescent="0.25">
      <c r="A148" s="10" t="str">
        <f>IF($X148="","",132)</f>
        <v/>
      </c>
      <c r="B148" s="10" t="str">
        <f>IF($X148="","",INDEX(Assessment!$A:$A,$X148))</f>
        <v/>
      </c>
      <c r="C148" s="10" t="str">
        <f>IF($X148="","",INDEX(Assessment!$B:$B,$X148))</f>
        <v/>
      </c>
      <c r="D148" s="10" t="str">
        <f>IF($X148="","",INDEX(Assessment!$C:$C,$X148))</f>
        <v/>
      </c>
      <c r="E148" s="10" t="str">
        <f>IF($X148="","",INDEX(Assessment!$F:$F,$X148))</f>
        <v/>
      </c>
      <c r="F148" s="10" t="str">
        <f>IF($X148="","",INDEX(Assessment!$G:$G,$X148))</f>
        <v/>
      </c>
      <c r="G148" s="10" t="str">
        <f>IF($X148="","",INDEX(Assessment!$J:$J,$X148))</f>
        <v/>
      </c>
      <c r="H148" s="10" t="str">
        <f>IF($X148="","",INDEX(Assessment!$L:$L,$X148))</f>
        <v/>
      </c>
      <c r="I148" s="10" t="str">
        <f>IF($X148="","",INDEX(Assessment!$N:$N,$X148))</f>
        <v/>
      </c>
      <c r="X148" t="str">
        <f>IF(132&lt;=$B$6,SMALL($Y$2:$Y$593,132),IF(132&lt;=$B$6+$B$7,SMALL($Z$2:$Z$593,132-$B$6),""))</f>
        <v/>
      </c>
      <c r="Y148" t="str">
        <f>IF(Assessment!$G148="Critical",ROW(Assessment!$G148),"")</f>
        <v/>
      </c>
      <c r="Z148" t="str">
        <f>IF(Assessment!$G148="High",ROW(Assessment!$G148),"")</f>
        <v/>
      </c>
    </row>
    <row r="149" spans="1:26" x14ac:dyDescent="0.25">
      <c r="A149" s="10" t="str">
        <f>IF($X149="","",133)</f>
        <v/>
      </c>
      <c r="B149" s="10" t="str">
        <f>IF($X149="","",INDEX(Assessment!$A:$A,$X149))</f>
        <v/>
      </c>
      <c r="C149" s="10" t="str">
        <f>IF($X149="","",INDEX(Assessment!$B:$B,$X149))</f>
        <v/>
      </c>
      <c r="D149" s="10" t="str">
        <f>IF($X149="","",INDEX(Assessment!$C:$C,$X149))</f>
        <v/>
      </c>
      <c r="E149" s="10" t="str">
        <f>IF($X149="","",INDEX(Assessment!$F:$F,$X149))</f>
        <v/>
      </c>
      <c r="F149" s="10" t="str">
        <f>IF($X149="","",INDEX(Assessment!$G:$G,$X149))</f>
        <v/>
      </c>
      <c r="G149" s="10" t="str">
        <f>IF($X149="","",INDEX(Assessment!$J:$J,$X149))</f>
        <v/>
      </c>
      <c r="H149" s="10" t="str">
        <f>IF($X149="","",INDEX(Assessment!$L:$L,$X149))</f>
        <v/>
      </c>
      <c r="I149" s="10" t="str">
        <f>IF($X149="","",INDEX(Assessment!$N:$N,$X149))</f>
        <v/>
      </c>
      <c r="X149" t="str">
        <f>IF(133&lt;=$B$6,SMALL($Y$2:$Y$593,133),IF(133&lt;=$B$6+$B$7,SMALL($Z$2:$Z$593,133-$B$6),""))</f>
        <v/>
      </c>
      <c r="Y149" t="str">
        <f>IF(Assessment!$G149="Critical",ROW(Assessment!$G149),"")</f>
        <v/>
      </c>
      <c r="Z149" t="str">
        <f>IF(Assessment!$G149="High",ROW(Assessment!$G149),"")</f>
        <v/>
      </c>
    </row>
    <row r="150" spans="1:26" x14ac:dyDescent="0.25">
      <c r="A150" s="10" t="str">
        <f>IF($X150="","",134)</f>
        <v/>
      </c>
      <c r="B150" s="10" t="str">
        <f>IF($X150="","",INDEX(Assessment!$A:$A,$X150))</f>
        <v/>
      </c>
      <c r="C150" s="10" t="str">
        <f>IF($X150="","",INDEX(Assessment!$B:$B,$X150))</f>
        <v/>
      </c>
      <c r="D150" s="10" t="str">
        <f>IF($X150="","",INDEX(Assessment!$C:$C,$X150))</f>
        <v/>
      </c>
      <c r="E150" s="10" t="str">
        <f>IF($X150="","",INDEX(Assessment!$F:$F,$X150))</f>
        <v/>
      </c>
      <c r="F150" s="10" t="str">
        <f>IF($X150="","",INDEX(Assessment!$G:$G,$X150))</f>
        <v/>
      </c>
      <c r="G150" s="10" t="str">
        <f>IF($X150="","",INDEX(Assessment!$J:$J,$X150))</f>
        <v/>
      </c>
      <c r="H150" s="10" t="str">
        <f>IF($X150="","",INDEX(Assessment!$L:$L,$X150))</f>
        <v/>
      </c>
      <c r="I150" s="10" t="str">
        <f>IF($X150="","",INDEX(Assessment!$N:$N,$X150))</f>
        <v/>
      </c>
      <c r="X150" t="str">
        <f>IF(134&lt;=$B$6,SMALL($Y$2:$Y$593,134),IF(134&lt;=$B$6+$B$7,SMALL($Z$2:$Z$593,134-$B$6),""))</f>
        <v/>
      </c>
      <c r="Y150" t="str">
        <f>IF(Assessment!$G150="Critical",ROW(Assessment!$G150),"")</f>
        <v/>
      </c>
      <c r="Z150" t="str">
        <f>IF(Assessment!$G150="High",ROW(Assessment!$G150),"")</f>
        <v/>
      </c>
    </row>
    <row r="151" spans="1:26" x14ac:dyDescent="0.25">
      <c r="A151" s="10" t="str">
        <f>IF($X151="","",135)</f>
        <v/>
      </c>
      <c r="B151" s="10" t="str">
        <f>IF($X151="","",INDEX(Assessment!$A:$A,$X151))</f>
        <v/>
      </c>
      <c r="C151" s="10" t="str">
        <f>IF($X151="","",INDEX(Assessment!$B:$B,$X151))</f>
        <v/>
      </c>
      <c r="D151" s="10" t="str">
        <f>IF($X151="","",INDEX(Assessment!$C:$C,$X151))</f>
        <v/>
      </c>
      <c r="E151" s="10" t="str">
        <f>IF($X151="","",INDEX(Assessment!$F:$F,$X151))</f>
        <v/>
      </c>
      <c r="F151" s="10" t="str">
        <f>IF($X151="","",INDEX(Assessment!$G:$G,$X151))</f>
        <v/>
      </c>
      <c r="G151" s="10" t="str">
        <f>IF($X151="","",INDEX(Assessment!$J:$J,$X151))</f>
        <v/>
      </c>
      <c r="H151" s="10" t="str">
        <f>IF($X151="","",INDEX(Assessment!$L:$L,$X151))</f>
        <v/>
      </c>
      <c r="I151" s="10" t="str">
        <f>IF($X151="","",INDEX(Assessment!$N:$N,$X151))</f>
        <v/>
      </c>
      <c r="X151" t="str">
        <f>IF(135&lt;=$B$6,SMALL($Y$2:$Y$593,135),IF(135&lt;=$B$6+$B$7,SMALL($Z$2:$Z$593,135-$B$6),""))</f>
        <v/>
      </c>
      <c r="Y151" t="str">
        <f>IF(Assessment!$G151="Critical",ROW(Assessment!$G151),"")</f>
        <v/>
      </c>
      <c r="Z151" t="str">
        <f>IF(Assessment!$G151="High",ROW(Assessment!$G151),"")</f>
        <v/>
      </c>
    </row>
    <row r="152" spans="1:26" x14ac:dyDescent="0.25">
      <c r="A152" s="10" t="str">
        <f>IF($X152="","",136)</f>
        <v/>
      </c>
      <c r="B152" s="10" t="str">
        <f>IF($X152="","",INDEX(Assessment!$A:$A,$X152))</f>
        <v/>
      </c>
      <c r="C152" s="10" t="str">
        <f>IF($X152="","",INDEX(Assessment!$B:$B,$X152))</f>
        <v/>
      </c>
      <c r="D152" s="10" t="str">
        <f>IF($X152="","",INDEX(Assessment!$C:$C,$X152))</f>
        <v/>
      </c>
      <c r="E152" s="10" t="str">
        <f>IF($X152="","",INDEX(Assessment!$F:$F,$X152))</f>
        <v/>
      </c>
      <c r="F152" s="10" t="str">
        <f>IF($X152="","",INDEX(Assessment!$G:$G,$X152))</f>
        <v/>
      </c>
      <c r="G152" s="10" t="str">
        <f>IF($X152="","",INDEX(Assessment!$J:$J,$X152))</f>
        <v/>
      </c>
      <c r="H152" s="10" t="str">
        <f>IF($X152="","",INDEX(Assessment!$L:$L,$X152))</f>
        <v/>
      </c>
      <c r="I152" s="10" t="str">
        <f>IF($X152="","",INDEX(Assessment!$N:$N,$X152))</f>
        <v/>
      </c>
      <c r="X152" t="str">
        <f>IF(136&lt;=$B$6,SMALL($Y$2:$Y$593,136),IF(136&lt;=$B$6+$B$7,SMALL($Z$2:$Z$593,136-$B$6),""))</f>
        <v/>
      </c>
      <c r="Y152" t="str">
        <f>IF(Assessment!$G152="Critical",ROW(Assessment!$G152),"")</f>
        <v/>
      </c>
      <c r="Z152" t="str">
        <f>IF(Assessment!$G152="High",ROW(Assessment!$G152),"")</f>
        <v/>
      </c>
    </row>
    <row r="153" spans="1:26" x14ac:dyDescent="0.25">
      <c r="A153" s="10" t="str">
        <f>IF($X153="","",137)</f>
        <v/>
      </c>
      <c r="B153" s="10" t="str">
        <f>IF($X153="","",INDEX(Assessment!$A:$A,$X153))</f>
        <v/>
      </c>
      <c r="C153" s="10" t="str">
        <f>IF($X153="","",INDEX(Assessment!$B:$B,$X153))</f>
        <v/>
      </c>
      <c r="D153" s="10" t="str">
        <f>IF($X153="","",INDEX(Assessment!$C:$C,$X153))</f>
        <v/>
      </c>
      <c r="E153" s="10" t="str">
        <f>IF($X153="","",INDEX(Assessment!$F:$F,$X153))</f>
        <v/>
      </c>
      <c r="F153" s="10" t="str">
        <f>IF($X153="","",INDEX(Assessment!$G:$G,$X153))</f>
        <v/>
      </c>
      <c r="G153" s="10" t="str">
        <f>IF($X153="","",INDEX(Assessment!$J:$J,$X153))</f>
        <v/>
      </c>
      <c r="H153" s="10" t="str">
        <f>IF($X153="","",INDEX(Assessment!$L:$L,$X153))</f>
        <v/>
      </c>
      <c r="I153" s="10" t="str">
        <f>IF($X153="","",INDEX(Assessment!$N:$N,$X153))</f>
        <v/>
      </c>
      <c r="X153" t="str">
        <f>IF(137&lt;=$B$6,SMALL($Y$2:$Y$593,137),IF(137&lt;=$B$6+$B$7,SMALL($Z$2:$Z$593,137-$B$6),""))</f>
        <v/>
      </c>
      <c r="Y153" t="str">
        <f>IF(Assessment!$G153="Critical",ROW(Assessment!$G153),"")</f>
        <v/>
      </c>
      <c r="Z153" t="str">
        <f>IF(Assessment!$G153="High",ROW(Assessment!$G153),"")</f>
        <v/>
      </c>
    </row>
    <row r="154" spans="1:26" x14ac:dyDescent="0.25">
      <c r="A154" s="10" t="str">
        <f>IF($X154="","",138)</f>
        <v/>
      </c>
      <c r="B154" s="10" t="str">
        <f>IF($X154="","",INDEX(Assessment!$A:$A,$X154))</f>
        <v/>
      </c>
      <c r="C154" s="10" t="str">
        <f>IF($X154="","",INDEX(Assessment!$B:$B,$X154))</f>
        <v/>
      </c>
      <c r="D154" s="10" t="str">
        <f>IF($X154="","",INDEX(Assessment!$C:$C,$X154))</f>
        <v/>
      </c>
      <c r="E154" s="10" t="str">
        <f>IF($X154="","",INDEX(Assessment!$F:$F,$X154))</f>
        <v/>
      </c>
      <c r="F154" s="10" t="str">
        <f>IF($X154="","",INDEX(Assessment!$G:$G,$X154))</f>
        <v/>
      </c>
      <c r="G154" s="10" t="str">
        <f>IF($X154="","",INDEX(Assessment!$J:$J,$X154))</f>
        <v/>
      </c>
      <c r="H154" s="10" t="str">
        <f>IF($X154="","",INDEX(Assessment!$L:$L,$X154))</f>
        <v/>
      </c>
      <c r="I154" s="10" t="str">
        <f>IF($X154="","",INDEX(Assessment!$N:$N,$X154))</f>
        <v/>
      </c>
      <c r="X154" t="str">
        <f>IF(138&lt;=$B$6,SMALL($Y$2:$Y$593,138),IF(138&lt;=$B$6+$B$7,SMALL($Z$2:$Z$593,138-$B$6),""))</f>
        <v/>
      </c>
      <c r="Y154" t="str">
        <f>IF(Assessment!$G154="Critical",ROW(Assessment!$G154),"")</f>
        <v/>
      </c>
      <c r="Z154" t="str">
        <f>IF(Assessment!$G154="High",ROW(Assessment!$G154),"")</f>
        <v/>
      </c>
    </row>
    <row r="155" spans="1:26" x14ac:dyDescent="0.25">
      <c r="A155" s="10" t="str">
        <f>IF($X155="","",139)</f>
        <v/>
      </c>
      <c r="B155" s="10" t="str">
        <f>IF($X155="","",INDEX(Assessment!$A:$A,$X155))</f>
        <v/>
      </c>
      <c r="C155" s="10" t="str">
        <f>IF($X155="","",INDEX(Assessment!$B:$B,$X155))</f>
        <v/>
      </c>
      <c r="D155" s="10" t="str">
        <f>IF($X155="","",INDEX(Assessment!$C:$C,$X155))</f>
        <v/>
      </c>
      <c r="E155" s="10" t="str">
        <f>IF($X155="","",INDEX(Assessment!$F:$F,$X155))</f>
        <v/>
      </c>
      <c r="F155" s="10" t="str">
        <f>IF($X155="","",INDEX(Assessment!$G:$G,$X155))</f>
        <v/>
      </c>
      <c r="G155" s="10" t="str">
        <f>IF($X155="","",INDEX(Assessment!$J:$J,$X155))</f>
        <v/>
      </c>
      <c r="H155" s="10" t="str">
        <f>IF($X155="","",INDEX(Assessment!$L:$L,$X155))</f>
        <v/>
      </c>
      <c r="I155" s="10" t="str">
        <f>IF($X155="","",INDEX(Assessment!$N:$N,$X155))</f>
        <v/>
      </c>
      <c r="X155" t="str">
        <f>IF(139&lt;=$B$6,SMALL($Y$2:$Y$593,139),IF(139&lt;=$B$6+$B$7,SMALL($Z$2:$Z$593,139-$B$6),""))</f>
        <v/>
      </c>
      <c r="Y155" t="str">
        <f>IF(Assessment!$G155="Critical",ROW(Assessment!$G155),"")</f>
        <v/>
      </c>
      <c r="Z155" t="str">
        <f>IF(Assessment!$G155="High",ROW(Assessment!$G155),"")</f>
        <v/>
      </c>
    </row>
    <row r="156" spans="1:26" x14ac:dyDescent="0.25">
      <c r="A156" s="10" t="str">
        <f>IF($X156="","",140)</f>
        <v/>
      </c>
      <c r="B156" s="10" t="str">
        <f>IF($X156="","",INDEX(Assessment!$A:$A,$X156))</f>
        <v/>
      </c>
      <c r="C156" s="10" t="str">
        <f>IF($X156="","",INDEX(Assessment!$B:$B,$X156))</f>
        <v/>
      </c>
      <c r="D156" s="10" t="str">
        <f>IF($X156="","",INDEX(Assessment!$C:$C,$X156))</f>
        <v/>
      </c>
      <c r="E156" s="10" t="str">
        <f>IF($X156="","",INDEX(Assessment!$F:$F,$X156))</f>
        <v/>
      </c>
      <c r="F156" s="10" t="str">
        <f>IF($X156="","",INDEX(Assessment!$G:$G,$X156))</f>
        <v/>
      </c>
      <c r="G156" s="10" t="str">
        <f>IF($X156="","",INDEX(Assessment!$J:$J,$X156))</f>
        <v/>
      </c>
      <c r="H156" s="10" t="str">
        <f>IF($X156="","",INDEX(Assessment!$L:$L,$X156))</f>
        <v/>
      </c>
      <c r="I156" s="10" t="str">
        <f>IF($X156="","",INDEX(Assessment!$N:$N,$X156))</f>
        <v/>
      </c>
      <c r="X156" t="str">
        <f>IF(140&lt;=$B$6,SMALL($Y$2:$Y$593,140),IF(140&lt;=$B$6+$B$7,SMALL($Z$2:$Z$593,140-$B$6),""))</f>
        <v/>
      </c>
      <c r="Y156" t="str">
        <f>IF(Assessment!$G156="Critical",ROW(Assessment!$G156),"")</f>
        <v/>
      </c>
      <c r="Z156" t="str">
        <f>IF(Assessment!$G156="High",ROW(Assessment!$G156),"")</f>
        <v/>
      </c>
    </row>
    <row r="157" spans="1:26" x14ac:dyDescent="0.25">
      <c r="A157" s="10" t="str">
        <f>IF($X157="","",141)</f>
        <v/>
      </c>
      <c r="B157" s="10" t="str">
        <f>IF($X157="","",INDEX(Assessment!$A:$A,$X157))</f>
        <v/>
      </c>
      <c r="C157" s="10" t="str">
        <f>IF($X157="","",INDEX(Assessment!$B:$B,$X157))</f>
        <v/>
      </c>
      <c r="D157" s="10" t="str">
        <f>IF($X157="","",INDEX(Assessment!$C:$C,$X157))</f>
        <v/>
      </c>
      <c r="E157" s="10" t="str">
        <f>IF($X157="","",INDEX(Assessment!$F:$F,$X157))</f>
        <v/>
      </c>
      <c r="F157" s="10" t="str">
        <f>IF($X157="","",INDEX(Assessment!$G:$G,$X157))</f>
        <v/>
      </c>
      <c r="G157" s="10" t="str">
        <f>IF($X157="","",INDEX(Assessment!$J:$J,$X157))</f>
        <v/>
      </c>
      <c r="H157" s="10" t="str">
        <f>IF($X157="","",INDEX(Assessment!$L:$L,$X157))</f>
        <v/>
      </c>
      <c r="I157" s="10" t="str">
        <f>IF($X157="","",INDEX(Assessment!$N:$N,$X157))</f>
        <v/>
      </c>
      <c r="X157" t="str">
        <f>IF(141&lt;=$B$6,SMALL($Y$2:$Y$593,141),IF(141&lt;=$B$6+$B$7,SMALL($Z$2:$Z$593,141-$B$6),""))</f>
        <v/>
      </c>
      <c r="Y157" t="str">
        <f>IF(Assessment!$G157="Critical",ROW(Assessment!$G157),"")</f>
        <v/>
      </c>
      <c r="Z157" t="str">
        <f>IF(Assessment!$G157="High",ROW(Assessment!$G157),"")</f>
        <v/>
      </c>
    </row>
    <row r="158" spans="1:26" x14ac:dyDescent="0.25">
      <c r="A158" s="10" t="str">
        <f>IF($X158="","",142)</f>
        <v/>
      </c>
      <c r="B158" s="10" t="str">
        <f>IF($X158="","",INDEX(Assessment!$A:$A,$X158))</f>
        <v/>
      </c>
      <c r="C158" s="10" t="str">
        <f>IF($X158="","",INDEX(Assessment!$B:$B,$X158))</f>
        <v/>
      </c>
      <c r="D158" s="10" t="str">
        <f>IF($X158="","",INDEX(Assessment!$C:$C,$X158))</f>
        <v/>
      </c>
      <c r="E158" s="10" t="str">
        <f>IF($X158="","",INDEX(Assessment!$F:$F,$X158))</f>
        <v/>
      </c>
      <c r="F158" s="10" t="str">
        <f>IF($X158="","",INDEX(Assessment!$G:$G,$X158))</f>
        <v/>
      </c>
      <c r="G158" s="10" t="str">
        <f>IF($X158="","",INDEX(Assessment!$J:$J,$X158))</f>
        <v/>
      </c>
      <c r="H158" s="10" t="str">
        <f>IF($X158="","",INDEX(Assessment!$L:$L,$X158))</f>
        <v/>
      </c>
      <c r="I158" s="10" t="str">
        <f>IF($X158="","",INDEX(Assessment!$N:$N,$X158))</f>
        <v/>
      </c>
      <c r="X158" t="str">
        <f>IF(142&lt;=$B$6,SMALL($Y$2:$Y$593,142),IF(142&lt;=$B$6+$B$7,SMALL($Z$2:$Z$593,142-$B$6),""))</f>
        <v/>
      </c>
      <c r="Y158" t="str">
        <f>IF(Assessment!$G158="Critical",ROW(Assessment!$G158),"")</f>
        <v/>
      </c>
      <c r="Z158" t="str">
        <f>IF(Assessment!$G158="High",ROW(Assessment!$G158),"")</f>
        <v/>
      </c>
    </row>
    <row r="159" spans="1:26" x14ac:dyDescent="0.25">
      <c r="A159" s="10" t="str">
        <f>IF($X159="","",143)</f>
        <v/>
      </c>
      <c r="B159" s="10" t="str">
        <f>IF($X159="","",INDEX(Assessment!$A:$A,$X159))</f>
        <v/>
      </c>
      <c r="C159" s="10" t="str">
        <f>IF($X159="","",INDEX(Assessment!$B:$B,$X159))</f>
        <v/>
      </c>
      <c r="D159" s="10" t="str">
        <f>IF($X159="","",INDEX(Assessment!$C:$C,$X159))</f>
        <v/>
      </c>
      <c r="E159" s="10" t="str">
        <f>IF($X159="","",INDEX(Assessment!$F:$F,$X159))</f>
        <v/>
      </c>
      <c r="F159" s="10" t="str">
        <f>IF($X159="","",INDEX(Assessment!$G:$G,$X159))</f>
        <v/>
      </c>
      <c r="G159" s="10" t="str">
        <f>IF($X159="","",INDEX(Assessment!$J:$J,$X159))</f>
        <v/>
      </c>
      <c r="H159" s="10" t="str">
        <f>IF($X159="","",INDEX(Assessment!$L:$L,$X159))</f>
        <v/>
      </c>
      <c r="I159" s="10" t="str">
        <f>IF($X159="","",INDEX(Assessment!$N:$N,$X159))</f>
        <v/>
      </c>
      <c r="X159" t="str">
        <f>IF(143&lt;=$B$6,SMALL($Y$2:$Y$593,143),IF(143&lt;=$B$6+$B$7,SMALL($Z$2:$Z$593,143-$B$6),""))</f>
        <v/>
      </c>
      <c r="Y159" t="str">
        <f>IF(Assessment!$G159="Critical",ROW(Assessment!$G159),"")</f>
        <v/>
      </c>
      <c r="Z159" t="str">
        <f>IF(Assessment!$G159="High",ROW(Assessment!$G159),"")</f>
        <v/>
      </c>
    </row>
    <row r="160" spans="1:26" x14ac:dyDescent="0.25">
      <c r="A160" s="10" t="str">
        <f>IF($X160="","",144)</f>
        <v/>
      </c>
      <c r="B160" s="10" t="str">
        <f>IF($X160="","",INDEX(Assessment!$A:$A,$X160))</f>
        <v/>
      </c>
      <c r="C160" s="10" t="str">
        <f>IF($X160="","",INDEX(Assessment!$B:$B,$X160))</f>
        <v/>
      </c>
      <c r="D160" s="10" t="str">
        <f>IF($X160="","",INDEX(Assessment!$C:$C,$X160))</f>
        <v/>
      </c>
      <c r="E160" s="10" t="str">
        <f>IF($X160="","",INDEX(Assessment!$F:$F,$X160))</f>
        <v/>
      </c>
      <c r="F160" s="10" t="str">
        <f>IF($X160="","",INDEX(Assessment!$G:$G,$X160))</f>
        <v/>
      </c>
      <c r="G160" s="10" t="str">
        <f>IF($X160="","",INDEX(Assessment!$J:$J,$X160))</f>
        <v/>
      </c>
      <c r="H160" s="10" t="str">
        <f>IF($X160="","",INDEX(Assessment!$L:$L,$X160))</f>
        <v/>
      </c>
      <c r="I160" s="10" t="str">
        <f>IF($X160="","",INDEX(Assessment!$N:$N,$X160))</f>
        <v/>
      </c>
      <c r="X160" t="str">
        <f>IF(144&lt;=$B$6,SMALL($Y$2:$Y$593,144),IF(144&lt;=$B$6+$B$7,SMALL($Z$2:$Z$593,144-$B$6),""))</f>
        <v/>
      </c>
      <c r="Y160" t="str">
        <f>IF(Assessment!$G160="Critical",ROW(Assessment!$G160),"")</f>
        <v/>
      </c>
      <c r="Z160" t="str">
        <f>IF(Assessment!$G160="High",ROW(Assessment!$G160),"")</f>
        <v/>
      </c>
    </row>
    <row r="161" spans="1:26" x14ac:dyDescent="0.25">
      <c r="A161" s="10" t="str">
        <f>IF($X161="","",145)</f>
        <v/>
      </c>
      <c r="B161" s="10" t="str">
        <f>IF($X161="","",INDEX(Assessment!$A:$A,$X161))</f>
        <v/>
      </c>
      <c r="C161" s="10" t="str">
        <f>IF($X161="","",INDEX(Assessment!$B:$B,$X161))</f>
        <v/>
      </c>
      <c r="D161" s="10" t="str">
        <f>IF($X161="","",INDEX(Assessment!$C:$C,$X161))</f>
        <v/>
      </c>
      <c r="E161" s="10" t="str">
        <f>IF($X161="","",INDEX(Assessment!$F:$F,$X161))</f>
        <v/>
      </c>
      <c r="F161" s="10" t="str">
        <f>IF($X161="","",INDEX(Assessment!$G:$G,$X161))</f>
        <v/>
      </c>
      <c r="G161" s="10" t="str">
        <f>IF($X161="","",INDEX(Assessment!$J:$J,$X161))</f>
        <v/>
      </c>
      <c r="H161" s="10" t="str">
        <f>IF($X161="","",INDEX(Assessment!$L:$L,$X161))</f>
        <v/>
      </c>
      <c r="I161" s="10" t="str">
        <f>IF($X161="","",INDEX(Assessment!$N:$N,$X161))</f>
        <v/>
      </c>
      <c r="X161" t="str">
        <f>IF(145&lt;=$B$6,SMALL($Y$2:$Y$593,145),IF(145&lt;=$B$6+$B$7,SMALL($Z$2:$Z$593,145-$B$6),""))</f>
        <v/>
      </c>
      <c r="Y161" t="str">
        <f>IF(Assessment!$G161="Critical",ROW(Assessment!$G161),"")</f>
        <v/>
      </c>
      <c r="Z161" t="str">
        <f>IF(Assessment!$G161="High",ROW(Assessment!$G161),"")</f>
        <v/>
      </c>
    </row>
    <row r="162" spans="1:26" x14ac:dyDescent="0.25">
      <c r="A162" s="10" t="str">
        <f>IF($X162="","",146)</f>
        <v/>
      </c>
      <c r="B162" s="10" t="str">
        <f>IF($X162="","",INDEX(Assessment!$A:$A,$X162))</f>
        <v/>
      </c>
      <c r="C162" s="10" t="str">
        <f>IF($X162="","",INDEX(Assessment!$B:$B,$X162))</f>
        <v/>
      </c>
      <c r="D162" s="10" t="str">
        <f>IF($X162="","",INDEX(Assessment!$C:$C,$X162))</f>
        <v/>
      </c>
      <c r="E162" s="10" t="str">
        <f>IF($X162="","",INDEX(Assessment!$F:$F,$X162))</f>
        <v/>
      </c>
      <c r="F162" s="10" t="str">
        <f>IF($X162="","",INDEX(Assessment!$G:$G,$X162))</f>
        <v/>
      </c>
      <c r="G162" s="10" t="str">
        <f>IF($X162="","",INDEX(Assessment!$J:$J,$X162))</f>
        <v/>
      </c>
      <c r="H162" s="10" t="str">
        <f>IF($X162="","",INDEX(Assessment!$L:$L,$X162))</f>
        <v/>
      </c>
      <c r="I162" s="10" t="str">
        <f>IF($X162="","",INDEX(Assessment!$N:$N,$X162))</f>
        <v/>
      </c>
      <c r="X162" t="str">
        <f>IF(146&lt;=$B$6,SMALL($Y$2:$Y$593,146),IF(146&lt;=$B$6+$B$7,SMALL($Z$2:$Z$593,146-$B$6),""))</f>
        <v/>
      </c>
      <c r="Y162" t="str">
        <f>IF(Assessment!$G162="Critical",ROW(Assessment!$G162),"")</f>
        <v/>
      </c>
      <c r="Z162" t="str">
        <f>IF(Assessment!$G162="High",ROW(Assessment!$G162),"")</f>
        <v/>
      </c>
    </row>
    <row r="163" spans="1:26" x14ac:dyDescent="0.25">
      <c r="A163" s="10" t="str">
        <f>IF($X163="","",147)</f>
        <v/>
      </c>
      <c r="B163" s="10" t="str">
        <f>IF($X163="","",INDEX(Assessment!$A:$A,$X163))</f>
        <v/>
      </c>
      <c r="C163" s="10" t="str">
        <f>IF($X163="","",INDEX(Assessment!$B:$B,$X163))</f>
        <v/>
      </c>
      <c r="D163" s="10" t="str">
        <f>IF($X163="","",INDEX(Assessment!$C:$C,$X163))</f>
        <v/>
      </c>
      <c r="E163" s="10" t="str">
        <f>IF($X163="","",INDEX(Assessment!$F:$F,$X163))</f>
        <v/>
      </c>
      <c r="F163" s="10" t="str">
        <f>IF($X163="","",INDEX(Assessment!$G:$G,$X163))</f>
        <v/>
      </c>
      <c r="G163" s="10" t="str">
        <f>IF($X163="","",INDEX(Assessment!$J:$J,$X163))</f>
        <v/>
      </c>
      <c r="H163" s="10" t="str">
        <f>IF($X163="","",INDEX(Assessment!$L:$L,$X163))</f>
        <v/>
      </c>
      <c r="I163" s="10" t="str">
        <f>IF($X163="","",INDEX(Assessment!$N:$N,$X163))</f>
        <v/>
      </c>
      <c r="X163" t="str">
        <f>IF(147&lt;=$B$6,SMALL($Y$2:$Y$593,147),IF(147&lt;=$B$6+$B$7,SMALL($Z$2:$Z$593,147-$B$6),""))</f>
        <v/>
      </c>
      <c r="Y163" t="str">
        <f>IF(Assessment!$G163="Critical",ROW(Assessment!$G163),"")</f>
        <v/>
      </c>
      <c r="Z163" t="str">
        <f>IF(Assessment!$G163="High",ROW(Assessment!$G163),"")</f>
        <v/>
      </c>
    </row>
    <row r="164" spans="1:26" x14ac:dyDescent="0.25">
      <c r="A164" s="10" t="str">
        <f>IF($X164="","",148)</f>
        <v/>
      </c>
      <c r="B164" s="10" t="str">
        <f>IF($X164="","",INDEX(Assessment!$A:$A,$X164))</f>
        <v/>
      </c>
      <c r="C164" s="10" t="str">
        <f>IF($X164="","",INDEX(Assessment!$B:$B,$X164))</f>
        <v/>
      </c>
      <c r="D164" s="10" t="str">
        <f>IF($X164="","",INDEX(Assessment!$C:$C,$X164))</f>
        <v/>
      </c>
      <c r="E164" s="10" t="str">
        <f>IF($X164="","",INDEX(Assessment!$F:$F,$X164))</f>
        <v/>
      </c>
      <c r="F164" s="10" t="str">
        <f>IF($X164="","",INDEX(Assessment!$G:$G,$X164))</f>
        <v/>
      </c>
      <c r="G164" s="10" t="str">
        <f>IF($X164="","",INDEX(Assessment!$J:$J,$X164))</f>
        <v/>
      </c>
      <c r="H164" s="10" t="str">
        <f>IF($X164="","",INDEX(Assessment!$L:$L,$X164))</f>
        <v/>
      </c>
      <c r="I164" s="10" t="str">
        <f>IF($X164="","",INDEX(Assessment!$N:$N,$X164))</f>
        <v/>
      </c>
      <c r="X164" t="str">
        <f>IF(148&lt;=$B$6,SMALL($Y$2:$Y$593,148),IF(148&lt;=$B$6+$B$7,SMALL($Z$2:$Z$593,148-$B$6),""))</f>
        <v/>
      </c>
      <c r="Y164" t="str">
        <f>IF(Assessment!$G164="Critical",ROW(Assessment!$G164),"")</f>
        <v/>
      </c>
      <c r="Z164" t="str">
        <f>IF(Assessment!$G164="High",ROW(Assessment!$G164),"")</f>
        <v/>
      </c>
    </row>
    <row r="165" spans="1:26" x14ac:dyDescent="0.25">
      <c r="A165" s="10" t="str">
        <f>IF($X165="","",149)</f>
        <v/>
      </c>
      <c r="B165" s="10" t="str">
        <f>IF($X165="","",INDEX(Assessment!$A:$A,$X165))</f>
        <v/>
      </c>
      <c r="C165" s="10" t="str">
        <f>IF($X165="","",INDEX(Assessment!$B:$B,$X165))</f>
        <v/>
      </c>
      <c r="D165" s="10" t="str">
        <f>IF($X165="","",INDEX(Assessment!$C:$C,$X165))</f>
        <v/>
      </c>
      <c r="E165" s="10" t="str">
        <f>IF($X165="","",INDEX(Assessment!$F:$F,$X165))</f>
        <v/>
      </c>
      <c r="F165" s="10" t="str">
        <f>IF($X165="","",INDEX(Assessment!$G:$G,$X165))</f>
        <v/>
      </c>
      <c r="G165" s="10" t="str">
        <f>IF($X165="","",INDEX(Assessment!$J:$J,$X165))</f>
        <v/>
      </c>
      <c r="H165" s="10" t="str">
        <f>IF($X165="","",INDEX(Assessment!$L:$L,$X165))</f>
        <v/>
      </c>
      <c r="I165" s="10" t="str">
        <f>IF($X165="","",INDEX(Assessment!$N:$N,$X165))</f>
        <v/>
      </c>
      <c r="X165" t="str">
        <f>IF(149&lt;=$B$6,SMALL($Y$2:$Y$593,149),IF(149&lt;=$B$6+$B$7,SMALL($Z$2:$Z$593,149-$B$6),""))</f>
        <v/>
      </c>
      <c r="Y165" t="str">
        <f>IF(Assessment!$G165="Critical",ROW(Assessment!$G165),"")</f>
        <v/>
      </c>
      <c r="Z165" t="str">
        <f>IF(Assessment!$G165="High",ROW(Assessment!$G165),"")</f>
        <v/>
      </c>
    </row>
    <row r="166" spans="1:26" x14ac:dyDescent="0.25">
      <c r="A166" s="10" t="str">
        <f>IF($X166="","",150)</f>
        <v/>
      </c>
      <c r="B166" s="10" t="str">
        <f>IF($X166="","",INDEX(Assessment!$A:$A,$X166))</f>
        <v/>
      </c>
      <c r="C166" s="10" t="str">
        <f>IF($X166="","",INDEX(Assessment!$B:$B,$X166))</f>
        <v/>
      </c>
      <c r="D166" s="10" t="str">
        <f>IF($X166="","",INDEX(Assessment!$C:$C,$X166))</f>
        <v/>
      </c>
      <c r="E166" s="10" t="str">
        <f>IF($X166="","",INDEX(Assessment!$F:$F,$X166))</f>
        <v/>
      </c>
      <c r="F166" s="10" t="str">
        <f>IF($X166="","",INDEX(Assessment!$G:$G,$X166))</f>
        <v/>
      </c>
      <c r="G166" s="10" t="str">
        <f>IF($X166="","",INDEX(Assessment!$J:$J,$X166))</f>
        <v/>
      </c>
      <c r="H166" s="10" t="str">
        <f>IF($X166="","",INDEX(Assessment!$L:$L,$X166))</f>
        <v/>
      </c>
      <c r="I166" s="10" t="str">
        <f>IF($X166="","",INDEX(Assessment!$N:$N,$X166))</f>
        <v/>
      </c>
      <c r="X166" t="str">
        <f>IF(150&lt;=$B$6,SMALL($Y$2:$Y$593,150),IF(150&lt;=$B$6+$B$7,SMALL($Z$2:$Z$593,150-$B$6),""))</f>
        <v/>
      </c>
      <c r="Y166" t="str">
        <f>IF(Assessment!$G166="Critical",ROW(Assessment!$G166),"")</f>
        <v/>
      </c>
      <c r="Z166" t="str">
        <f>IF(Assessment!$G166="High",ROW(Assessment!$G166),"")</f>
        <v/>
      </c>
    </row>
    <row r="167" spans="1:26" x14ac:dyDescent="0.25">
      <c r="A167" s="10" t="str">
        <f>IF($X167="","",151)</f>
        <v/>
      </c>
      <c r="B167" s="10" t="str">
        <f>IF($X167="","",INDEX(Assessment!$A:$A,$X167))</f>
        <v/>
      </c>
      <c r="C167" s="10" t="str">
        <f>IF($X167="","",INDEX(Assessment!$B:$B,$X167))</f>
        <v/>
      </c>
      <c r="D167" s="10" t="str">
        <f>IF($X167="","",INDEX(Assessment!$C:$C,$X167))</f>
        <v/>
      </c>
      <c r="E167" s="10" t="str">
        <f>IF($X167="","",INDEX(Assessment!$F:$F,$X167))</f>
        <v/>
      </c>
      <c r="F167" s="10" t="str">
        <f>IF($X167="","",INDEX(Assessment!$G:$G,$X167))</f>
        <v/>
      </c>
      <c r="G167" s="10" t="str">
        <f>IF($X167="","",INDEX(Assessment!$J:$J,$X167))</f>
        <v/>
      </c>
      <c r="H167" s="10" t="str">
        <f>IF($X167="","",INDEX(Assessment!$L:$L,$X167))</f>
        <v/>
      </c>
      <c r="I167" s="10" t="str">
        <f>IF($X167="","",INDEX(Assessment!$N:$N,$X167))</f>
        <v/>
      </c>
      <c r="X167" t="str">
        <f>IF(151&lt;=$B$6,SMALL($Y$2:$Y$593,151),IF(151&lt;=$B$6+$B$7,SMALL($Z$2:$Z$593,151-$B$6),""))</f>
        <v/>
      </c>
      <c r="Y167" t="str">
        <f>IF(Assessment!$G167="Critical",ROW(Assessment!$G167),"")</f>
        <v/>
      </c>
      <c r="Z167" t="str">
        <f>IF(Assessment!$G167="High",ROW(Assessment!$G167),"")</f>
        <v/>
      </c>
    </row>
    <row r="168" spans="1:26" x14ac:dyDescent="0.25">
      <c r="A168" s="10" t="str">
        <f>IF($X168="","",152)</f>
        <v/>
      </c>
      <c r="B168" s="10" t="str">
        <f>IF($X168="","",INDEX(Assessment!$A:$A,$X168))</f>
        <v/>
      </c>
      <c r="C168" s="10" t="str">
        <f>IF($X168="","",INDEX(Assessment!$B:$B,$X168))</f>
        <v/>
      </c>
      <c r="D168" s="10" t="str">
        <f>IF($X168="","",INDEX(Assessment!$C:$C,$X168))</f>
        <v/>
      </c>
      <c r="E168" s="10" t="str">
        <f>IF($X168="","",INDEX(Assessment!$F:$F,$X168))</f>
        <v/>
      </c>
      <c r="F168" s="10" t="str">
        <f>IF($X168="","",INDEX(Assessment!$G:$G,$X168))</f>
        <v/>
      </c>
      <c r="G168" s="10" t="str">
        <f>IF($X168="","",INDEX(Assessment!$J:$J,$X168))</f>
        <v/>
      </c>
      <c r="H168" s="10" t="str">
        <f>IF($X168="","",INDEX(Assessment!$L:$L,$X168))</f>
        <v/>
      </c>
      <c r="I168" s="10" t="str">
        <f>IF($X168="","",INDEX(Assessment!$N:$N,$X168))</f>
        <v/>
      </c>
      <c r="X168" t="str">
        <f>IF(152&lt;=$B$6,SMALL($Y$2:$Y$593,152),IF(152&lt;=$B$6+$B$7,SMALL($Z$2:$Z$593,152-$B$6),""))</f>
        <v/>
      </c>
      <c r="Y168" t="str">
        <f>IF(Assessment!$G168="Critical",ROW(Assessment!$G168),"")</f>
        <v/>
      </c>
      <c r="Z168" t="str">
        <f>IF(Assessment!$G168="High",ROW(Assessment!$G168),"")</f>
        <v/>
      </c>
    </row>
    <row r="169" spans="1:26" x14ac:dyDescent="0.25">
      <c r="A169" s="10" t="str">
        <f>IF($X169="","",153)</f>
        <v/>
      </c>
      <c r="B169" s="10" t="str">
        <f>IF($X169="","",INDEX(Assessment!$A:$A,$X169))</f>
        <v/>
      </c>
      <c r="C169" s="10" t="str">
        <f>IF($X169="","",INDEX(Assessment!$B:$B,$X169))</f>
        <v/>
      </c>
      <c r="D169" s="10" t="str">
        <f>IF($X169="","",INDEX(Assessment!$C:$C,$X169))</f>
        <v/>
      </c>
      <c r="E169" s="10" t="str">
        <f>IF($X169="","",INDEX(Assessment!$F:$F,$X169))</f>
        <v/>
      </c>
      <c r="F169" s="10" t="str">
        <f>IF($X169="","",INDEX(Assessment!$G:$G,$X169))</f>
        <v/>
      </c>
      <c r="G169" s="10" t="str">
        <f>IF($X169="","",INDEX(Assessment!$J:$J,$X169))</f>
        <v/>
      </c>
      <c r="H169" s="10" t="str">
        <f>IF($X169="","",INDEX(Assessment!$L:$L,$X169))</f>
        <v/>
      </c>
      <c r="I169" s="10" t="str">
        <f>IF($X169="","",INDEX(Assessment!$N:$N,$X169))</f>
        <v/>
      </c>
      <c r="X169" t="str">
        <f>IF(153&lt;=$B$6,SMALL($Y$2:$Y$593,153),IF(153&lt;=$B$6+$B$7,SMALL($Z$2:$Z$593,153-$B$6),""))</f>
        <v/>
      </c>
      <c r="Y169" t="str">
        <f>IF(Assessment!$G169="Critical",ROW(Assessment!$G169),"")</f>
        <v/>
      </c>
      <c r="Z169" t="str">
        <f>IF(Assessment!$G169="High",ROW(Assessment!$G169),"")</f>
        <v/>
      </c>
    </row>
    <row r="170" spans="1:26" x14ac:dyDescent="0.25">
      <c r="A170" s="10" t="str">
        <f>IF($X170="","",154)</f>
        <v/>
      </c>
      <c r="B170" s="10" t="str">
        <f>IF($X170="","",INDEX(Assessment!$A:$A,$X170))</f>
        <v/>
      </c>
      <c r="C170" s="10" t="str">
        <f>IF($X170="","",INDEX(Assessment!$B:$B,$X170))</f>
        <v/>
      </c>
      <c r="D170" s="10" t="str">
        <f>IF($X170="","",INDEX(Assessment!$C:$C,$X170))</f>
        <v/>
      </c>
      <c r="E170" s="10" t="str">
        <f>IF($X170="","",INDEX(Assessment!$F:$F,$X170))</f>
        <v/>
      </c>
      <c r="F170" s="10" t="str">
        <f>IF($X170="","",INDEX(Assessment!$G:$G,$X170))</f>
        <v/>
      </c>
      <c r="G170" s="10" t="str">
        <f>IF($X170="","",INDEX(Assessment!$J:$J,$X170))</f>
        <v/>
      </c>
      <c r="H170" s="10" t="str">
        <f>IF($X170="","",INDEX(Assessment!$L:$L,$X170))</f>
        <v/>
      </c>
      <c r="I170" s="10" t="str">
        <f>IF($X170="","",INDEX(Assessment!$N:$N,$X170))</f>
        <v/>
      </c>
      <c r="X170" t="str">
        <f>IF(154&lt;=$B$6,SMALL($Y$2:$Y$593,154),IF(154&lt;=$B$6+$B$7,SMALL($Z$2:$Z$593,154-$B$6),""))</f>
        <v/>
      </c>
      <c r="Y170" t="str">
        <f>IF(Assessment!$G170="Critical",ROW(Assessment!$G170),"")</f>
        <v/>
      </c>
      <c r="Z170" t="str">
        <f>IF(Assessment!$G170="High",ROW(Assessment!$G170),"")</f>
        <v/>
      </c>
    </row>
    <row r="171" spans="1:26" x14ac:dyDescent="0.25">
      <c r="A171" s="10" t="str">
        <f>IF($X171="","",155)</f>
        <v/>
      </c>
      <c r="B171" s="10" t="str">
        <f>IF($X171="","",INDEX(Assessment!$A:$A,$X171))</f>
        <v/>
      </c>
      <c r="C171" s="10" t="str">
        <f>IF($X171="","",INDEX(Assessment!$B:$B,$X171))</f>
        <v/>
      </c>
      <c r="D171" s="10" t="str">
        <f>IF($X171="","",INDEX(Assessment!$C:$C,$X171))</f>
        <v/>
      </c>
      <c r="E171" s="10" t="str">
        <f>IF($X171="","",INDEX(Assessment!$F:$F,$X171))</f>
        <v/>
      </c>
      <c r="F171" s="10" t="str">
        <f>IF($X171="","",INDEX(Assessment!$G:$G,$X171))</f>
        <v/>
      </c>
      <c r="G171" s="10" t="str">
        <f>IF($X171="","",INDEX(Assessment!$J:$J,$X171))</f>
        <v/>
      </c>
      <c r="H171" s="10" t="str">
        <f>IF($X171="","",INDEX(Assessment!$L:$L,$X171))</f>
        <v/>
      </c>
      <c r="I171" s="10" t="str">
        <f>IF($X171="","",INDEX(Assessment!$N:$N,$X171))</f>
        <v/>
      </c>
      <c r="X171" t="str">
        <f>IF(155&lt;=$B$6,SMALL($Y$2:$Y$593,155),IF(155&lt;=$B$6+$B$7,SMALL($Z$2:$Z$593,155-$B$6),""))</f>
        <v/>
      </c>
      <c r="Y171" t="str">
        <f>IF(Assessment!$G171="Critical",ROW(Assessment!$G171),"")</f>
        <v/>
      </c>
      <c r="Z171" t="str">
        <f>IF(Assessment!$G171="High",ROW(Assessment!$G171),"")</f>
        <v/>
      </c>
    </row>
    <row r="172" spans="1:26" x14ac:dyDescent="0.25">
      <c r="A172" s="10" t="str">
        <f>IF($X172="","",156)</f>
        <v/>
      </c>
      <c r="B172" s="10" t="str">
        <f>IF($X172="","",INDEX(Assessment!$A:$A,$X172))</f>
        <v/>
      </c>
      <c r="C172" s="10" t="str">
        <f>IF($X172="","",INDEX(Assessment!$B:$B,$X172))</f>
        <v/>
      </c>
      <c r="D172" s="10" t="str">
        <f>IF($X172="","",INDEX(Assessment!$C:$C,$X172))</f>
        <v/>
      </c>
      <c r="E172" s="10" t="str">
        <f>IF($X172="","",INDEX(Assessment!$F:$F,$X172))</f>
        <v/>
      </c>
      <c r="F172" s="10" t="str">
        <f>IF($X172="","",INDEX(Assessment!$G:$G,$X172))</f>
        <v/>
      </c>
      <c r="G172" s="10" t="str">
        <f>IF($X172="","",INDEX(Assessment!$J:$J,$X172))</f>
        <v/>
      </c>
      <c r="H172" s="10" t="str">
        <f>IF($X172="","",INDEX(Assessment!$L:$L,$X172))</f>
        <v/>
      </c>
      <c r="I172" s="10" t="str">
        <f>IF($X172="","",INDEX(Assessment!$N:$N,$X172))</f>
        <v/>
      </c>
      <c r="X172" t="str">
        <f>IF(156&lt;=$B$6,SMALL($Y$2:$Y$593,156),IF(156&lt;=$B$6+$B$7,SMALL($Z$2:$Z$593,156-$B$6),""))</f>
        <v/>
      </c>
      <c r="Y172" t="str">
        <f>IF(Assessment!$G172="Critical",ROW(Assessment!$G172),"")</f>
        <v/>
      </c>
      <c r="Z172" t="str">
        <f>IF(Assessment!$G172="High",ROW(Assessment!$G172),"")</f>
        <v/>
      </c>
    </row>
    <row r="173" spans="1:26" x14ac:dyDescent="0.25">
      <c r="A173" s="10" t="str">
        <f>IF($X173="","",157)</f>
        <v/>
      </c>
      <c r="B173" s="10" t="str">
        <f>IF($X173="","",INDEX(Assessment!$A:$A,$X173))</f>
        <v/>
      </c>
      <c r="C173" s="10" t="str">
        <f>IF($X173="","",INDEX(Assessment!$B:$B,$X173))</f>
        <v/>
      </c>
      <c r="D173" s="10" t="str">
        <f>IF($X173="","",INDEX(Assessment!$C:$C,$X173))</f>
        <v/>
      </c>
      <c r="E173" s="10" t="str">
        <f>IF($X173="","",INDEX(Assessment!$F:$F,$X173))</f>
        <v/>
      </c>
      <c r="F173" s="10" t="str">
        <f>IF($X173="","",INDEX(Assessment!$G:$G,$X173))</f>
        <v/>
      </c>
      <c r="G173" s="10" t="str">
        <f>IF($X173="","",INDEX(Assessment!$J:$J,$X173))</f>
        <v/>
      </c>
      <c r="H173" s="10" t="str">
        <f>IF($X173="","",INDEX(Assessment!$L:$L,$X173))</f>
        <v/>
      </c>
      <c r="I173" s="10" t="str">
        <f>IF($X173="","",INDEX(Assessment!$N:$N,$X173))</f>
        <v/>
      </c>
      <c r="X173" t="str">
        <f>IF(157&lt;=$B$6,SMALL($Y$2:$Y$593,157),IF(157&lt;=$B$6+$B$7,SMALL($Z$2:$Z$593,157-$B$6),""))</f>
        <v/>
      </c>
      <c r="Y173" t="str">
        <f>IF(Assessment!$G173="Critical",ROW(Assessment!$G173),"")</f>
        <v/>
      </c>
      <c r="Z173" t="str">
        <f>IF(Assessment!$G173="High",ROW(Assessment!$G173),"")</f>
        <v/>
      </c>
    </row>
    <row r="174" spans="1:26" x14ac:dyDescent="0.25">
      <c r="A174" s="10" t="str">
        <f>IF($X174="","",158)</f>
        <v/>
      </c>
      <c r="B174" s="10" t="str">
        <f>IF($X174="","",INDEX(Assessment!$A:$A,$X174))</f>
        <v/>
      </c>
      <c r="C174" s="10" t="str">
        <f>IF($X174="","",INDEX(Assessment!$B:$B,$X174))</f>
        <v/>
      </c>
      <c r="D174" s="10" t="str">
        <f>IF($X174="","",INDEX(Assessment!$C:$C,$X174))</f>
        <v/>
      </c>
      <c r="E174" s="10" t="str">
        <f>IF($X174="","",INDEX(Assessment!$F:$F,$X174))</f>
        <v/>
      </c>
      <c r="F174" s="10" t="str">
        <f>IF($X174="","",INDEX(Assessment!$G:$G,$X174))</f>
        <v/>
      </c>
      <c r="G174" s="10" t="str">
        <f>IF($X174="","",INDEX(Assessment!$J:$J,$X174))</f>
        <v/>
      </c>
      <c r="H174" s="10" t="str">
        <f>IF($X174="","",INDEX(Assessment!$L:$L,$X174))</f>
        <v/>
      </c>
      <c r="I174" s="10" t="str">
        <f>IF($X174="","",INDEX(Assessment!$N:$N,$X174))</f>
        <v/>
      </c>
      <c r="X174" t="str">
        <f>IF(158&lt;=$B$6,SMALL($Y$2:$Y$593,158),IF(158&lt;=$B$6+$B$7,SMALL($Z$2:$Z$593,158-$B$6),""))</f>
        <v/>
      </c>
      <c r="Y174" t="str">
        <f>IF(Assessment!$G174="Critical",ROW(Assessment!$G174),"")</f>
        <v/>
      </c>
      <c r="Z174" t="str">
        <f>IF(Assessment!$G174="High",ROW(Assessment!$G174),"")</f>
        <v/>
      </c>
    </row>
    <row r="175" spans="1:26" x14ac:dyDescent="0.25">
      <c r="A175" s="10" t="str">
        <f>IF($X175="","",159)</f>
        <v/>
      </c>
      <c r="B175" s="10" t="str">
        <f>IF($X175="","",INDEX(Assessment!$A:$A,$X175))</f>
        <v/>
      </c>
      <c r="C175" s="10" t="str">
        <f>IF($X175="","",INDEX(Assessment!$B:$B,$X175))</f>
        <v/>
      </c>
      <c r="D175" s="10" t="str">
        <f>IF($X175="","",INDEX(Assessment!$C:$C,$X175))</f>
        <v/>
      </c>
      <c r="E175" s="10" t="str">
        <f>IF($X175="","",INDEX(Assessment!$F:$F,$X175))</f>
        <v/>
      </c>
      <c r="F175" s="10" t="str">
        <f>IF($X175="","",INDEX(Assessment!$G:$G,$X175))</f>
        <v/>
      </c>
      <c r="G175" s="10" t="str">
        <f>IF($X175="","",INDEX(Assessment!$J:$J,$X175))</f>
        <v/>
      </c>
      <c r="H175" s="10" t="str">
        <f>IF($X175="","",INDEX(Assessment!$L:$L,$X175))</f>
        <v/>
      </c>
      <c r="I175" s="10" t="str">
        <f>IF($X175="","",INDEX(Assessment!$N:$N,$X175))</f>
        <v/>
      </c>
      <c r="X175" t="str">
        <f>IF(159&lt;=$B$6,SMALL($Y$2:$Y$593,159),IF(159&lt;=$B$6+$B$7,SMALL($Z$2:$Z$593,159-$B$6),""))</f>
        <v/>
      </c>
      <c r="Y175" t="str">
        <f>IF(Assessment!$G175="Critical",ROW(Assessment!$G175),"")</f>
        <v/>
      </c>
      <c r="Z175" t="str">
        <f>IF(Assessment!$G175="High",ROW(Assessment!$G175),"")</f>
        <v/>
      </c>
    </row>
    <row r="176" spans="1:26" x14ac:dyDescent="0.25">
      <c r="A176" s="10" t="str">
        <f>IF($X176="","",160)</f>
        <v/>
      </c>
      <c r="B176" s="10" t="str">
        <f>IF($X176="","",INDEX(Assessment!$A:$A,$X176))</f>
        <v/>
      </c>
      <c r="C176" s="10" t="str">
        <f>IF($X176="","",INDEX(Assessment!$B:$B,$X176))</f>
        <v/>
      </c>
      <c r="D176" s="10" t="str">
        <f>IF($X176="","",INDEX(Assessment!$C:$C,$X176))</f>
        <v/>
      </c>
      <c r="E176" s="10" t="str">
        <f>IF($X176="","",INDEX(Assessment!$F:$F,$X176))</f>
        <v/>
      </c>
      <c r="F176" s="10" t="str">
        <f>IF($X176="","",INDEX(Assessment!$G:$G,$X176))</f>
        <v/>
      </c>
      <c r="G176" s="10" t="str">
        <f>IF($X176="","",INDEX(Assessment!$J:$J,$X176))</f>
        <v/>
      </c>
      <c r="H176" s="10" t="str">
        <f>IF($X176="","",INDEX(Assessment!$L:$L,$X176))</f>
        <v/>
      </c>
      <c r="I176" s="10" t="str">
        <f>IF($X176="","",INDEX(Assessment!$N:$N,$X176))</f>
        <v/>
      </c>
      <c r="X176" t="str">
        <f>IF(160&lt;=$B$6,SMALL($Y$2:$Y$593,160),IF(160&lt;=$B$6+$B$7,SMALL($Z$2:$Z$593,160-$B$6),""))</f>
        <v/>
      </c>
      <c r="Y176" t="str">
        <f>IF(Assessment!$G176="Critical",ROW(Assessment!$G176),"")</f>
        <v/>
      </c>
      <c r="Z176" t="str">
        <f>IF(Assessment!$G176="High",ROW(Assessment!$G176),"")</f>
        <v/>
      </c>
    </row>
    <row r="177" spans="1:26" x14ac:dyDescent="0.25">
      <c r="A177" s="10" t="str">
        <f>IF($X177="","",161)</f>
        <v/>
      </c>
      <c r="B177" s="10" t="str">
        <f>IF($X177="","",INDEX(Assessment!$A:$A,$X177))</f>
        <v/>
      </c>
      <c r="C177" s="10" t="str">
        <f>IF($X177="","",INDEX(Assessment!$B:$B,$X177))</f>
        <v/>
      </c>
      <c r="D177" s="10" t="str">
        <f>IF($X177="","",INDEX(Assessment!$C:$C,$X177))</f>
        <v/>
      </c>
      <c r="E177" s="10" t="str">
        <f>IF($X177="","",INDEX(Assessment!$F:$F,$X177))</f>
        <v/>
      </c>
      <c r="F177" s="10" t="str">
        <f>IF($X177="","",INDEX(Assessment!$G:$G,$X177))</f>
        <v/>
      </c>
      <c r="G177" s="10" t="str">
        <f>IF($X177="","",INDEX(Assessment!$J:$J,$X177))</f>
        <v/>
      </c>
      <c r="H177" s="10" t="str">
        <f>IF($X177="","",INDEX(Assessment!$L:$L,$X177))</f>
        <v/>
      </c>
      <c r="I177" s="10" t="str">
        <f>IF($X177="","",INDEX(Assessment!$N:$N,$X177))</f>
        <v/>
      </c>
      <c r="X177" t="str">
        <f>IF(161&lt;=$B$6,SMALL($Y$2:$Y$593,161),IF(161&lt;=$B$6+$B$7,SMALL($Z$2:$Z$593,161-$B$6),""))</f>
        <v/>
      </c>
      <c r="Y177" t="str">
        <f>IF(Assessment!$G177="Critical",ROW(Assessment!$G177),"")</f>
        <v/>
      </c>
      <c r="Z177" t="str">
        <f>IF(Assessment!$G177="High",ROW(Assessment!$G177),"")</f>
        <v/>
      </c>
    </row>
    <row r="178" spans="1:26" x14ac:dyDescent="0.25">
      <c r="A178" s="10" t="str">
        <f>IF($X178="","",162)</f>
        <v/>
      </c>
      <c r="B178" s="10" t="str">
        <f>IF($X178="","",INDEX(Assessment!$A:$A,$X178))</f>
        <v/>
      </c>
      <c r="C178" s="10" t="str">
        <f>IF($X178="","",INDEX(Assessment!$B:$B,$X178))</f>
        <v/>
      </c>
      <c r="D178" s="10" t="str">
        <f>IF($X178="","",INDEX(Assessment!$C:$C,$X178))</f>
        <v/>
      </c>
      <c r="E178" s="10" t="str">
        <f>IF($X178="","",INDEX(Assessment!$F:$F,$X178))</f>
        <v/>
      </c>
      <c r="F178" s="10" t="str">
        <f>IF($X178="","",INDEX(Assessment!$G:$G,$X178))</f>
        <v/>
      </c>
      <c r="G178" s="10" t="str">
        <f>IF($X178="","",INDEX(Assessment!$J:$J,$X178))</f>
        <v/>
      </c>
      <c r="H178" s="10" t="str">
        <f>IF($X178="","",INDEX(Assessment!$L:$L,$X178))</f>
        <v/>
      </c>
      <c r="I178" s="10" t="str">
        <f>IF($X178="","",INDEX(Assessment!$N:$N,$X178))</f>
        <v/>
      </c>
      <c r="X178" t="str">
        <f>IF(162&lt;=$B$6,SMALL($Y$2:$Y$593,162),IF(162&lt;=$B$6+$B$7,SMALL($Z$2:$Z$593,162-$B$6),""))</f>
        <v/>
      </c>
      <c r="Y178" t="str">
        <f>IF(Assessment!$G178="Critical",ROW(Assessment!$G178),"")</f>
        <v/>
      </c>
      <c r="Z178" t="str">
        <f>IF(Assessment!$G178="High",ROW(Assessment!$G178),"")</f>
        <v/>
      </c>
    </row>
    <row r="179" spans="1:26" x14ac:dyDescent="0.25">
      <c r="A179" s="10" t="str">
        <f>IF($X179="","",163)</f>
        <v/>
      </c>
      <c r="B179" s="10" t="str">
        <f>IF($X179="","",INDEX(Assessment!$A:$A,$X179))</f>
        <v/>
      </c>
      <c r="C179" s="10" t="str">
        <f>IF($X179="","",INDEX(Assessment!$B:$B,$X179))</f>
        <v/>
      </c>
      <c r="D179" s="10" t="str">
        <f>IF($X179="","",INDEX(Assessment!$C:$C,$X179))</f>
        <v/>
      </c>
      <c r="E179" s="10" t="str">
        <f>IF($X179="","",INDEX(Assessment!$F:$F,$X179))</f>
        <v/>
      </c>
      <c r="F179" s="10" t="str">
        <f>IF($X179="","",INDEX(Assessment!$G:$G,$X179))</f>
        <v/>
      </c>
      <c r="G179" s="10" t="str">
        <f>IF($X179="","",INDEX(Assessment!$J:$J,$X179))</f>
        <v/>
      </c>
      <c r="H179" s="10" t="str">
        <f>IF($X179="","",INDEX(Assessment!$L:$L,$X179))</f>
        <v/>
      </c>
      <c r="I179" s="10" t="str">
        <f>IF($X179="","",INDEX(Assessment!$N:$N,$X179))</f>
        <v/>
      </c>
      <c r="X179" t="str">
        <f>IF(163&lt;=$B$6,SMALL($Y$2:$Y$593,163),IF(163&lt;=$B$6+$B$7,SMALL($Z$2:$Z$593,163-$B$6),""))</f>
        <v/>
      </c>
      <c r="Y179" t="str">
        <f>IF(Assessment!$G179="Critical",ROW(Assessment!$G179),"")</f>
        <v/>
      </c>
      <c r="Z179" t="str">
        <f>IF(Assessment!$G179="High",ROW(Assessment!$G179),"")</f>
        <v/>
      </c>
    </row>
    <row r="180" spans="1:26" x14ac:dyDescent="0.25">
      <c r="A180" s="10" t="str">
        <f>IF($X180="","",164)</f>
        <v/>
      </c>
      <c r="B180" s="10" t="str">
        <f>IF($X180="","",INDEX(Assessment!$A:$A,$X180))</f>
        <v/>
      </c>
      <c r="C180" s="10" t="str">
        <f>IF($X180="","",INDEX(Assessment!$B:$B,$X180))</f>
        <v/>
      </c>
      <c r="D180" s="10" t="str">
        <f>IF($X180="","",INDEX(Assessment!$C:$C,$X180))</f>
        <v/>
      </c>
      <c r="E180" s="10" t="str">
        <f>IF($X180="","",INDEX(Assessment!$F:$F,$X180))</f>
        <v/>
      </c>
      <c r="F180" s="10" t="str">
        <f>IF($X180="","",INDEX(Assessment!$G:$G,$X180))</f>
        <v/>
      </c>
      <c r="G180" s="10" t="str">
        <f>IF($X180="","",INDEX(Assessment!$J:$J,$X180))</f>
        <v/>
      </c>
      <c r="H180" s="10" t="str">
        <f>IF($X180="","",INDEX(Assessment!$L:$L,$X180))</f>
        <v/>
      </c>
      <c r="I180" s="10" t="str">
        <f>IF($X180="","",INDEX(Assessment!$N:$N,$X180))</f>
        <v/>
      </c>
      <c r="X180" t="str">
        <f>IF(164&lt;=$B$6,SMALL($Y$2:$Y$593,164),IF(164&lt;=$B$6+$B$7,SMALL($Z$2:$Z$593,164-$B$6),""))</f>
        <v/>
      </c>
      <c r="Y180" t="str">
        <f>IF(Assessment!$G180="Critical",ROW(Assessment!$G180),"")</f>
        <v/>
      </c>
      <c r="Z180" t="str">
        <f>IF(Assessment!$G180="High",ROW(Assessment!$G180),"")</f>
        <v/>
      </c>
    </row>
    <row r="181" spans="1:26" x14ac:dyDescent="0.25">
      <c r="A181" s="10" t="str">
        <f>IF($X181="","",165)</f>
        <v/>
      </c>
      <c r="B181" s="10" t="str">
        <f>IF($X181="","",INDEX(Assessment!$A:$A,$X181))</f>
        <v/>
      </c>
      <c r="C181" s="10" t="str">
        <f>IF($X181="","",INDEX(Assessment!$B:$B,$X181))</f>
        <v/>
      </c>
      <c r="D181" s="10" t="str">
        <f>IF($X181="","",INDEX(Assessment!$C:$C,$X181))</f>
        <v/>
      </c>
      <c r="E181" s="10" t="str">
        <f>IF($X181="","",INDEX(Assessment!$F:$F,$X181))</f>
        <v/>
      </c>
      <c r="F181" s="10" t="str">
        <f>IF($X181="","",INDEX(Assessment!$G:$G,$X181))</f>
        <v/>
      </c>
      <c r="G181" s="10" t="str">
        <f>IF($X181="","",INDEX(Assessment!$J:$J,$X181))</f>
        <v/>
      </c>
      <c r="H181" s="10" t="str">
        <f>IF($X181="","",INDEX(Assessment!$L:$L,$X181))</f>
        <v/>
      </c>
      <c r="I181" s="10" t="str">
        <f>IF($X181="","",INDEX(Assessment!$N:$N,$X181))</f>
        <v/>
      </c>
      <c r="X181" t="str">
        <f>IF(165&lt;=$B$6,SMALL($Y$2:$Y$593,165),IF(165&lt;=$B$6+$B$7,SMALL($Z$2:$Z$593,165-$B$6),""))</f>
        <v/>
      </c>
      <c r="Y181" t="str">
        <f>IF(Assessment!$G181="Critical",ROW(Assessment!$G181),"")</f>
        <v/>
      </c>
      <c r="Z181" t="str">
        <f>IF(Assessment!$G181="High",ROW(Assessment!$G181),"")</f>
        <v/>
      </c>
    </row>
    <row r="182" spans="1:26" x14ac:dyDescent="0.25">
      <c r="A182" s="10" t="str">
        <f>IF($X182="","",166)</f>
        <v/>
      </c>
      <c r="B182" s="10" t="str">
        <f>IF($X182="","",INDEX(Assessment!$A:$A,$X182))</f>
        <v/>
      </c>
      <c r="C182" s="10" t="str">
        <f>IF($X182="","",INDEX(Assessment!$B:$B,$X182))</f>
        <v/>
      </c>
      <c r="D182" s="10" t="str">
        <f>IF($X182="","",INDEX(Assessment!$C:$C,$X182))</f>
        <v/>
      </c>
      <c r="E182" s="10" t="str">
        <f>IF($X182="","",INDEX(Assessment!$F:$F,$X182))</f>
        <v/>
      </c>
      <c r="F182" s="10" t="str">
        <f>IF($X182="","",INDEX(Assessment!$G:$G,$X182))</f>
        <v/>
      </c>
      <c r="G182" s="10" t="str">
        <f>IF($X182="","",INDEX(Assessment!$J:$J,$X182))</f>
        <v/>
      </c>
      <c r="H182" s="10" t="str">
        <f>IF($X182="","",INDEX(Assessment!$L:$L,$X182))</f>
        <v/>
      </c>
      <c r="I182" s="10" t="str">
        <f>IF($X182="","",INDEX(Assessment!$N:$N,$X182))</f>
        <v/>
      </c>
      <c r="X182" t="str">
        <f>IF(166&lt;=$B$6,SMALL($Y$2:$Y$593,166),IF(166&lt;=$B$6+$B$7,SMALL($Z$2:$Z$593,166-$B$6),""))</f>
        <v/>
      </c>
      <c r="Y182" t="str">
        <f>IF(Assessment!$G182="Critical",ROW(Assessment!$G182),"")</f>
        <v/>
      </c>
      <c r="Z182" t="str">
        <f>IF(Assessment!$G182="High",ROW(Assessment!$G182),"")</f>
        <v/>
      </c>
    </row>
    <row r="183" spans="1:26" x14ac:dyDescent="0.25">
      <c r="A183" s="10" t="str">
        <f>IF($X183="","",167)</f>
        <v/>
      </c>
      <c r="B183" s="10" t="str">
        <f>IF($X183="","",INDEX(Assessment!$A:$A,$X183))</f>
        <v/>
      </c>
      <c r="C183" s="10" t="str">
        <f>IF($X183="","",INDEX(Assessment!$B:$B,$X183))</f>
        <v/>
      </c>
      <c r="D183" s="10" t="str">
        <f>IF($X183="","",INDEX(Assessment!$C:$C,$X183))</f>
        <v/>
      </c>
      <c r="E183" s="10" t="str">
        <f>IF($X183="","",INDEX(Assessment!$F:$F,$X183))</f>
        <v/>
      </c>
      <c r="F183" s="10" t="str">
        <f>IF($X183="","",INDEX(Assessment!$G:$G,$X183))</f>
        <v/>
      </c>
      <c r="G183" s="10" t="str">
        <f>IF($X183="","",INDEX(Assessment!$J:$J,$X183))</f>
        <v/>
      </c>
      <c r="H183" s="10" t="str">
        <f>IF($X183="","",INDEX(Assessment!$L:$L,$X183))</f>
        <v/>
      </c>
      <c r="I183" s="10" t="str">
        <f>IF($X183="","",INDEX(Assessment!$N:$N,$X183))</f>
        <v/>
      </c>
      <c r="X183" t="str">
        <f>IF(167&lt;=$B$6,SMALL($Y$2:$Y$593,167),IF(167&lt;=$B$6+$B$7,SMALL($Z$2:$Z$593,167-$B$6),""))</f>
        <v/>
      </c>
      <c r="Y183" t="str">
        <f>IF(Assessment!$G183="Critical",ROW(Assessment!$G183),"")</f>
        <v/>
      </c>
      <c r="Z183" t="str">
        <f>IF(Assessment!$G183="High",ROW(Assessment!$G183),"")</f>
        <v/>
      </c>
    </row>
    <row r="184" spans="1:26" x14ac:dyDescent="0.25">
      <c r="A184" s="10" t="str">
        <f>IF($X184="","",168)</f>
        <v/>
      </c>
      <c r="B184" s="10" t="str">
        <f>IF($X184="","",INDEX(Assessment!$A:$A,$X184))</f>
        <v/>
      </c>
      <c r="C184" s="10" t="str">
        <f>IF($X184="","",INDEX(Assessment!$B:$B,$X184))</f>
        <v/>
      </c>
      <c r="D184" s="10" t="str">
        <f>IF($X184="","",INDEX(Assessment!$C:$C,$X184))</f>
        <v/>
      </c>
      <c r="E184" s="10" t="str">
        <f>IF($X184="","",INDEX(Assessment!$F:$F,$X184))</f>
        <v/>
      </c>
      <c r="F184" s="10" t="str">
        <f>IF($X184="","",INDEX(Assessment!$G:$G,$X184))</f>
        <v/>
      </c>
      <c r="G184" s="10" t="str">
        <f>IF($X184="","",INDEX(Assessment!$J:$J,$X184))</f>
        <v/>
      </c>
      <c r="H184" s="10" t="str">
        <f>IF($X184="","",INDEX(Assessment!$L:$L,$X184))</f>
        <v/>
      </c>
      <c r="I184" s="10" t="str">
        <f>IF($X184="","",INDEX(Assessment!$N:$N,$X184))</f>
        <v/>
      </c>
      <c r="X184" t="str">
        <f>IF(168&lt;=$B$6,SMALL($Y$2:$Y$593,168),IF(168&lt;=$B$6+$B$7,SMALL($Z$2:$Z$593,168-$B$6),""))</f>
        <v/>
      </c>
      <c r="Y184" t="str">
        <f>IF(Assessment!$G184="Critical",ROW(Assessment!$G184),"")</f>
        <v/>
      </c>
      <c r="Z184" t="str">
        <f>IF(Assessment!$G184="High",ROW(Assessment!$G184),"")</f>
        <v/>
      </c>
    </row>
    <row r="185" spans="1:26" x14ac:dyDescent="0.25">
      <c r="A185" s="10" t="str">
        <f>IF($X185="","",169)</f>
        <v/>
      </c>
      <c r="B185" s="10" t="str">
        <f>IF($X185="","",INDEX(Assessment!$A:$A,$X185))</f>
        <v/>
      </c>
      <c r="C185" s="10" t="str">
        <f>IF($X185="","",INDEX(Assessment!$B:$B,$X185))</f>
        <v/>
      </c>
      <c r="D185" s="10" t="str">
        <f>IF($X185="","",INDEX(Assessment!$C:$C,$X185))</f>
        <v/>
      </c>
      <c r="E185" s="10" t="str">
        <f>IF($X185="","",INDEX(Assessment!$F:$F,$X185))</f>
        <v/>
      </c>
      <c r="F185" s="10" t="str">
        <f>IF($X185="","",INDEX(Assessment!$G:$G,$X185))</f>
        <v/>
      </c>
      <c r="G185" s="10" t="str">
        <f>IF($X185="","",INDEX(Assessment!$J:$J,$X185))</f>
        <v/>
      </c>
      <c r="H185" s="10" t="str">
        <f>IF($X185="","",INDEX(Assessment!$L:$L,$X185))</f>
        <v/>
      </c>
      <c r="I185" s="10" t="str">
        <f>IF($X185="","",INDEX(Assessment!$N:$N,$X185))</f>
        <v/>
      </c>
      <c r="X185" t="str">
        <f>IF(169&lt;=$B$6,SMALL($Y$2:$Y$593,169),IF(169&lt;=$B$6+$B$7,SMALL($Z$2:$Z$593,169-$B$6),""))</f>
        <v/>
      </c>
      <c r="Y185" t="str">
        <f>IF(Assessment!$G185="Critical",ROW(Assessment!$G185),"")</f>
        <v/>
      </c>
      <c r="Z185" t="str">
        <f>IF(Assessment!$G185="High",ROW(Assessment!$G185),"")</f>
        <v/>
      </c>
    </row>
    <row r="186" spans="1:26" x14ac:dyDescent="0.25">
      <c r="A186" s="10" t="str">
        <f>IF($X186="","",170)</f>
        <v/>
      </c>
      <c r="B186" s="10" t="str">
        <f>IF($X186="","",INDEX(Assessment!$A:$A,$X186))</f>
        <v/>
      </c>
      <c r="C186" s="10" t="str">
        <f>IF($X186="","",INDEX(Assessment!$B:$B,$X186))</f>
        <v/>
      </c>
      <c r="D186" s="10" t="str">
        <f>IF($X186="","",INDEX(Assessment!$C:$C,$X186))</f>
        <v/>
      </c>
      <c r="E186" s="10" t="str">
        <f>IF($X186="","",INDEX(Assessment!$F:$F,$X186))</f>
        <v/>
      </c>
      <c r="F186" s="10" t="str">
        <f>IF($X186="","",INDEX(Assessment!$G:$G,$X186))</f>
        <v/>
      </c>
      <c r="G186" s="10" t="str">
        <f>IF($X186="","",INDEX(Assessment!$J:$J,$X186))</f>
        <v/>
      </c>
      <c r="H186" s="10" t="str">
        <f>IF($X186="","",INDEX(Assessment!$L:$L,$X186))</f>
        <v/>
      </c>
      <c r="I186" s="10" t="str">
        <f>IF($X186="","",INDEX(Assessment!$N:$N,$X186))</f>
        <v/>
      </c>
      <c r="X186" t="str">
        <f>IF(170&lt;=$B$6,SMALL($Y$2:$Y$593,170),IF(170&lt;=$B$6+$B$7,SMALL($Z$2:$Z$593,170-$B$6),""))</f>
        <v/>
      </c>
      <c r="Y186" t="str">
        <f>IF(Assessment!$G186="Critical",ROW(Assessment!$G186),"")</f>
        <v/>
      </c>
      <c r="Z186" t="str">
        <f>IF(Assessment!$G186="High",ROW(Assessment!$G186),"")</f>
        <v/>
      </c>
    </row>
    <row r="187" spans="1:26" x14ac:dyDescent="0.25">
      <c r="A187" s="10" t="str">
        <f>IF($X187="","",171)</f>
        <v/>
      </c>
      <c r="B187" s="10" t="str">
        <f>IF($X187="","",INDEX(Assessment!$A:$A,$X187))</f>
        <v/>
      </c>
      <c r="C187" s="10" t="str">
        <f>IF($X187="","",INDEX(Assessment!$B:$B,$X187))</f>
        <v/>
      </c>
      <c r="D187" s="10" t="str">
        <f>IF($X187="","",INDEX(Assessment!$C:$C,$X187))</f>
        <v/>
      </c>
      <c r="E187" s="10" t="str">
        <f>IF($X187="","",INDEX(Assessment!$F:$F,$X187))</f>
        <v/>
      </c>
      <c r="F187" s="10" t="str">
        <f>IF($X187="","",INDEX(Assessment!$G:$G,$X187))</f>
        <v/>
      </c>
      <c r="G187" s="10" t="str">
        <f>IF($X187="","",INDEX(Assessment!$J:$J,$X187))</f>
        <v/>
      </c>
      <c r="H187" s="10" t="str">
        <f>IF($X187="","",INDEX(Assessment!$L:$L,$X187))</f>
        <v/>
      </c>
      <c r="I187" s="10" t="str">
        <f>IF($X187="","",INDEX(Assessment!$N:$N,$X187))</f>
        <v/>
      </c>
      <c r="X187" t="str">
        <f>IF(171&lt;=$B$6,SMALL($Y$2:$Y$593,171),IF(171&lt;=$B$6+$B$7,SMALL($Z$2:$Z$593,171-$B$6),""))</f>
        <v/>
      </c>
      <c r="Y187" t="str">
        <f>IF(Assessment!$G187="Critical",ROW(Assessment!$G187),"")</f>
        <v/>
      </c>
      <c r="Z187" t="str">
        <f>IF(Assessment!$G187="High",ROW(Assessment!$G187),"")</f>
        <v/>
      </c>
    </row>
    <row r="188" spans="1:26" x14ac:dyDescent="0.25">
      <c r="A188" s="10" t="str">
        <f>IF($X188="","",172)</f>
        <v/>
      </c>
      <c r="B188" s="10" t="str">
        <f>IF($X188="","",INDEX(Assessment!$A:$A,$X188))</f>
        <v/>
      </c>
      <c r="C188" s="10" t="str">
        <f>IF($X188="","",INDEX(Assessment!$B:$B,$X188))</f>
        <v/>
      </c>
      <c r="D188" s="10" t="str">
        <f>IF($X188="","",INDEX(Assessment!$C:$C,$X188))</f>
        <v/>
      </c>
      <c r="E188" s="10" t="str">
        <f>IF($X188="","",INDEX(Assessment!$F:$F,$X188))</f>
        <v/>
      </c>
      <c r="F188" s="10" t="str">
        <f>IF($X188="","",INDEX(Assessment!$G:$G,$X188))</f>
        <v/>
      </c>
      <c r="G188" s="10" t="str">
        <f>IF($X188="","",INDEX(Assessment!$J:$J,$X188))</f>
        <v/>
      </c>
      <c r="H188" s="10" t="str">
        <f>IF($X188="","",INDEX(Assessment!$L:$L,$X188))</f>
        <v/>
      </c>
      <c r="I188" s="10" t="str">
        <f>IF($X188="","",INDEX(Assessment!$N:$N,$X188))</f>
        <v/>
      </c>
      <c r="X188" t="str">
        <f>IF(172&lt;=$B$6,SMALL($Y$2:$Y$593,172),IF(172&lt;=$B$6+$B$7,SMALL($Z$2:$Z$593,172-$B$6),""))</f>
        <v/>
      </c>
      <c r="Y188" t="str">
        <f>IF(Assessment!$G188="Critical",ROW(Assessment!$G188),"")</f>
        <v/>
      </c>
      <c r="Z188" t="str">
        <f>IF(Assessment!$G188="High",ROW(Assessment!$G188),"")</f>
        <v/>
      </c>
    </row>
    <row r="189" spans="1:26" x14ac:dyDescent="0.25">
      <c r="A189" s="10" t="str">
        <f>IF($X189="","",173)</f>
        <v/>
      </c>
      <c r="B189" s="10" t="str">
        <f>IF($X189="","",INDEX(Assessment!$A:$A,$X189))</f>
        <v/>
      </c>
      <c r="C189" s="10" t="str">
        <f>IF($X189="","",INDEX(Assessment!$B:$B,$X189))</f>
        <v/>
      </c>
      <c r="D189" s="10" t="str">
        <f>IF($X189="","",INDEX(Assessment!$C:$C,$X189))</f>
        <v/>
      </c>
      <c r="E189" s="10" t="str">
        <f>IF($X189="","",INDEX(Assessment!$F:$F,$X189))</f>
        <v/>
      </c>
      <c r="F189" s="10" t="str">
        <f>IF($X189="","",INDEX(Assessment!$G:$G,$X189))</f>
        <v/>
      </c>
      <c r="G189" s="10" t="str">
        <f>IF($X189="","",INDEX(Assessment!$J:$J,$X189))</f>
        <v/>
      </c>
      <c r="H189" s="10" t="str">
        <f>IF($X189="","",INDEX(Assessment!$L:$L,$X189))</f>
        <v/>
      </c>
      <c r="I189" s="10" t="str">
        <f>IF($X189="","",INDEX(Assessment!$N:$N,$X189))</f>
        <v/>
      </c>
      <c r="X189" t="str">
        <f>IF(173&lt;=$B$6,SMALL($Y$2:$Y$593,173),IF(173&lt;=$B$6+$B$7,SMALL($Z$2:$Z$593,173-$B$6),""))</f>
        <v/>
      </c>
      <c r="Y189" t="str">
        <f>IF(Assessment!$G189="Critical",ROW(Assessment!$G189),"")</f>
        <v/>
      </c>
      <c r="Z189" t="str">
        <f>IF(Assessment!$G189="High",ROW(Assessment!$G189),"")</f>
        <v/>
      </c>
    </row>
    <row r="190" spans="1:26" x14ac:dyDescent="0.25">
      <c r="A190" s="10" t="str">
        <f>IF($X190="","",174)</f>
        <v/>
      </c>
      <c r="B190" s="10" t="str">
        <f>IF($X190="","",INDEX(Assessment!$A:$A,$X190))</f>
        <v/>
      </c>
      <c r="C190" s="10" t="str">
        <f>IF($X190="","",INDEX(Assessment!$B:$B,$X190))</f>
        <v/>
      </c>
      <c r="D190" s="10" t="str">
        <f>IF($X190="","",INDEX(Assessment!$C:$C,$X190))</f>
        <v/>
      </c>
      <c r="E190" s="10" t="str">
        <f>IF($X190="","",INDEX(Assessment!$F:$F,$X190))</f>
        <v/>
      </c>
      <c r="F190" s="10" t="str">
        <f>IF($X190="","",INDEX(Assessment!$G:$G,$X190))</f>
        <v/>
      </c>
      <c r="G190" s="10" t="str">
        <f>IF($X190="","",INDEX(Assessment!$J:$J,$X190))</f>
        <v/>
      </c>
      <c r="H190" s="10" t="str">
        <f>IF($X190="","",INDEX(Assessment!$L:$L,$X190))</f>
        <v/>
      </c>
      <c r="I190" s="10" t="str">
        <f>IF($X190="","",INDEX(Assessment!$N:$N,$X190))</f>
        <v/>
      </c>
      <c r="X190" t="str">
        <f>IF(174&lt;=$B$6,SMALL($Y$2:$Y$593,174),IF(174&lt;=$B$6+$B$7,SMALL($Z$2:$Z$593,174-$B$6),""))</f>
        <v/>
      </c>
      <c r="Y190" t="str">
        <f>IF(Assessment!$G190="Critical",ROW(Assessment!$G190),"")</f>
        <v/>
      </c>
      <c r="Z190" t="str">
        <f>IF(Assessment!$G190="High",ROW(Assessment!$G190),"")</f>
        <v/>
      </c>
    </row>
    <row r="191" spans="1:26" x14ac:dyDescent="0.25">
      <c r="A191" s="10" t="str">
        <f>IF($X191="","",175)</f>
        <v/>
      </c>
      <c r="B191" s="10" t="str">
        <f>IF($X191="","",INDEX(Assessment!$A:$A,$X191))</f>
        <v/>
      </c>
      <c r="C191" s="10" t="str">
        <f>IF($X191="","",INDEX(Assessment!$B:$B,$X191))</f>
        <v/>
      </c>
      <c r="D191" s="10" t="str">
        <f>IF($X191="","",INDEX(Assessment!$C:$C,$X191))</f>
        <v/>
      </c>
      <c r="E191" s="10" t="str">
        <f>IF($X191="","",INDEX(Assessment!$F:$F,$X191))</f>
        <v/>
      </c>
      <c r="F191" s="10" t="str">
        <f>IF($X191="","",INDEX(Assessment!$G:$G,$X191))</f>
        <v/>
      </c>
      <c r="G191" s="10" t="str">
        <f>IF($X191="","",INDEX(Assessment!$J:$J,$X191))</f>
        <v/>
      </c>
      <c r="H191" s="10" t="str">
        <f>IF($X191="","",INDEX(Assessment!$L:$L,$X191))</f>
        <v/>
      </c>
      <c r="I191" s="10" t="str">
        <f>IF($X191="","",INDEX(Assessment!$N:$N,$X191))</f>
        <v/>
      </c>
      <c r="X191" t="str">
        <f>IF(175&lt;=$B$6,SMALL($Y$2:$Y$593,175),IF(175&lt;=$B$6+$B$7,SMALL($Z$2:$Z$593,175-$B$6),""))</f>
        <v/>
      </c>
      <c r="Y191" t="str">
        <f>IF(Assessment!$G191="Critical",ROW(Assessment!$G191),"")</f>
        <v/>
      </c>
      <c r="Z191">
        <f>IF(Assessment!$G191="High",ROW(Assessment!$G191),"")</f>
        <v>191</v>
      </c>
    </row>
    <row r="192" spans="1:26" x14ac:dyDescent="0.25">
      <c r="A192" s="10" t="str">
        <f>IF($X192="","",176)</f>
        <v/>
      </c>
      <c r="B192" s="10" t="str">
        <f>IF($X192="","",INDEX(Assessment!$A:$A,$X192))</f>
        <v/>
      </c>
      <c r="C192" s="10" t="str">
        <f>IF($X192="","",INDEX(Assessment!$B:$B,$X192))</f>
        <v/>
      </c>
      <c r="D192" s="10" t="str">
        <f>IF($X192="","",INDEX(Assessment!$C:$C,$X192))</f>
        <v/>
      </c>
      <c r="E192" s="10" t="str">
        <f>IF($X192="","",INDEX(Assessment!$F:$F,$X192))</f>
        <v/>
      </c>
      <c r="F192" s="10" t="str">
        <f>IF($X192="","",INDEX(Assessment!$G:$G,$X192))</f>
        <v/>
      </c>
      <c r="G192" s="10" t="str">
        <f>IF($X192="","",INDEX(Assessment!$J:$J,$X192))</f>
        <v/>
      </c>
      <c r="H192" s="10" t="str">
        <f>IF($X192="","",INDEX(Assessment!$L:$L,$X192))</f>
        <v/>
      </c>
      <c r="I192" s="10" t="str">
        <f>IF($X192="","",INDEX(Assessment!$N:$N,$X192))</f>
        <v/>
      </c>
      <c r="X192" t="str">
        <f>IF(176&lt;=$B$6,SMALL($Y$2:$Y$593,176),IF(176&lt;=$B$6+$B$7,SMALL($Z$2:$Z$593,176-$B$6),""))</f>
        <v/>
      </c>
      <c r="Y192" t="str">
        <f>IF(Assessment!$G192="Critical",ROW(Assessment!$G192),"")</f>
        <v/>
      </c>
      <c r="Z192" t="str">
        <f>IF(Assessment!$G192="High",ROW(Assessment!$G192),"")</f>
        <v/>
      </c>
    </row>
    <row r="193" spans="1:26" x14ac:dyDescent="0.25">
      <c r="A193" s="10" t="str">
        <f>IF($X193="","",177)</f>
        <v/>
      </c>
      <c r="B193" s="10" t="str">
        <f>IF($X193="","",INDEX(Assessment!$A:$A,$X193))</f>
        <v/>
      </c>
      <c r="C193" s="10" t="str">
        <f>IF($X193="","",INDEX(Assessment!$B:$B,$X193))</f>
        <v/>
      </c>
      <c r="D193" s="10" t="str">
        <f>IF($X193="","",INDEX(Assessment!$C:$C,$X193))</f>
        <v/>
      </c>
      <c r="E193" s="10" t="str">
        <f>IF($X193="","",INDEX(Assessment!$F:$F,$X193))</f>
        <v/>
      </c>
      <c r="F193" s="10" t="str">
        <f>IF($X193="","",INDEX(Assessment!$G:$G,$X193))</f>
        <v/>
      </c>
      <c r="G193" s="10" t="str">
        <f>IF($X193="","",INDEX(Assessment!$J:$J,$X193))</f>
        <v/>
      </c>
      <c r="H193" s="10" t="str">
        <f>IF($X193="","",INDEX(Assessment!$L:$L,$X193))</f>
        <v/>
      </c>
      <c r="I193" s="10" t="str">
        <f>IF($X193="","",INDEX(Assessment!$N:$N,$X193))</f>
        <v/>
      </c>
      <c r="X193" t="str">
        <f>IF(177&lt;=$B$6,SMALL($Y$2:$Y$593,177),IF(177&lt;=$B$6+$B$7,SMALL($Z$2:$Z$593,177-$B$6),""))</f>
        <v/>
      </c>
      <c r="Y193" t="str">
        <f>IF(Assessment!$G193="Critical",ROW(Assessment!$G193),"")</f>
        <v/>
      </c>
      <c r="Z193">
        <f>IF(Assessment!$G193="High",ROW(Assessment!$G193),"")</f>
        <v>193</v>
      </c>
    </row>
    <row r="194" spans="1:26" x14ac:dyDescent="0.25">
      <c r="A194" s="10" t="str">
        <f>IF($X194="","",178)</f>
        <v/>
      </c>
      <c r="B194" s="10" t="str">
        <f>IF($X194="","",INDEX(Assessment!$A:$A,$X194))</f>
        <v/>
      </c>
      <c r="C194" s="10" t="str">
        <f>IF($X194="","",INDEX(Assessment!$B:$B,$X194))</f>
        <v/>
      </c>
      <c r="D194" s="10" t="str">
        <f>IF($X194="","",INDEX(Assessment!$C:$C,$X194))</f>
        <v/>
      </c>
      <c r="E194" s="10" t="str">
        <f>IF($X194="","",INDEX(Assessment!$F:$F,$X194))</f>
        <v/>
      </c>
      <c r="F194" s="10" t="str">
        <f>IF($X194="","",INDEX(Assessment!$G:$G,$X194))</f>
        <v/>
      </c>
      <c r="G194" s="10" t="str">
        <f>IF($X194="","",INDEX(Assessment!$J:$J,$X194))</f>
        <v/>
      </c>
      <c r="H194" s="10" t="str">
        <f>IF($X194="","",INDEX(Assessment!$L:$L,$X194))</f>
        <v/>
      </c>
      <c r="I194" s="10" t="str">
        <f>IF($X194="","",INDEX(Assessment!$N:$N,$X194))</f>
        <v/>
      </c>
      <c r="X194" t="str">
        <f>IF(178&lt;=$B$6,SMALL($Y$2:$Y$593,178),IF(178&lt;=$B$6+$B$7,SMALL($Z$2:$Z$593,178-$B$6),""))</f>
        <v/>
      </c>
      <c r="Y194" t="str">
        <f>IF(Assessment!$G194="Critical",ROW(Assessment!$G194),"")</f>
        <v/>
      </c>
      <c r="Z194" t="str">
        <f>IF(Assessment!$G194="High",ROW(Assessment!$G194),"")</f>
        <v/>
      </c>
    </row>
    <row r="195" spans="1:26" x14ac:dyDescent="0.25">
      <c r="A195" s="10" t="str">
        <f>IF($X195="","",179)</f>
        <v/>
      </c>
      <c r="B195" s="10" t="str">
        <f>IF($X195="","",INDEX(Assessment!$A:$A,$X195))</f>
        <v/>
      </c>
      <c r="C195" s="10" t="str">
        <f>IF($X195="","",INDEX(Assessment!$B:$B,$X195))</f>
        <v/>
      </c>
      <c r="D195" s="10" t="str">
        <f>IF($X195="","",INDEX(Assessment!$C:$C,$X195))</f>
        <v/>
      </c>
      <c r="E195" s="10" t="str">
        <f>IF($X195="","",INDEX(Assessment!$F:$F,$X195))</f>
        <v/>
      </c>
      <c r="F195" s="10" t="str">
        <f>IF($X195="","",INDEX(Assessment!$G:$G,$X195))</f>
        <v/>
      </c>
      <c r="G195" s="10" t="str">
        <f>IF($X195="","",INDEX(Assessment!$J:$J,$X195))</f>
        <v/>
      </c>
      <c r="H195" s="10" t="str">
        <f>IF($X195="","",INDEX(Assessment!$L:$L,$X195))</f>
        <v/>
      </c>
      <c r="I195" s="10" t="str">
        <f>IF($X195="","",INDEX(Assessment!$N:$N,$X195))</f>
        <v/>
      </c>
      <c r="X195" t="str">
        <f>IF(179&lt;=$B$6,SMALL($Y$2:$Y$593,179),IF(179&lt;=$B$6+$B$7,SMALL($Z$2:$Z$593,179-$B$6),""))</f>
        <v/>
      </c>
      <c r="Y195" t="str">
        <f>IF(Assessment!$G195="Critical",ROW(Assessment!$G195),"")</f>
        <v/>
      </c>
      <c r="Z195" t="str">
        <f>IF(Assessment!$G195="High",ROW(Assessment!$G195),"")</f>
        <v/>
      </c>
    </row>
    <row r="196" spans="1:26" x14ac:dyDescent="0.25">
      <c r="A196" s="10" t="str">
        <f>IF($X196="","",180)</f>
        <v/>
      </c>
      <c r="B196" s="10" t="str">
        <f>IF($X196="","",INDEX(Assessment!$A:$A,$X196))</f>
        <v/>
      </c>
      <c r="C196" s="10" t="str">
        <f>IF($X196="","",INDEX(Assessment!$B:$B,$X196))</f>
        <v/>
      </c>
      <c r="D196" s="10" t="str">
        <f>IF($X196="","",INDEX(Assessment!$C:$C,$X196))</f>
        <v/>
      </c>
      <c r="E196" s="10" t="str">
        <f>IF($X196="","",INDEX(Assessment!$F:$F,$X196))</f>
        <v/>
      </c>
      <c r="F196" s="10" t="str">
        <f>IF($X196="","",INDEX(Assessment!$G:$G,$X196))</f>
        <v/>
      </c>
      <c r="G196" s="10" t="str">
        <f>IF($X196="","",INDEX(Assessment!$J:$J,$X196))</f>
        <v/>
      </c>
      <c r="H196" s="10" t="str">
        <f>IF($X196="","",INDEX(Assessment!$L:$L,$X196))</f>
        <v/>
      </c>
      <c r="I196" s="10" t="str">
        <f>IF($X196="","",INDEX(Assessment!$N:$N,$X196))</f>
        <v/>
      </c>
      <c r="X196" t="str">
        <f>IF(180&lt;=$B$6,SMALL($Y$2:$Y$593,180),IF(180&lt;=$B$6+$B$7,SMALL($Z$2:$Z$593,180-$B$6),""))</f>
        <v/>
      </c>
      <c r="Y196" t="str">
        <f>IF(Assessment!$G196="Critical",ROW(Assessment!$G196),"")</f>
        <v/>
      </c>
      <c r="Z196">
        <f>IF(Assessment!$G196="High",ROW(Assessment!$G196),"")</f>
        <v>196</v>
      </c>
    </row>
    <row r="197" spans="1:26" x14ac:dyDescent="0.25">
      <c r="A197" s="10" t="str">
        <f>IF($X197="","",181)</f>
        <v/>
      </c>
      <c r="B197" s="10" t="str">
        <f>IF($X197="","",INDEX(Assessment!$A:$A,$X197))</f>
        <v/>
      </c>
      <c r="C197" s="10" t="str">
        <f>IF($X197="","",INDEX(Assessment!$B:$B,$X197))</f>
        <v/>
      </c>
      <c r="D197" s="10" t="str">
        <f>IF($X197="","",INDEX(Assessment!$C:$C,$X197))</f>
        <v/>
      </c>
      <c r="E197" s="10" t="str">
        <f>IF($X197="","",INDEX(Assessment!$F:$F,$X197))</f>
        <v/>
      </c>
      <c r="F197" s="10" t="str">
        <f>IF($X197="","",INDEX(Assessment!$G:$G,$X197))</f>
        <v/>
      </c>
      <c r="G197" s="10" t="str">
        <f>IF($X197="","",INDEX(Assessment!$J:$J,$X197))</f>
        <v/>
      </c>
      <c r="H197" s="10" t="str">
        <f>IF($X197="","",INDEX(Assessment!$L:$L,$X197))</f>
        <v/>
      </c>
      <c r="I197" s="10" t="str">
        <f>IF($X197="","",INDEX(Assessment!$N:$N,$X197))</f>
        <v/>
      </c>
      <c r="X197" t="str">
        <f>IF(181&lt;=$B$6,SMALL($Y$2:$Y$593,181),IF(181&lt;=$B$6+$B$7,SMALL($Z$2:$Z$593,181-$B$6),""))</f>
        <v/>
      </c>
      <c r="Y197" t="str">
        <f>IF(Assessment!$G197="Critical",ROW(Assessment!$G197),"")</f>
        <v/>
      </c>
      <c r="Z197">
        <f>IF(Assessment!$G197="High",ROW(Assessment!$G197),"")</f>
        <v>197</v>
      </c>
    </row>
    <row r="198" spans="1:26" x14ac:dyDescent="0.25">
      <c r="A198" s="10" t="str">
        <f>IF($X198="","",182)</f>
        <v/>
      </c>
      <c r="B198" s="10" t="str">
        <f>IF($X198="","",INDEX(Assessment!$A:$A,$X198))</f>
        <v/>
      </c>
      <c r="C198" s="10" t="str">
        <f>IF($X198="","",INDEX(Assessment!$B:$B,$X198))</f>
        <v/>
      </c>
      <c r="D198" s="10" t="str">
        <f>IF($X198="","",INDEX(Assessment!$C:$C,$X198))</f>
        <v/>
      </c>
      <c r="E198" s="10" t="str">
        <f>IF($X198="","",INDEX(Assessment!$F:$F,$X198))</f>
        <v/>
      </c>
      <c r="F198" s="10" t="str">
        <f>IF($X198="","",INDEX(Assessment!$G:$G,$X198))</f>
        <v/>
      </c>
      <c r="G198" s="10" t="str">
        <f>IF($X198="","",INDEX(Assessment!$J:$J,$X198))</f>
        <v/>
      </c>
      <c r="H198" s="10" t="str">
        <f>IF($X198="","",INDEX(Assessment!$L:$L,$X198))</f>
        <v/>
      </c>
      <c r="I198" s="10" t="str">
        <f>IF($X198="","",INDEX(Assessment!$N:$N,$X198))</f>
        <v/>
      </c>
      <c r="X198" t="str">
        <f>IF(182&lt;=$B$6,SMALL($Y$2:$Y$593,182),IF(182&lt;=$B$6+$B$7,SMALL($Z$2:$Z$593,182-$B$6),""))</f>
        <v/>
      </c>
      <c r="Y198" t="str">
        <f>IF(Assessment!$G198="Critical",ROW(Assessment!$G198),"")</f>
        <v/>
      </c>
      <c r="Z198" t="str">
        <f>IF(Assessment!$G198="High",ROW(Assessment!$G198),"")</f>
        <v/>
      </c>
    </row>
    <row r="199" spans="1:26" x14ac:dyDescent="0.25">
      <c r="A199" s="10" t="str">
        <f>IF($X199="","",183)</f>
        <v/>
      </c>
      <c r="B199" s="10" t="str">
        <f>IF($X199="","",INDEX(Assessment!$A:$A,$X199))</f>
        <v/>
      </c>
      <c r="C199" s="10" t="str">
        <f>IF($X199="","",INDEX(Assessment!$B:$B,$X199))</f>
        <v/>
      </c>
      <c r="D199" s="10" t="str">
        <f>IF($X199="","",INDEX(Assessment!$C:$C,$X199))</f>
        <v/>
      </c>
      <c r="E199" s="10" t="str">
        <f>IF($X199="","",INDEX(Assessment!$F:$F,$X199))</f>
        <v/>
      </c>
      <c r="F199" s="10" t="str">
        <f>IF($X199="","",INDEX(Assessment!$G:$G,$X199))</f>
        <v/>
      </c>
      <c r="G199" s="10" t="str">
        <f>IF($X199="","",INDEX(Assessment!$J:$J,$X199))</f>
        <v/>
      </c>
      <c r="H199" s="10" t="str">
        <f>IF($X199="","",INDEX(Assessment!$L:$L,$X199))</f>
        <v/>
      </c>
      <c r="I199" s="10" t="str">
        <f>IF($X199="","",INDEX(Assessment!$N:$N,$X199))</f>
        <v/>
      </c>
      <c r="X199" t="str">
        <f>IF(183&lt;=$B$6,SMALL($Y$2:$Y$593,183),IF(183&lt;=$B$6+$B$7,SMALL($Z$2:$Z$593,183-$B$6),""))</f>
        <v/>
      </c>
      <c r="Y199" t="str">
        <f>IF(Assessment!$G199="Critical",ROW(Assessment!$G199),"")</f>
        <v/>
      </c>
      <c r="Z199" t="str">
        <f>IF(Assessment!$G199="High",ROW(Assessment!$G199),"")</f>
        <v/>
      </c>
    </row>
    <row r="200" spans="1:26" x14ac:dyDescent="0.25">
      <c r="A200" s="10" t="str">
        <f>IF($X200="","",184)</f>
        <v/>
      </c>
      <c r="B200" s="10" t="str">
        <f>IF($X200="","",INDEX(Assessment!$A:$A,$X200))</f>
        <v/>
      </c>
      <c r="C200" s="10" t="str">
        <f>IF($X200="","",INDEX(Assessment!$B:$B,$X200))</f>
        <v/>
      </c>
      <c r="D200" s="10" t="str">
        <f>IF($X200="","",INDEX(Assessment!$C:$C,$X200))</f>
        <v/>
      </c>
      <c r="E200" s="10" t="str">
        <f>IF($X200="","",INDEX(Assessment!$F:$F,$X200))</f>
        <v/>
      </c>
      <c r="F200" s="10" t="str">
        <f>IF($X200="","",INDEX(Assessment!$G:$G,$X200))</f>
        <v/>
      </c>
      <c r="G200" s="10" t="str">
        <f>IF($X200="","",INDEX(Assessment!$J:$J,$X200))</f>
        <v/>
      </c>
      <c r="H200" s="10" t="str">
        <f>IF($X200="","",INDEX(Assessment!$L:$L,$X200))</f>
        <v/>
      </c>
      <c r="I200" s="10" t="str">
        <f>IF($X200="","",INDEX(Assessment!$N:$N,$X200))</f>
        <v/>
      </c>
      <c r="X200" t="str">
        <f>IF(184&lt;=$B$6,SMALL($Y$2:$Y$593,184),IF(184&lt;=$B$6+$B$7,SMALL($Z$2:$Z$593,184-$B$6),""))</f>
        <v/>
      </c>
      <c r="Y200" t="str">
        <f>IF(Assessment!$G200="Critical",ROW(Assessment!$G200),"")</f>
        <v/>
      </c>
      <c r="Z200" t="str">
        <f>IF(Assessment!$G200="High",ROW(Assessment!$G200),"")</f>
        <v/>
      </c>
    </row>
    <row r="201" spans="1:26" x14ac:dyDescent="0.25">
      <c r="A201" s="10" t="str">
        <f>IF($X201="","",185)</f>
        <v/>
      </c>
      <c r="B201" s="10" t="str">
        <f>IF($X201="","",INDEX(Assessment!$A:$A,$X201))</f>
        <v/>
      </c>
      <c r="C201" s="10" t="str">
        <f>IF($X201="","",INDEX(Assessment!$B:$B,$X201))</f>
        <v/>
      </c>
      <c r="D201" s="10" t="str">
        <f>IF($X201="","",INDEX(Assessment!$C:$C,$X201))</f>
        <v/>
      </c>
      <c r="E201" s="10" t="str">
        <f>IF($X201="","",INDEX(Assessment!$F:$F,$X201))</f>
        <v/>
      </c>
      <c r="F201" s="10" t="str">
        <f>IF($X201="","",INDEX(Assessment!$G:$G,$X201))</f>
        <v/>
      </c>
      <c r="G201" s="10" t="str">
        <f>IF($X201="","",INDEX(Assessment!$J:$J,$X201))</f>
        <v/>
      </c>
      <c r="H201" s="10" t="str">
        <f>IF($X201="","",INDEX(Assessment!$L:$L,$X201))</f>
        <v/>
      </c>
      <c r="I201" s="10" t="str">
        <f>IF($X201="","",INDEX(Assessment!$N:$N,$X201))</f>
        <v/>
      </c>
      <c r="X201" t="str">
        <f>IF(185&lt;=$B$6,SMALL($Y$2:$Y$593,185),IF(185&lt;=$B$6+$B$7,SMALL($Z$2:$Z$593,185-$B$6),""))</f>
        <v/>
      </c>
      <c r="Y201" t="str">
        <f>IF(Assessment!$G201="Critical",ROW(Assessment!$G201),"")</f>
        <v/>
      </c>
      <c r="Z201" t="str">
        <f>IF(Assessment!$G201="High",ROW(Assessment!$G201),"")</f>
        <v/>
      </c>
    </row>
    <row r="202" spans="1:26" x14ac:dyDescent="0.25">
      <c r="A202" s="10" t="str">
        <f>IF($X202="","",186)</f>
        <v/>
      </c>
      <c r="B202" s="10" t="str">
        <f>IF($X202="","",INDEX(Assessment!$A:$A,$X202))</f>
        <v/>
      </c>
      <c r="C202" s="10" t="str">
        <f>IF($X202="","",INDEX(Assessment!$B:$B,$X202))</f>
        <v/>
      </c>
      <c r="D202" s="10" t="str">
        <f>IF($X202="","",INDEX(Assessment!$C:$C,$X202))</f>
        <v/>
      </c>
      <c r="E202" s="10" t="str">
        <f>IF($X202="","",INDEX(Assessment!$F:$F,$X202))</f>
        <v/>
      </c>
      <c r="F202" s="10" t="str">
        <f>IF($X202="","",INDEX(Assessment!$G:$G,$X202))</f>
        <v/>
      </c>
      <c r="G202" s="10" t="str">
        <f>IF($X202="","",INDEX(Assessment!$J:$J,$X202))</f>
        <v/>
      </c>
      <c r="H202" s="10" t="str">
        <f>IF($X202="","",INDEX(Assessment!$L:$L,$X202))</f>
        <v/>
      </c>
      <c r="I202" s="10" t="str">
        <f>IF($X202="","",INDEX(Assessment!$N:$N,$X202))</f>
        <v/>
      </c>
      <c r="X202" t="str">
        <f>IF(186&lt;=$B$6,SMALL($Y$2:$Y$593,186),IF(186&lt;=$B$6+$B$7,SMALL($Z$2:$Z$593,186-$B$6),""))</f>
        <v/>
      </c>
      <c r="Y202" t="str">
        <f>IF(Assessment!$G202="Critical",ROW(Assessment!$G202),"")</f>
        <v/>
      </c>
      <c r="Z202" t="str">
        <f>IF(Assessment!$G202="High",ROW(Assessment!$G202),"")</f>
        <v/>
      </c>
    </row>
    <row r="203" spans="1:26" x14ac:dyDescent="0.25">
      <c r="A203" s="10" t="str">
        <f>IF($X203="","",187)</f>
        <v/>
      </c>
      <c r="B203" s="10" t="str">
        <f>IF($X203="","",INDEX(Assessment!$A:$A,$X203))</f>
        <v/>
      </c>
      <c r="C203" s="10" t="str">
        <f>IF($X203="","",INDEX(Assessment!$B:$B,$X203))</f>
        <v/>
      </c>
      <c r="D203" s="10" t="str">
        <f>IF($X203="","",INDEX(Assessment!$C:$C,$X203))</f>
        <v/>
      </c>
      <c r="E203" s="10" t="str">
        <f>IF($X203="","",INDEX(Assessment!$F:$F,$X203))</f>
        <v/>
      </c>
      <c r="F203" s="10" t="str">
        <f>IF($X203="","",INDEX(Assessment!$G:$G,$X203))</f>
        <v/>
      </c>
      <c r="G203" s="10" t="str">
        <f>IF($X203="","",INDEX(Assessment!$J:$J,$X203))</f>
        <v/>
      </c>
      <c r="H203" s="10" t="str">
        <f>IF($X203="","",INDEX(Assessment!$L:$L,$X203))</f>
        <v/>
      </c>
      <c r="I203" s="10" t="str">
        <f>IF($X203="","",INDEX(Assessment!$N:$N,$X203))</f>
        <v/>
      </c>
      <c r="X203" t="str">
        <f>IF(187&lt;=$B$6,SMALL($Y$2:$Y$593,187),IF(187&lt;=$B$6+$B$7,SMALL($Z$2:$Z$593,187-$B$6),""))</f>
        <v/>
      </c>
      <c r="Y203" t="str">
        <f>IF(Assessment!$G203="Critical",ROW(Assessment!$G203),"")</f>
        <v/>
      </c>
      <c r="Z203" t="str">
        <f>IF(Assessment!$G203="High",ROW(Assessment!$G203),"")</f>
        <v/>
      </c>
    </row>
    <row r="204" spans="1:26" x14ac:dyDescent="0.25">
      <c r="A204" s="10" t="str">
        <f>IF($X204="","",188)</f>
        <v/>
      </c>
      <c r="B204" s="10" t="str">
        <f>IF($X204="","",INDEX(Assessment!$A:$A,$X204))</f>
        <v/>
      </c>
      <c r="C204" s="10" t="str">
        <f>IF($X204="","",INDEX(Assessment!$B:$B,$X204))</f>
        <v/>
      </c>
      <c r="D204" s="10" t="str">
        <f>IF($X204="","",INDEX(Assessment!$C:$C,$X204))</f>
        <v/>
      </c>
      <c r="E204" s="10" t="str">
        <f>IF($X204="","",INDEX(Assessment!$F:$F,$X204))</f>
        <v/>
      </c>
      <c r="F204" s="10" t="str">
        <f>IF($X204="","",INDEX(Assessment!$G:$G,$X204))</f>
        <v/>
      </c>
      <c r="G204" s="10" t="str">
        <f>IF($X204="","",INDEX(Assessment!$J:$J,$X204))</f>
        <v/>
      </c>
      <c r="H204" s="10" t="str">
        <f>IF($X204="","",INDEX(Assessment!$L:$L,$X204))</f>
        <v/>
      </c>
      <c r="I204" s="10" t="str">
        <f>IF($X204="","",INDEX(Assessment!$N:$N,$X204))</f>
        <v/>
      </c>
      <c r="X204" t="str">
        <f>IF(188&lt;=$B$6,SMALL($Y$2:$Y$593,188),IF(188&lt;=$B$6+$B$7,SMALL($Z$2:$Z$593,188-$B$6),""))</f>
        <v/>
      </c>
      <c r="Y204" t="str">
        <f>IF(Assessment!$G204="Critical",ROW(Assessment!$G204),"")</f>
        <v/>
      </c>
      <c r="Z204" t="str">
        <f>IF(Assessment!$G204="High",ROW(Assessment!$G204),"")</f>
        <v/>
      </c>
    </row>
    <row r="205" spans="1:26" x14ac:dyDescent="0.25">
      <c r="A205" s="10" t="str">
        <f>IF($X205="","",189)</f>
        <v/>
      </c>
      <c r="B205" s="10" t="str">
        <f>IF($X205="","",INDEX(Assessment!$A:$A,$X205))</f>
        <v/>
      </c>
      <c r="C205" s="10" t="str">
        <f>IF($X205="","",INDEX(Assessment!$B:$B,$X205))</f>
        <v/>
      </c>
      <c r="D205" s="10" t="str">
        <f>IF($X205="","",INDEX(Assessment!$C:$C,$X205))</f>
        <v/>
      </c>
      <c r="E205" s="10" t="str">
        <f>IF($X205="","",INDEX(Assessment!$F:$F,$X205))</f>
        <v/>
      </c>
      <c r="F205" s="10" t="str">
        <f>IF($X205="","",INDEX(Assessment!$G:$G,$X205))</f>
        <v/>
      </c>
      <c r="G205" s="10" t="str">
        <f>IF($X205="","",INDEX(Assessment!$J:$J,$X205))</f>
        <v/>
      </c>
      <c r="H205" s="10" t="str">
        <f>IF($X205="","",INDEX(Assessment!$L:$L,$X205))</f>
        <v/>
      </c>
      <c r="I205" s="10" t="str">
        <f>IF($X205="","",INDEX(Assessment!$N:$N,$X205))</f>
        <v/>
      </c>
      <c r="X205" t="str">
        <f>IF(189&lt;=$B$6,SMALL($Y$2:$Y$593,189),IF(189&lt;=$B$6+$B$7,SMALL($Z$2:$Z$593,189-$B$6),""))</f>
        <v/>
      </c>
      <c r="Y205" t="str">
        <f>IF(Assessment!$G205="Critical",ROW(Assessment!$G205),"")</f>
        <v/>
      </c>
      <c r="Z205" t="str">
        <f>IF(Assessment!$G205="High",ROW(Assessment!$G205),"")</f>
        <v/>
      </c>
    </row>
    <row r="206" spans="1:26" x14ac:dyDescent="0.25">
      <c r="A206" s="10" t="str">
        <f>IF($X206="","",190)</f>
        <v/>
      </c>
      <c r="B206" s="10" t="str">
        <f>IF($X206="","",INDEX(Assessment!$A:$A,$X206))</f>
        <v/>
      </c>
      <c r="C206" s="10" t="str">
        <f>IF($X206="","",INDEX(Assessment!$B:$B,$X206))</f>
        <v/>
      </c>
      <c r="D206" s="10" t="str">
        <f>IF($X206="","",INDEX(Assessment!$C:$C,$X206))</f>
        <v/>
      </c>
      <c r="E206" s="10" t="str">
        <f>IF($X206="","",INDEX(Assessment!$F:$F,$X206))</f>
        <v/>
      </c>
      <c r="F206" s="10" t="str">
        <f>IF($X206="","",INDEX(Assessment!$G:$G,$X206))</f>
        <v/>
      </c>
      <c r="G206" s="10" t="str">
        <f>IF($X206="","",INDEX(Assessment!$J:$J,$X206))</f>
        <v/>
      </c>
      <c r="H206" s="10" t="str">
        <f>IF($X206="","",INDEX(Assessment!$L:$L,$X206))</f>
        <v/>
      </c>
      <c r="I206" s="10" t="str">
        <f>IF($X206="","",INDEX(Assessment!$N:$N,$X206))</f>
        <v/>
      </c>
      <c r="X206" t="str">
        <f>IF(190&lt;=$B$6,SMALL($Y$2:$Y$593,190),IF(190&lt;=$B$6+$B$7,SMALL($Z$2:$Z$593,190-$B$6),""))</f>
        <v/>
      </c>
      <c r="Y206" t="str">
        <f>IF(Assessment!$G206="Critical",ROW(Assessment!$G206),"")</f>
        <v/>
      </c>
      <c r="Z206" t="str">
        <f>IF(Assessment!$G206="High",ROW(Assessment!$G206),"")</f>
        <v/>
      </c>
    </row>
    <row r="207" spans="1:26" x14ac:dyDescent="0.25">
      <c r="A207" s="10" t="str">
        <f>IF($X207="","",191)</f>
        <v/>
      </c>
      <c r="B207" s="10" t="str">
        <f>IF($X207="","",INDEX(Assessment!$A:$A,$X207))</f>
        <v/>
      </c>
      <c r="C207" s="10" t="str">
        <f>IF($X207="","",INDEX(Assessment!$B:$B,$X207))</f>
        <v/>
      </c>
      <c r="D207" s="10" t="str">
        <f>IF($X207="","",INDEX(Assessment!$C:$C,$X207))</f>
        <v/>
      </c>
      <c r="E207" s="10" t="str">
        <f>IF($X207="","",INDEX(Assessment!$F:$F,$X207))</f>
        <v/>
      </c>
      <c r="F207" s="10" t="str">
        <f>IF($X207="","",INDEX(Assessment!$G:$G,$X207))</f>
        <v/>
      </c>
      <c r="G207" s="10" t="str">
        <f>IF($X207="","",INDEX(Assessment!$J:$J,$X207))</f>
        <v/>
      </c>
      <c r="H207" s="10" t="str">
        <f>IF($X207="","",INDEX(Assessment!$L:$L,$X207))</f>
        <v/>
      </c>
      <c r="I207" s="10" t="str">
        <f>IF($X207="","",INDEX(Assessment!$N:$N,$X207))</f>
        <v/>
      </c>
      <c r="X207" t="str">
        <f>IF(191&lt;=$B$6,SMALL($Y$2:$Y$593,191),IF(191&lt;=$B$6+$B$7,SMALL($Z$2:$Z$593,191-$B$6),""))</f>
        <v/>
      </c>
      <c r="Y207" t="str">
        <f>IF(Assessment!$G207="Critical",ROW(Assessment!$G207),"")</f>
        <v/>
      </c>
      <c r="Z207" t="str">
        <f>IF(Assessment!$G207="High",ROW(Assessment!$G207),"")</f>
        <v/>
      </c>
    </row>
    <row r="208" spans="1:26" x14ac:dyDescent="0.25">
      <c r="A208" s="10" t="str">
        <f>IF($X208="","",192)</f>
        <v/>
      </c>
      <c r="B208" s="10" t="str">
        <f>IF($X208="","",INDEX(Assessment!$A:$A,$X208))</f>
        <v/>
      </c>
      <c r="C208" s="10" t="str">
        <f>IF($X208="","",INDEX(Assessment!$B:$B,$X208))</f>
        <v/>
      </c>
      <c r="D208" s="10" t="str">
        <f>IF($X208="","",INDEX(Assessment!$C:$C,$X208))</f>
        <v/>
      </c>
      <c r="E208" s="10" t="str">
        <f>IF($X208="","",INDEX(Assessment!$F:$F,$X208))</f>
        <v/>
      </c>
      <c r="F208" s="10" t="str">
        <f>IF($X208="","",INDEX(Assessment!$G:$G,$X208))</f>
        <v/>
      </c>
      <c r="G208" s="10" t="str">
        <f>IF($X208="","",INDEX(Assessment!$J:$J,$X208))</f>
        <v/>
      </c>
      <c r="H208" s="10" t="str">
        <f>IF($X208="","",INDEX(Assessment!$L:$L,$X208))</f>
        <v/>
      </c>
      <c r="I208" s="10" t="str">
        <f>IF($X208="","",INDEX(Assessment!$N:$N,$X208))</f>
        <v/>
      </c>
      <c r="X208" t="str">
        <f>IF(192&lt;=$B$6,SMALL($Y$2:$Y$593,192),IF(192&lt;=$B$6+$B$7,SMALL($Z$2:$Z$593,192-$B$6),""))</f>
        <v/>
      </c>
      <c r="Y208" t="str">
        <f>IF(Assessment!$G208="Critical",ROW(Assessment!$G208),"")</f>
        <v/>
      </c>
      <c r="Z208" t="str">
        <f>IF(Assessment!$G208="High",ROW(Assessment!$G208),"")</f>
        <v/>
      </c>
    </row>
    <row r="209" spans="1:26" x14ac:dyDescent="0.25">
      <c r="A209" s="10" t="str">
        <f>IF($X209="","",193)</f>
        <v/>
      </c>
      <c r="B209" s="10" t="str">
        <f>IF($X209="","",INDEX(Assessment!$A:$A,$X209))</f>
        <v/>
      </c>
      <c r="C209" s="10" t="str">
        <f>IF($X209="","",INDEX(Assessment!$B:$B,$X209))</f>
        <v/>
      </c>
      <c r="D209" s="10" t="str">
        <f>IF($X209="","",INDEX(Assessment!$C:$C,$X209))</f>
        <v/>
      </c>
      <c r="E209" s="10" t="str">
        <f>IF($X209="","",INDEX(Assessment!$F:$F,$X209))</f>
        <v/>
      </c>
      <c r="F209" s="10" t="str">
        <f>IF($X209="","",INDEX(Assessment!$G:$G,$X209))</f>
        <v/>
      </c>
      <c r="G209" s="10" t="str">
        <f>IF($X209="","",INDEX(Assessment!$J:$J,$X209))</f>
        <v/>
      </c>
      <c r="H209" s="10" t="str">
        <f>IF($X209="","",INDEX(Assessment!$L:$L,$X209))</f>
        <v/>
      </c>
      <c r="I209" s="10" t="str">
        <f>IF($X209="","",INDEX(Assessment!$N:$N,$X209))</f>
        <v/>
      </c>
      <c r="X209" t="str">
        <f>IF(193&lt;=$B$6,SMALL($Y$2:$Y$593,193),IF(193&lt;=$B$6+$B$7,SMALL($Z$2:$Z$593,193-$B$6),""))</f>
        <v/>
      </c>
      <c r="Y209" t="str">
        <f>IF(Assessment!$G209="Critical",ROW(Assessment!$G209),"")</f>
        <v/>
      </c>
      <c r="Z209" t="str">
        <f>IF(Assessment!$G209="High",ROW(Assessment!$G209),"")</f>
        <v/>
      </c>
    </row>
    <row r="210" spans="1:26" x14ac:dyDescent="0.25">
      <c r="A210" s="10" t="str">
        <f>IF($X210="","",194)</f>
        <v/>
      </c>
      <c r="B210" s="10" t="str">
        <f>IF($X210="","",INDEX(Assessment!$A:$A,$X210))</f>
        <v/>
      </c>
      <c r="C210" s="10" t="str">
        <f>IF($X210="","",INDEX(Assessment!$B:$B,$X210))</f>
        <v/>
      </c>
      <c r="D210" s="10" t="str">
        <f>IF($X210="","",INDEX(Assessment!$C:$C,$X210))</f>
        <v/>
      </c>
      <c r="E210" s="10" t="str">
        <f>IF($X210="","",INDEX(Assessment!$F:$F,$X210))</f>
        <v/>
      </c>
      <c r="F210" s="10" t="str">
        <f>IF($X210="","",INDEX(Assessment!$G:$G,$X210))</f>
        <v/>
      </c>
      <c r="G210" s="10" t="str">
        <f>IF($X210="","",INDEX(Assessment!$J:$J,$X210))</f>
        <v/>
      </c>
      <c r="H210" s="10" t="str">
        <f>IF($X210="","",INDEX(Assessment!$L:$L,$X210))</f>
        <v/>
      </c>
      <c r="I210" s="10" t="str">
        <f>IF($X210="","",INDEX(Assessment!$N:$N,$X210))</f>
        <v/>
      </c>
      <c r="X210" t="str">
        <f>IF(194&lt;=$B$6,SMALL($Y$2:$Y$593,194),IF(194&lt;=$B$6+$B$7,SMALL($Z$2:$Z$593,194-$B$6),""))</f>
        <v/>
      </c>
      <c r="Y210" t="str">
        <f>IF(Assessment!$G210="Critical",ROW(Assessment!$G210),"")</f>
        <v/>
      </c>
      <c r="Z210" t="str">
        <f>IF(Assessment!$G210="High",ROW(Assessment!$G210),"")</f>
        <v/>
      </c>
    </row>
    <row r="211" spans="1:26" x14ac:dyDescent="0.25">
      <c r="A211" s="10" t="str">
        <f>IF($X211="","",195)</f>
        <v/>
      </c>
      <c r="B211" s="10" t="str">
        <f>IF($X211="","",INDEX(Assessment!$A:$A,$X211))</f>
        <v/>
      </c>
      <c r="C211" s="10" t="str">
        <f>IF($X211="","",INDEX(Assessment!$B:$B,$X211))</f>
        <v/>
      </c>
      <c r="D211" s="10" t="str">
        <f>IF($X211="","",INDEX(Assessment!$C:$C,$X211))</f>
        <v/>
      </c>
      <c r="E211" s="10" t="str">
        <f>IF($X211="","",INDEX(Assessment!$F:$F,$X211))</f>
        <v/>
      </c>
      <c r="F211" s="10" t="str">
        <f>IF($X211="","",INDEX(Assessment!$G:$G,$X211))</f>
        <v/>
      </c>
      <c r="G211" s="10" t="str">
        <f>IF($X211="","",INDEX(Assessment!$J:$J,$X211))</f>
        <v/>
      </c>
      <c r="H211" s="10" t="str">
        <f>IF($X211="","",INDEX(Assessment!$L:$L,$X211))</f>
        <v/>
      </c>
      <c r="I211" s="10" t="str">
        <f>IF($X211="","",INDEX(Assessment!$N:$N,$X211))</f>
        <v/>
      </c>
      <c r="X211" t="str">
        <f>IF(195&lt;=$B$6,SMALL($Y$2:$Y$593,195),IF(195&lt;=$B$6+$B$7,SMALL($Z$2:$Z$593,195-$B$6),""))</f>
        <v/>
      </c>
      <c r="Y211" t="str">
        <f>IF(Assessment!$G211="Critical",ROW(Assessment!$G211),"")</f>
        <v/>
      </c>
      <c r="Z211" t="str">
        <f>IF(Assessment!$G211="High",ROW(Assessment!$G211),"")</f>
        <v/>
      </c>
    </row>
    <row r="212" spans="1:26" x14ac:dyDescent="0.25">
      <c r="A212" s="10" t="str">
        <f>IF($X212="","",196)</f>
        <v/>
      </c>
      <c r="B212" s="10" t="str">
        <f>IF($X212="","",INDEX(Assessment!$A:$A,$X212))</f>
        <v/>
      </c>
      <c r="C212" s="10" t="str">
        <f>IF($X212="","",INDEX(Assessment!$B:$B,$X212))</f>
        <v/>
      </c>
      <c r="D212" s="10" t="str">
        <f>IF($X212="","",INDEX(Assessment!$C:$C,$X212))</f>
        <v/>
      </c>
      <c r="E212" s="10" t="str">
        <f>IF($X212="","",INDEX(Assessment!$F:$F,$X212))</f>
        <v/>
      </c>
      <c r="F212" s="10" t="str">
        <f>IF($X212="","",INDEX(Assessment!$G:$G,$X212))</f>
        <v/>
      </c>
      <c r="G212" s="10" t="str">
        <f>IF($X212="","",INDEX(Assessment!$J:$J,$X212))</f>
        <v/>
      </c>
      <c r="H212" s="10" t="str">
        <f>IF($X212="","",INDEX(Assessment!$L:$L,$X212))</f>
        <v/>
      </c>
      <c r="I212" s="10" t="str">
        <f>IF($X212="","",INDEX(Assessment!$N:$N,$X212))</f>
        <v/>
      </c>
      <c r="X212" t="str">
        <f>IF(196&lt;=$B$6,SMALL($Y$2:$Y$593,196),IF(196&lt;=$B$6+$B$7,SMALL($Z$2:$Z$593,196-$B$6),""))</f>
        <v/>
      </c>
      <c r="Y212" t="str">
        <f>IF(Assessment!$G212="Critical",ROW(Assessment!$G212),"")</f>
        <v/>
      </c>
      <c r="Z212" t="str">
        <f>IF(Assessment!$G212="High",ROW(Assessment!$G212),"")</f>
        <v/>
      </c>
    </row>
    <row r="213" spans="1:26" x14ac:dyDescent="0.25">
      <c r="A213" s="10" t="str">
        <f>IF($X213="","",197)</f>
        <v/>
      </c>
      <c r="B213" s="10" t="str">
        <f>IF($X213="","",INDEX(Assessment!$A:$A,$X213))</f>
        <v/>
      </c>
      <c r="C213" s="10" t="str">
        <f>IF($X213="","",INDEX(Assessment!$B:$B,$X213))</f>
        <v/>
      </c>
      <c r="D213" s="10" t="str">
        <f>IF($X213="","",INDEX(Assessment!$C:$C,$X213))</f>
        <v/>
      </c>
      <c r="E213" s="10" t="str">
        <f>IF($X213="","",INDEX(Assessment!$F:$F,$X213))</f>
        <v/>
      </c>
      <c r="F213" s="10" t="str">
        <f>IF($X213="","",INDEX(Assessment!$G:$G,$X213))</f>
        <v/>
      </c>
      <c r="G213" s="10" t="str">
        <f>IF($X213="","",INDEX(Assessment!$J:$J,$X213))</f>
        <v/>
      </c>
      <c r="H213" s="10" t="str">
        <f>IF($X213="","",INDEX(Assessment!$L:$L,$X213))</f>
        <v/>
      </c>
      <c r="I213" s="10" t="str">
        <f>IF($X213="","",INDEX(Assessment!$N:$N,$X213))</f>
        <v/>
      </c>
      <c r="X213" t="str">
        <f>IF(197&lt;=$B$6,SMALL($Y$2:$Y$593,197),IF(197&lt;=$B$6+$B$7,SMALL($Z$2:$Z$593,197-$B$6),""))</f>
        <v/>
      </c>
      <c r="Y213" t="str">
        <f>IF(Assessment!$G213="Critical",ROW(Assessment!$G213),"")</f>
        <v/>
      </c>
      <c r="Z213" t="str">
        <f>IF(Assessment!$G213="High",ROW(Assessment!$G213),"")</f>
        <v/>
      </c>
    </row>
    <row r="214" spans="1:26" x14ac:dyDescent="0.25">
      <c r="A214" s="10" t="str">
        <f>IF($X214="","",198)</f>
        <v/>
      </c>
      <c r="B214" s="10" t="str">
        <f>IF($X214="","",INDEX(Assessment!$A:$A,$X214))</f>
        <v/>
      </c>
      <c r="C214" s="10" t="str">
        <f>IF($X214="","",INDEX(Assessment!$B:$B,$X214))</f>
        <v/>
      </c>
      <c r="D214" s="10" t="str">
        <f>IF($X214="","",INDEX(Assessment!$C:$C,$X214))</f>
        <v/>
      </c>
      <c r="E214" s="10" t="str">
        <f>IF($X214="","",INDEX(Assessment!$F:$F,$X214))</f>
        <v/>
      </c>
      <c r="F214" s="10" t="str">
        <f>IF($X214="","",INDEX(Assessment!$G:$G,$X214))</f>
        <v/>
      </c>
      <c r="G214" s="10" t="str">
        <f>IF($X214="","",INDEX(Assessment!$J:$J,$X214))</f>
        <v/>
      </c>
      <c r="H214" s="10" t="str">
        <f>IF($X214="","",INDEX(Assessment!$L:$L,$X214))</f>
        <v/>
      </c>
      <c r="I214" s="10" t="str">
        <f>IF($X214="","",INDEX(Assessment!$N:$N,$X214))</f>
        <v/>
      </c>
      <c r="X214" t="str">
        <f>IF(198&lt;=$B$6,SMALL($Y$2:$Y$593,198),IF(198&lt;=$B$6+$B$7,SMALL($Z$2:$Z$593,198-$B$6),""))</f>
        <v/>
      </c>
      <c r="Y214" t="str">
        <f>IF(Assessment!$G214="Critical",ROW(Assessment!$G214),"")</f>
        <v/>
      </c>
      <c r="Z214" t="str">
        <f>IF(Assessment!$G214="High",ROW(Assessment!$G214),"")</f>
        <v/>
      </c>
    </row>
    <row r="215" spans="1:26" x14ac:dyDescent="0.25">
      <c r="A215" s="10" t="str">
        <f>IF($X215="","",199)</f>
        <v/>
      </c>
      <c r="B215" s="10" t="str">
        <f>IF($X215="","",INDEX(Assessment!$A:$A,$X215))</f>
        <v/>
      </c>
      <c r="C215" s="10" t="str">
        <f>IF($X215="","",INDEX(Assessment!$B:$B,$X215))</f>
        <v/>
      </c>
      <c r="D215" s="10" t="str">
        <f>IF($X215="","",INDEX(Assessment!$C:$C,$X215))</f>
        <v/>
      </c>
      <c r="E215" s="10" t="str">
        <f>IF($X215="","",INDEX(Assessment!$F:$F,$X215))</f>
        <v/>
      </c>
      <c r="F215" s="10" t="str">
        <f>IF($X215="","",INDEX(Assessment!$G:$G,$X215))</f>
        <v/>
      </c>
      <c r="G215" s="10" t="str">
        <f>IF($X215="","",INDEX(Assessment!$J:$J,$X215))</f>
        <v/>
      </c>
      <c r="H215" s="10" t="str">
        <f>IF($X215="","",INDEX(Assessment!$L:$L,$X215))</f>
        <v/>
      </c>
      <c r="I215" s="10" t="str">
        <f>IF($X215="","",INDEX(Assessment!$N:$N,$X215))</f>
        <v/>
      </c>
      <c r="X215" t="str">
        <f>IF(199&lt;=$B$6,SMALL($Y$2:$Y$593,199),IF(199&lt;=$B$6+$B$7,SMALL($Z$2:$Z$593,199-$B$6),""))</f>
        <v/>
      </c>
      <c r="Y215" t="str">
        <f>IF(Assessment!$G215="Critical",ROW(Assessment!$G215),"")</f>
        <v/>
      </c>
      <c r="Z215" t="str">
        <f>IF(Assessment!$G215="High",ROW(Assessment!$G215),"")</f>
        <v/>
      </c>
    </row>
    <row r="216" spans="1:26" x14ac:dyDescent="0.25">
      <c r="A216" s="10" t="str">
        <f>IF($X216="","",200)</f>
        <v/>
      </c>
      <c r="B216" s="10" t="str">
        <f>IF($X216="","",INDEX(Assessment!$A:$A,$X216))</f>
        <v/>
      </c>
      <c r="C216" s="10" t="str">
        <f>IF($X216="","",INDEX(Assessment!$B:$B,$X216))</f>
        <v/>
      </c>
      <c r="D216" s="10" t="str">
        <f>IF($X216="","",INDEX(Assessment!$C:$C,$X216))</f>
        <v/>
      </c>
      <c r="E216" s="10" t="str">
        <f>IF($X216="","",INDEX(Assessment!$F:$F,$X216))</f>
        <v/>
      </c>
      <c r="F216" s="10" t="str">
        <f>IF($X216="","",INDEX(Assessment!$G:$G,$X216))</f>
        <v/>
      </c>
      <c r="G216" s="10" t="str">
        <f>IF($X216="","",INDEX(Assessment!$J:$J,$X216))</f>
        <v/>
      </c>
      <c r="H216" s="10" t="str">
        <f>IF($X216="","",INDEX(Assessment!$L:$L,$X216))</f>
        <v/>
      </c>
      <c r="I216" s="10" t="str">
        <f>IF($X216="","",INDEX(Assessment!$N:$N,$X216))</f>
        <v/>
      </c>
      <c r="X216" t="str">
        <f>IF(200&lt;=$B$6,SMALL($Y$2:$Y$593,200),IF(200&lt;=$B$6+$B$7,SMALL($Z$2:$Z$593,200-$B$6),""))</f>
        <v/>
      </c>
      <c r="Y216" t="str">
        <f>IF(Assessment!$G216="Critical",ROW(Assessment!$G216),"")</f>
        <v/>
      </c>
      <c r="Z216" t="str">
        <f>IF(Assessment!$G216="High",ROW(Assessment!$G216),"")</f>
        <v/>
      </c>
    </row>
    <row r="217" spans="1:26" x14ac:dyDescent="0.25">
      <c r="A217" s="10" t="str">
        <f>IF($X217="","",201)</f>
        <v/>
      </c>
      <c r="B217" s="10" t="str">
        <f>IF($X217="","",INDEX(Assessment!$A:$A,$X217))</f>
        <v/>
      </c>
      <c r="C217" s="10" t="str">
        <f>IF($X217="","",INDEX(Assessment!$B:$B,$X217))</f>
        <v/>
      </c>
      <c r="D217" s="10" t="str">
        <f>IF($X217="","",INDEX(Assessment!$C:$C,$X217))</f>
        <v/>
      </c>
      <c r="E217" s="10" t="str">
        <f>IF($X217="","",INDEX(Assessment!$F:$F,$X217))</f>
        <v/>
      </c>
      <c r="F217" s="10" t="str">
        <f>IF($X217="","",INDEX(Assessment!$G:$G,$X217))</f>
        <v/>
      </c>
      <c r="G217" s="10" t="str">
        <f>IF($X217="","",INDEX(Assessment!$J:$J,$X217))</f>
        <v/>
      </c>
      <c r="H217" s="10" t="str">
        <f>IF($X217="","",INDEX(Assessment!$L:$L,$X217))</f>
        <v/>
      </c>
      <c r="I217" s="10" t="str">
        <f>IF($X217="","",INDEX(Assessment!$N:$N,$X217))</f>
        <v/>
      </c>
      <c r="X217" t="str">
        <f>IF(201&lt;=$B$6,SMALL($Y$2:$Y$593,201),IF(201&lt;=$B$6+$B$7,SMALL($Z$2:$Z$593,201-$B$6),""))</f>
        <v/>
      </c>
      <c r="Y217" t="str">
        <f>IF(Assessment!$G217="Critical",ROW(Assessment!$G217),"")</f>
        <v/>
      </c>
      <c r="Z217" t="str">
        <f>IF(Assessment!$G217="High",ROW(Assessment!$G217),"")</f>
        <v/>
      </c>
    </row>
    <row r="218" spans="1:26" x14ac:dyDescent="0.25">
      <c r="A218" s="10" t="str">
        <f>IF($X218="","",202)</f>
        <v/>
      </c>
      <c r="B218" s="10" t="str">
        <f>IF($X218="","",INDEX(Assessment!$A:$A,$X218))</f>
        <v/>
      </c>
      <c r="C218" s="10" t="str">
        <f>IF($X218="","",INDEX(Assessment!$B:$B,$X218))</f>
        <v/>
      </c>
      <c r="D218" s="10" t="str">
        <f>IF($X218="","",INDEX(Assessment!$C:$C,$X218))</f>
        <v/>
      </c>
      <c r="E218" s="10" t="str">
        <f>IF($X218="","",INDEX(Assessment!$F:$F,$X218))</f>
        <v/>
      </c>
      <c r="F218" s="10" t="str">
        <f>IF($X218="","",INDEX(Assessment!$G:$G,$X218))</f>
        <v/>
      </c>
      <c r="G218" s="10" t="str">
        <f>IF($X218="","",INDEX(Assessment!$J:$J,$X218))</f>
        <v/>
      </c>
      <c r="H218" s="10" t="str">
        <f>IF($X218="","",INDEX(Assessment!$L:$L,$X218))</f>
        <v/>
      </c>
      <c r="I218" s="10" t="str">
        <f>IF($X218="","",INDEX(Assessment!$N:$N,$X218))</f>
        <v/>
      </c>
      <c r="X218" t="str">
        <f>IF(202&lt;=$B$6,SMALL($Y$2:$Y$593,202),IF(202&lt;=$B$6+$B$7,SMALL($Z$2:$Z$593,202-$B$6),""))</f>
        <v/>
      </c>
      <c r="Y218" t="str">
        <f>IF(Assessment!$G218="Critical",ROW(Assessment!$G218),"")</f>
        <v/>
      </c>
      <c r="Z218" t="str">
        <f>IF(Assessment!$G218="High",ROW(Assessment!$G218),"")</f>
        <v/>
      </c>
    </row>
    <row r="219" spans="1:26" x14ac:dyDescent="0.25">
      <c r="A219" s="10" t="str">
        <f>IF($X219="","",203)</f>
        <v/>
      </c>
      <c r="B219" s="10" t="str">
        <f>IF($X219="","",INDEX(Assessment!$A:$A,$X219))</f>
        <v/>
      </c>
      <c r="C219" s="10" t="str">
        <f>IF($X219="","",INDEX(Assessment!$B:$B,$X219))</f>
        <v/>
      </c>
      <c r="D219" s="10" t="str">
        <f>IF($X219="","",INDEX(Assessment!$C:$C,$X219))</f>
        <v/>
      </c>
      <c r="E219" s="10" t="str">
        <f>IF($X219="","",INDEX(Assessment!$F:$F,$X219))</f>
        <v/>
      </c>
      <c r="F219" s="10" t="str">
        <f>IF($X219="","",INDEX(Assessment!$G:$G,$X219))</f>
        <v/>
      </c>
      <c r="G219" s="10" t="str">
        <f>IF($X219="","",INDEX(Assessment!$J:$J,$X219))</f>
        <v/>
      </c>
      <c r="H219" s="10" t="str">
        <f>IF($X219="","",INDEX(Assessment!$L:$L,$X219))</f>
        <v/>
      </c>
      <c r="I219" s="10" t="str">
        <f>IF($X219="","",INDEX(Assessment!$N:$N,$X219))</f>
        <v/>
      </c>
      <c r="X219" t="str">
        <f>IF(203&lt;=$B$6,SMALL($Y$2:$Y$593,203),IF(203&lt;=$B$6+$B$7,SMALL($Z$2:$Z$593,203-$B$6),""))</f>
        <v/>
      </c>
      <c r="Y219" t="str">
        <f>IF(Assessment!$G219="Critical",ROW(Assessment!$G219),"")</f>
        <v/>
      </c>
      <c r="Z219" t="str">
        <f>IF(Assessment!$G219="High",ROW(Assessment!$G219),"")</f>
        <v/>
      </c>
    </row>
    <row r="220" spans="1:26" x14ac:dyDescent="0.25">
      <c r="A220" s="10" t="str">
        <f>IF($X220="","",204)</f>
        <v/>
      </c>
      <c r="B220" s="10" t="str">
        <f>IF($X220="","",INDEX(Assessment!$A:$A,$X220))</f>
        <v/>
      </c>
      <c r="C220" s="10" t="str">
        <f>IF($X220="","",INDEX(Assessment!$B:$B,$X220))</f>
        <v/>
      </c>
      <c r="D220" s="10" t="str">
        <f>IF($X220="","",INDEX(Assessment!$C:$C,$X220))</f>
        <v/>
      </c>
      <c r="E220" s="10" t="str">
        <f>IF($X220="","",INDEX(Assessment!$F:$F,$X220))</f>
        <v/>
      </c>
      <c r="F220" s="10" t="str">
        <f>IF($X220="","",INDEX(Assessment!$G:$G,$X220))</f>
        <v/>
      </c>
      <c r="G220" s="10" t="str">
        <f>IF($X220="","",INDEX(Assessment!$J:$J,$X220))</f>
        <v/>
      </c>
      <c r="H220" s="10" t="str">
        <f>IF($X220="","",INDEX(Assessment!$L:$L,$X220))</f>
        <v/>
      </c>
      <c r="I220" s="10" t="str">
        <f>IF($X220="","",INDEX(Assessment!$N:$N,$X220))</f>
        <v/>
      </c>
      <c r="X220" t="str">
        <f>IF(204&lt;=$B$6,SMALL($Y$2:$Y$593,204),IF(204&lt;=$B$6+$B$7,SMALL($Z$2:$Z$593,204-$B$6),""))</f>
        <v/>
      </c>
      <c r="Y220" t="str">
        <f>IF(Assessment!$G220="Critical",ROW(Assessment!$G220),"")</f>
        <v/>
      </c>
      <c r="Z220" t="str">
        <f>IF(Assessment!$G220="High",ROW(Assessment!$G220),"")</f>
        <v/>
      </c>
    </row>
    <row r="221" spans="1:26" x14ac:dyDescent="0.25">
      <c r="A221" s="10" t="str">
        <f>IF($X221="","",205)</f>
        <v/>
      </c>
      <c r="B221" s="10" t="str">
        <f>IF($X221="","",INDEX(Assessment!$A:$A,$X221))</f>
        <v/>
      </c>
      <c r="C221" s="10" t="str">
        <f>IF($X221="","",INDEX(Assessment!$B:$B,$X221))</f>
        <v/>
      </c>
      <c r="D221" s="10" t="str">
        <f>IF($X221="","",INDEX(Assessment!$C:$C,$X221))</f>
        <v/>
      </c>
      <c r="E221" s="10" t="str">
        <f>IF($X221="","",INDEX(Assessment!$F:$F,$X221))</f>
        <v/>
      </c>
      <c r="F221" s="10" t="str">
        <f>IF($X221="","",INDEX(Assessment!$G:$G,$X221))</f>
        <v/>
      </c>
      <c r="G221" s="10" t="str">
        <f>IF($X221="","",INDEX(Assessment!$J:$J,$X221))</f>
        <v/>
      </c>
      <c r="H221" s="10" t="str">
        <f>IF($X221="","",INDEX(Assessment!$L:$L,$X221))</f>
        <v/>
      </c>
      <c r="I221" s="10" t="str">
        <f>IF($X221="","",INDEX(Assessment!$N:$N,$X221))</f>
        <v/>
      </c>
      <c r="X221" t="str">
        <f>IF(205&lt;=$B$6,SMALL($Y$2:$Y$593,205),IF(205&lt;=$B$6+$B$7,SMALL($Z$2:$Z$593,205-$B$6),""))</f>
        <v/>
      </c>
      <c r="Y221" t="str">
        <f>IF(Assessment!$G221="Critical",ROW(Assessment!$G221),"")</f>
        <v/>
      </c>
      <c r="Z221" t="str">
        <f>IF(Assessment!$G221="High",ROW(Assessment!$G221),"")</f>
        <v/>
      </c>
    </row>
    <row r="222" spans="1:26" x14ac:dyDescent="0.25">
      <c r="A222" s="10" t="str">
        <f>IF($X222="","",206)</f>
        <v/>
      </c>
      <c r="B222" s="10" t="str">
        <f>IF($X222="","",INDEX(Assessment!$A:$A,$X222))</f>
        <v/>
      </c>
      <c r="C222" s="10" t="str">
        <f>IF($X222="","",INDEX(Assessment!$B:$B,$X222))</f>
        <v/>
      </c>
      <c r="D222" s="10" t="str">
        <f>IF($X222="","",INDEX(Assessment!$C:$C,$X222))</f>
        <v/>
      </c>
      <c r="E222" s="10" t="str">
        <f>IF($X222="","",INDEX(Assessment!$F:$F,$X222))</f>
        <v/>
      </c>
      <c r="F222" s="10" t="str">
        <f>IF($X222="","",INDEX(Assessment!$G:$G,$X222))</f>
        <v/>
      </c>
      <c r="G222" s="10" t="str">
        <f>IF($X222="","",INDEX(Assessment!$J:$J,$X222))</f>
        <v/>
      </c>
      <c r="H222" s="10" t="str">
        <f>IF($X222="","",INDEX(Assessment!$L:$L,$X222))</f>
        <v/>
      </c>
      <c r="I222" s="10" t="str">
        <f>IF($X222="","",INDEX(Assessment!$N:$N,$X222))</f>
        <v/>
      </c>
      <c r="X222" t="str">
        <f>IF(206&lt;=$B$6,SMALL($Y$2:$Y$593,206),IF(206&lt;=$B$6+$B$7,SMALL($Z$2:$Z$593,206-$B$6),""))</f>
        <v/>
      </c>
      <c r="Y222" t="str">
        <f>IF(Assessment!$G222="Critical",ROW(Assessment!$G222),"")</f>
        <v/>
      </c>
      <c r="Z222" t="str">
        <f>IF(Assessment!$G222="High",ROW(Assessment!$G222),"")</f>
        <v/>
      </c>
    </row>
    <row r="223" spans="1:26" x14ac:dyDescent="0.25">
      <c r="A223" s="10" t="str">
        <f>IF($X223="","",207)</f>
        <v/>
      </c>
      <c r="B223" s="10" t="str">
        <f>IF($X223="","",INDEX(Assessment!$A:$A,$X223))</f>
        <v/>
      </c>
      <c r="C223" s="10" t="str">
        <f>IF($X223="","",INDEX(Assessment!$B:$B,$X223))</f>
        <v/>
      </c>
      <c r="D223" s="10" t="str">
        <f>IF($X223="","",INDEX(Assessment!$C:$C,$X223))</f>
        <v/>
      </c>
      <c r="E223" s="10" t="str">
        <f>IF($X223="","",INDEX(Assessment!$F:$F,$X223))</f>
        <v/>
      </c>
      <c r="F223" s="10" t="str">
        <f>IF($X223="","",INDEX(Assessment!$G:$G,$X223))</f>
        <v/>
      </c>
      <c r="G223" s="10" t="str">
        <f>IF($X223="","",INDEX(Assessment!$J:$J,$X223))</f>
        <v/>
      </c>
      <c r="H223" s="10" t="str">
        <f>IF($X223="","",INDEX(Assessment!$L:$L,$X223))</f>
        <v/>
      </c>
      <c r="I223" s="10" t="str">
        <f>IF($X223="","",INDEX(Assessment!$N:$N,$X223))</f>
        <v/>
      </c>
      <c r="X223" t="str">
        <f>IF(207&lt;=$B$6,SMALL($Y$2:$Y$593,207),IF(207&lt;=$B$6+$B$7,SMALL($Z$2:$Z$593,207-$B$6),""))</f>
        <v/>
      </c>
      <c r="Y223" t="str">
        <f>IF(Assessment!$G223="Critical",ROW(Assessment!$G223),"")</f>
        <v/>
      </c>
      <c r="Z223" t="str">
        <f>IF(Assessment!$G223="High",ROW(Assessment!$G223),"")</f>
        <v/>
      </c>
    </row>
    <row r="224" spans="1:26" x14ac:dyDescent="0.25">
      <c r="A224" s="10" t="str">
        <f>IF($X224="","",208)</f>
        <v/>
      </c>
      <c r="B224" s="10" t="str">
        <f>IF($X224="","",INDEX(Assessment!$A:$A,$X224))</f>
        <v/>
      </c>
      <c r="C224" s="10" t="str">
        <f>IF($X224="","",INDEX(Assessment!$B:$B,$X224))</f>
        <v/>
      </c>
      <c r="D224" s="10" t="str">
        <f>IF($X224="","",INDEX(Assessment!$C:$C,$X224))</f>
        <v/>
      </c>
      <c r="E224" s="10" t="str">
        <f>IF($X224="","",INDEX(Assessment!$F:$F,$X224))</f>
        <v/>
      </c>
      <c r="F224" s="10" t="str">
        <f>IF($X224="","",INDEX(Assessment!$G:$G,$X224))</f>
        <v/>
      </c>
      <c r="G224" s="10" t="str">
        <f>IF($X224="","",INDEX(Assessment!$J:$J,$X224))</f>
        <v/>
      </c>
      <c r="H224" s="10" t="str">
        <f>IF($X224="","",INDEX(Assessment!$L:$L,$X224))</f>
        <v/>
      </c>
      <c r="I224" s="10" t="str">
        <f>IF($X224="","",INDEX(Assessment!$N:$N,$X224))</f>
        <v/>
      </c>
      <c r="X224" t="str">
        <f>IF(208&lt;=$B$6,SMALL($Y$2:$Y$593,208),IF(208&lt;=$B$6+$B$7,SMALL($Z$2:$Z$593,208-$B$6),""))</f>
        <v/>
      </c>
      <c r="Y224" t="str">
        <f>IF(Assessment!$G224="Critical",ROW(Assessment!$G224),"")</f>
        <v/>
      </c>
      <c r="Z224" t="str">
        <f>IF(Assessment!$G224="High",ROW(Assessment!$G224),"")</f>
        <v/>
      </c>
    </row>
    <row r="225" spans="1:26" x14ac:dyDescent="0.25">
      <c r="A225" s="10" t="str">
        <f>IF($X225="","",209)</f>
        <v/>
      </c>
      <c r="B225" s="10" t="str">
        <f>IF($X225="","",INDEX(Assessment!$A:$A,$X225))</f>
        <v/>
      </c>
      <c r="C225" s="10" t="str">
        <f>IF($X225="","",INDEX(Assessment!$B:$B,$X225))</f>
        <v/>
      </c>
      <c r="D225" s="10" t="str">
        <f>IF($X225="","",INDEX(Assessment!$C:$C,$X225))</f>
        <v/>
      </c>
      <c r="E225" s="10" t="str">
        <f>IF($X225="","",INDEX(Assessment!$F:$F,$X225))</f>
        <v/>
      </c>
      <c r="F225" s="10" t="str">
        <f>IF($X225="","",INDEX(Assessment!$G:$G,$X225))</f>
        <v/>
      </c>
      <c r="G225" s="10" t="str">
        <f>IF($X225="","",INDEX(Assessment!$J:$J,$X225))</f>
        <v/>
      </c>
      <c r="H225" s="10" t="str">
        <f>IF($X225="","",INDEX(Assessment!$L:$L,$X225))</f>
        <v/>
      </c>
      <c r="I225" s="10" t="str">
        <f>IF($X225="","",INDEX(Assessment!$N:$N,$X225))</f>
        <v/>
      </c>
      <c r="X225" t="str">
        <f>IF(209&lt;=$B$6,SMALL($Y$2:$Y$593,209),IF(209&lt;=$B$6+$B$7,SMALL($Z$2:$Z$593,209-$B$6),""))</f>
        <v/>
      </c>
      <c r="Y225" t="str">
        <f>IF(Assessment!$G225="Critical",ROW(Assessment!$G225),"")</f>
        <v/>
      </c>
      <c r="Z225" t="str">
        <f>IF(Assessment!$G225="High",ROW(Assessment!$G225),"")</f>
        <v/>
      </c>
    </row>
    <row r="226" spans="1:26" x14ac:dyDescent="0.25">
      <c r="A226" s="10" t="str">
        <f>IF($X226="","",210)</f>
        <v/>
      </c>
      <c r="B226" s="10" t="str">
        <f>IF($X226="","",INDEX(Assessment!$A:$A,$X226))</f>
        <v/>
      </c>
      <c r="C226" s="10" t="str">
        <f>IF($X226="","",INDEX(Assessment!$B:$B,$X226))</f>
        <v/>
      </c>
      <c r="D226" s="10" t="str">
        <f>IF($X226="","",INDEX(Assessment!$C:$C,$X226))</f>
        <v/>
      </c>
      <c r="E226" s="10" t="str">
        <f>IF($X226="","",INDEX(Assessment!$F:$F,$X226))</f>
        <v/>
      </c>
      <c r="F226" s="10" t="str">
        <f>IF($X226="","",INDEX(Assessment!$G:$G,$X226))</f>
        <v/>
      </c>
      <c r="G226" s="10" t="str">
        <f>IF($X226="","",INDEX(Assessment!$J:$J,$X226))</f>
        <v/>
      </c>
      <c r="H226" s="10" t="str">
        <f>IF($X226="","",INDEX(Assessment!$L:$L,$X226))</f>
        <v/>
      </c>
      <c r="I226" s="10" t="str">
        <f>IF($X226="","",INDEX(Assessment!$N:$N,$X226))</f>
        <v/>
      </c>
      <c r="X226" t="str">
        <f>IF(210&lt;=$B$6,SMALL($Y$2:$Y$593,210),IF(210&lt;=$B$6+$B$7,SMALL($Z$2:$Z$593,210-$B$6),""))</f>
        <v/>
      </c>
      <c r="Y226" t="str">
        <f>IF(Assessment!$G226="Critical",ROW(Assessment!$G226),"")</f>
        <v/>
      </c>
      <c r="Z226" t="str">
        <f>IF(Assessment!$G226="High",ROW(Assessment!$G226),"")</f>
        <v/>
      </c>
    </row>
    <row r="227" spans="1:26" x14ac:dyDescent="0.25">
      <c r="A227" s="10" t="str">
        <f>IF($X227="","",211)</f>
        <v/>
      </c>
      <c r="B227" s="10" t="str">
        <f>IF($X227="","",INDEX(Assessment!$A:$A,$X227))</f>
        <v/>
      </c>
      <c r="C227" s="10" t="str">
        <f>IF($X227="","",INDEX(Assessment!$B:$B,$X227))</f>
        <v/>
      </c>
      <c r="D227" s="10" t="str">
        <f>IF($X227="","",INDEX(Assessment!$C:$C,$X227))</f>
        <v/>
      </c>
      <c r="E227" s="10" t="str">
        <f>IF($X227="","",INDEX(Assessment!$F:$F,$X227))</f>
        <v/>
      </c>
      <c r="F227" s="10" t="str">
        <f>IF($X227="","",INDEX(Assessment!$G:$G,$X227))</f>
        <v/>
      </c>
      <c r="G227" s="10" t="str">
        <f>IF($X227="","",INDEX(Assessment!$J:$J,$X227))</f>
        <v/>
      </c>
      <c r="H227" s="10" t="str">
        <f>IF($X227="","",INDEX(Assessment!$L:$L,$X227))</f>
        <v/>
      </c>
      <c r="I227" s="10" t="str">
        <f>IF($X227="","",INDEX(Assessment!$N:$N,$X227))</f>
        <v/>
      </c>
      <c r="X227" t="str">
        <f>IF(211&lt;=$B$6,SMALL($Y$2:$Y$593,211),IF(211&lt;=$B$6+$B$7,SMALL($Z$2:$Z$593,211-$B$6),""))</f>
        <v/>
      </c>
      <c r="Y227" t="str">
        <f>IF(Assessment!$G227="Critical",ROW(Assessment!$G227),"")</f>
        <v/>
      </c>
      <c r="Z227" t="str">
        <f>IF(Assessment!$G227="High",ROW(Assessment!$G227),"")</f>
        <v/>
      </c>
    </row>
    <row r="228" spans="1:26" x14ac:dyDescent="0.25">
      <c r="A228" s="10" t="str">
        <f>IF($X228="","",212)</f>
        <v/>
      </c>
      <c r="B228" s="10" t="str">
        <f>IF($X228="","",INDEX(Assessment!$A:$A,$X228))</f>
        <v/>
      </c>
      <c r="C228" s="10" t="str">
        <f>IF($X228="","",INDEX(Assessment!$B:$B,$X228))</f>
        <v/>
      </c>
      <c r="D228" s="10" t="str">
        <f>IF($X228="","",INDEX(Assessment!$C:$C,$X228))</f>
        <v/>
      </c>
      <c r="E228" s="10" t="str">
        <f>IF($X228="","",INDEX(Assessment!$F:$F,$X228))</f>
        <v/>
      </c>
      <c r="F228" s="10" t="str">
        <f>IF($X228="","",INDEX(Assessment!$G:$G,$X228))</f>
        <v/>
      </c>
      <c r="G228" s="10" t="str">
        <f>IF($X228="","",INDEX(Assessment!$J:$J,$X228))</f>
        <v/>
      </c>
      <c r="H228" s="10" t="str">
        <f>IF($X228="","",INDEX(Assessment!$L:$L,$X228))</f>
        <v/>
      </c>
      <c r="I228" s="10" t="str">
        <f>IF($X228="","",INDEX(Assessment!$N:$N,$X228))</f>
        <v/>
      </c>
      <c r="X228" t="str">
        <f>IF(212&lt;=$B$6,SMALL($Y$2:$Y$593,212),IF(212&lt;=$B$6+$B$7,SMALL($Z$2:$Z$593,212-$B$6),""))</f>
        <v/>
      </c>
      <c r="Y228" t="str">
        <f>IF(Assessment!$G228="Critical",ROW(Assessment!$G228),"")</f>
        <v/>
      </c>
      <c r="Z228" t="str">
        <f>IF(Assessment!$G228="High",ROW(Assessment!$G228),"")</f>
        <v/>
      </c>
    </row>
    <row r="229" spans="1:26" x14ac:dyDescent="0.25">
      <c r="A229" s="10" t="str">
        <f>IF($X229="","",213)</f>
        <v/>
      </c>
      <c r="B229" s="10" t="str">
        <f>IF($X229="","",INDEX(Assessment!$A:$A,$X229))</f>
        <v/>
      </c>
      <c r="C229" s="10" t="str">
        <f>IF($X229="","",INDEX(Assessment!$B:$B,$X229))</f>
        <v/>
      </c>
      <c r="D229" s="10" t="str">
        <f>IF($X229="","",INDEX(Assessment!$C:$C,$X229))</f>
        <v/>
      </c>
      <c r="E229" s="10" t="str">
        <f>IF($X229="","",INDEX(Assessment!$F:$F,$X229))</f>
        <v/>
      </c>
      <c r="F229" s="10" t="str">
        <f>IF($X229="","",INDEX(Assessment!$G:$G,$X229))</f>
        <v/>
      </c>
      <c r="G229" s="10" t="str">
        <f>IF($X229="","",INDEX(Assessment!$J:$J,$X229))</f>
        <v/>
      </c>
      <c r="H229" s="10" t="str">
        <f>IF($X229="","",INDEX(Assessment!$L:$L,$X229))</f>
        <v/>
      </c>
      <c r="I229" s="10" t="str">
        <f>IF($X229="","",INDEX(Assessment!$N:$N,$X229))</f>
        <v/>
      </c>
      <c r="X229" t="str">
        <f>IF(213&lt;=$B$6,SMALL($Y$2:$Y$593,213),IF(213&lt;=$B$6+$B$7,SMALL($Z$2:$Z$593,213-$B$6),""))</f>
        <v/>
      </c>
      <c r="Y229" t="str">
        <f>IF(Assessment!$G229="Critical",ROW(Assessment!$G229),"")</f>
        <v/>
      </c>
      <c r="Z229" t="str">
        <f>IF(Assessment!$G229="High",ROW(Assessment!$G229),"")</f>
        <v/>
      </c>
    </row>
    <row r="230" spans="1:26" x14ac:dyDescent="0.25">
      <c r="A230" s="10" t="str">
        <f>IF($X230="","",214)</f>
        <v/>
      </c>
      <c r="B230" s="10" t="str">
        <f>IF($X230="","",INDEX(Assessment!$A:$A,$X230))</f>
        <v/>
      </c>
      <c r="C230" s="10" t="str">
        <f>IF($X230="","",INDEX(Assessment!$B:$B,$X230))</f>
        <v/>
      </c>
      <c r="D230" s="10" t="str">
        <f>IF($X230="","",INDEX(Assessment!$C:$C,$X230))</f>
        <v/>
      </c>
      <c r="E230" s="10" t="str">
        <f>IF($X230="","",INDEX(Assessment!$F:$F,$X230))</f>
        <v/>
      </c>
      <c r="F230" s="10" t="str">
        <f>IF($X230="","",INDEX(Assessment!$G:$G,$X230))</f>
        <v/>
      </c>
      <c r="G230" s="10" t="str">
        <f>IF($X230="","",INDEX(Assessment!$J:$J,$X230))</f>
        <v/>
      </c>
      <c r="H230" s="10" t="str">
        <f>IF($X230="","",INDEX(Assessment!$L:$L,$X230))</f>
        <v/>
      </c>
      <c r="I230" s="10" t="str">
        <f>IF($X230="","",INDEX(Assessment!$N:$N,$X230))</f>
        <v/>
      </c>
      <c r="X230" t="str">
        <f>IF(214&lt;=$B$6,SMALL($Y$2:$Y$593,214),IF(214&lt;=$B$6+$B$7,SMALL($Z$2:$Z$593,214-$B$6),""))</f>
        <v/>
      </c>
      <c r="Y230" t="str">
        <f>IF(Assessment!$G230="Critical",ROW(Assessment!$G230),"")</f>
        <v/>
      </c>
      <c r="Z230" t="str">
        <f>IF(Assessment!$G230="High",ROW(Assessment!$G230),"")</f>
        <v/>
      </c>
    </row>
    <row r="231" spans="1:26" x14ac:dyDescent="0.25">
      <c r="A231" s="10" t="str">
        <f>IF($X231="","",215)</f>
        <v/>
      </c>
      <c r="B231" s="10" t="str">
        <f>IF($X231="","",INDEX(Assessment!$A:$A,$X231))</f>
        <v/>
      </c>
      <c r="C231" s="10" t="str">
        <f>IF($X231="","",INDEX(Assessment!$B:$B,$X231))</f>
        <v/>
      </c>
      <c r="D231" s="10" t="str">
        <f>IF($X231="","",INDEX(Assessment!$C:$C,$X231))</f>
        <v/>
      </c>
      <c r="E231" s="10" t="str">
        <f>IF($X231="","",INDEX(Assessment!$F:$F,$X231))</f>
        <v/>
      </c>
      <c r="F231" s="10" t="str">
        <f>IF($X231="","",INDEX(Assessment!$G:$G,$X231))</f>
        <v/>
      </c>
      <c r="G231" s="10" t="str">
        <f>IF($X231="","",INDEX(Assessment!$J:$J,$X231))</f>
        <v/>
      </c>
      <c r="H231" s="10" t="str">
        <f>IF($X231="","",INDEX(Assessment!$L:$L,$X231))</f>
        <v/>
      </c>
      <c r="I231" s="10" t="str">
        <f>IF($X231="","",INDEX(Assessment!$N:$N,$X231))</f>
        <v/>
      </c>
      <c r="X231" t="str">
        <f>IF(215&lt;=$B$6,SMALL($Y$2:$Y$593,215),IF(215&lt;=$B$6+$B$7,SMALL($Z$2:$Z$593,215-$B$6),""))</f>
        <v/>
      </c>
      <c r="Y231" t="str">
        <f>IF(Assessment!$G231="Critical",ROW(Assessment!$G231),"")</f>
        <v/>
      </c>
      <c r="Z231">
        <f>IF(Assessment!$G231="High",ROW(Assessment!$G231),"")</f>
        <v>231</v>
      </c>
    </row>
    <row r="232" spans="1:26" x14ac:dyDescent="0.25">
      <c r="A232" s="10" t="str">
        <f>IF($X232="","",216)</f>
        <v/>
      </c>
      <c r="B232" s="10" t="str">
        <f>IF($X232="","",INDEX(Assessment!$A:$A,$X232))</f>
        <v/>
      </c>
      <c r="C232" s="10" t="str">
        <f>IF($X232="","",INDEX(Assessment!$B:$B,$X232))</f>
        <v/>
      </c>
      <c r="D232" s="10" t="str">
        <f>IF($X232="","",INDEX(Assessment!$C:$C,$X232))</f>
        <v/>
      </c>
      <c r="E232" s="10" t="str">
        <f>IF($X232="","",INDEX(Assessment!$F:$F,$X232))</f>
        <v/>
      </c>
      <c r="F232" s="10" t="str">
        <f>IF($X232="","",INDEX(Assessment!$G:$G,$X232))</f>
        <v/>
      </c>
      <c r="G232" s="10" t="str">
        <f>IF($X232="","",INDEX(Assessment!$J:$J,$X232))</f>
        <v/>
      </c>
      <c r="H232" s="10" t="str">
        <f>IF($X232="","",INDEX(Assessment!$L:$L,$X232))</f>
        <v/>
      </c>
      <c r="I232" s="10" t="str">
        <f>IF($X232="","",INDEX(Assessment!$N:$N,$X232))</f>
        <v/>
      </c>
      <c r="X232" t="str">
        <f>IF(216&lt;=$B$6,SMALL($Y$2:$Y$593,216),IF(216&lt;=$B$6+$B$7,SMALL($Z$2:$Z$593,216-$B$6),""))</f>
        <v/>
      </c>
      <c r="Y232" t="str">
        <f>IF(Assessment!$G232="Critical",ROW(Assessment!$G232),"")</f>
        <v/>
      </c>
      <c r="Z232" t="str">
        <f>IF(Assessment!$G232="High",ROW(Assessment!$G232),"")</f>
        <v/>
      </c>
    </row>
    <row r="233" spans="1:26" x14ac:dyDescent="0.25">
      <c r="A233" s="10" t="str">
        <f>IF($X233="","",217)</f>
        <v/>
      </c>
      <c r="B233" s="10" t="str">
        <f>IF($X233="","",INDEX(Assessment!$A:$A,$X233))</f>
        <v/>
      </c>
      <c r="C233" s="10" t="str">
        <f>IF($X233="","",INDEX(Assessment!$B:$B,$X233))</f>
        <v/>
      </c>
      <c r="D233" s="10" t="str">
        <f>IF($X233="","",INDEX(Assessment!$C:$C,$X233))</f>
        <v/>
      </c>
      <c r="E233" s="10" t="str">
        <f>IF($X233="","",INDEX(Assessment!$F:$F,$X233))</f>
        <v/>
      </c>
      <c r="F233" s="10" t="str">
        <f>IF($X233="","",INDEX(Assessment!$G:$G,$X233))</f>
        <v/>
      </c>
      <c r="G233" s="10" t="str">
        <f>IF($X233="","",INDEX(Assessment!$J:$J,$X233))</f>
        <v/>
      </c>
      <c r="H233" s="10" t="str">
        <f>IF($X233="","",INDEX(Assessment!$L:$L,$X233))</f>
        <v/>
      </c>
      <c r="I233" s="10" t="str">
        <f>IF($X233="","",INDEX(Assessment!$N:$N,$X233))</f>
        <v/>
      </c>
      <c r="X233" t="str">
        <f>IF(217&lt;=$B$6,SMALL($Y$2:$Y$593,217),IF(217&lt;=$B$6+$B$7,SMALL($Z$2:$Z$593,217-$B$6),""))</f>
        <v/>
      </c>
      <c r="Y233" t="str">
        <f>IF(Assessment!$G233="Critical",ROW(Assessment!$G233),"")</f>
        <v/>
      </c>
      <c r="Z233" t="str">
        <f>IF(Assessment!$G233="High",ROW(Assessment!$G233),"")</f>
        <v/>
      </c>
    </row>
    <row r="234" spans="1:26" x14ac:dyDescent="0.25">
      <c r="A234" s="10" t="str">
        <f>IF($X234="","",218)</f>
        <v/>
      </c>
      <c r="B234" s="10" t="str">
        <f>IF($X234="","",INDEX(Assessment!$A:$A,$X234))</f>
        <v/>
      </c>
      <c r="C234" s="10" t="str">
        <f>IF($X234="","",INDEX(Assessment!$B:$B,$X234))</f>
        <v/>
      </c>
      <c r="D234" s="10" t="str">
        <f>IF($X234="","",INDEX(Assessment!$C:$C,$X234))</f>
        <v/>
      </c>
      <c r="E234" s="10" t="str">
        <f>IF($X234="","",INDEX(Assessment!$F:$F,$X234))</f>
        <v/>
      </c>
      <c r="F234" s="10" t="str">
        <f>IF($X234="","",INDEX(Assessment!$G:$G,$X234))</f>
        <v/>
      </c>
      <c r="G234" s="10" t="str">
        <f>IF($X234="","",INDEX(Assessment!$J:$J,$X234))</f>
        <v/>
      </c>
      <c r="H234" s="10" t="str">
        <f>IF($X234="","",INDEX(Assessment!$L:$L,$X234))</f>
        <v/>
      </c>
      <c r="I234" s="10" t="str">
        <f>IF($X234="","",INDEX(Assessment!$N:$N,$X234))</f>
        <v/>
      </c>
      <c r="X234" t="str">
        <f>IF(218&lt;=$B$6,SMALL($Y$2:$Y$593,218),IF(218&lt;=$B$6+$B$7,SMALL($Z$2:$Z$593,218-$B$6),""))</f>
        <v/>
      </c>
      <c r="Y234" t="str">
        <f>IF(Assessment!$G234="Critical",ROW(Assessment!$G234),"")</f>
        <v/>
      </c>
      <c r="Z234">
        <f>IF(Assessment!$G234="High",ROW(Assessment!$G234),"")</f>
        <v>234</v>
      </c>
    </row>
    <row r="235" spans="1:26" x14ac:dyDescent="0.25">
      <c r="A235" s="10" t="str">
        <f>IF($X235="","",219)</f>
        <v/>
      </c>
      <c r="B235" s="10" t="str">
        <f>IF($X235="","",INDEX(Assessment!$A:$A,$X235))</f>
        <v/>
      </c>
      <c r="C235" s="10" t="str">
        <f>IF($X235="","",INDEX(Assessment!$B:$B,$X235))</f>
        <v/>
      </c>
      <c r="D235" s="10" t="str">
        <f>IF($X235="","",INDEX(Assessment!$C:$C,$X235))</f>
        <v/>
      </c>
      <c r="E235" s="10" t="str">
        <f>IF($X235="","",INDEX(Assessment!$F:$F,$X235))</f>
        <v/>
      </c>
      <c r="F235" s="10" t="str">
        <f>IF($X235="","",INDEX(Assessment!$G:$G,$X235))</f>
        <v/>
      </c>
      <c r="G235" s="10" t="str">
        <f>IF($X235="","",INDEX(Assessment!$J:$J,$X235))</f>
        <v/>
      </c>
      <c r="H235" s="10" t="str">
        <f>IF($X235="","",INDEX(Assessment!$L:$L,$X235))</f>
        <v/>
      </c>
      <c r="I235" s="10" t="str">
        <f>IF($X235="","",INDEX(Assessment!$N:$N,$X235))</f>
        <v/>
      </c>
      <c r="X235" t="str">
        <f>IF(219&lt;=$B$6,SMALL($Y$2:$Y$593,219),IF(219&lt;=$B$6+$B$7,SMALL($Z$2:$Z$593,219-$B$6),""))</f>
        <v/>
      </c>
      <c r="Y235" t="str">
        <f>IF(Assessment!$G235="Critical",ROW(Assessment!$G235),"")</f>
        <v/>
      </c>
      <c r="Z235" t="str">
        <f>IF(Assessment!$G235="High",ROW(Assessment!$G235),"")</f>
        <v/>
      </c>
    </row>
    <row r="236" spans="1:26" x14ac:dyDescent="0.25">
      <c r="A236" s="10" t="str">
        <f>IF($X236="","",220)</f>
        <v/>
      </c>
      <c r="B236" s="10" t="str">
        <f>IF($X236="","",INDEX(Assessment!$A:$A,$X236))</f>
        <v/>
      </c>
      <c r="C236" s="10" t="str">
        <f>IF($X236="","",INDEX(Assessment!$B:$B,$X236))</f>
        <v/>
      </c>
      <c r="D236" s="10" t="str">
        <f>IF($X236="","",INDEX(Assessment!$C:$C,$X236))</f>
        <v/>
      </c>
      <c r="E236" s="10" t="str">
        <f>IF($X236="","",INDEX(Assessment!$F:$F,$X236))</f>
        <v/>
      </c>
      <c r="F236" s="10" t="str">
        <f>IF($X236="","",INDEX(Assessment!$G:$G,$X236))</f>
        <v/>
      </c>
      <c r="G236" s="10" t="str">
        <f>IF($X236="","",INDEX(Assessment!$J:$J,$X236))</f>
        <v/>
      </c>
      <c r="H236" s="10" t="str">
        <f>IF($X236="","",INDEX(Assessment!$L:$L,$X236))</f>
        <v/>
      </c>
      <c r="I236" s="10" t="str">
        <f>IF($X236="","",INDEX(Assessment!$N:$N,$X236))</f>
        <v/>
      </c>
      <c r="X236" t="str">
        <f>IF(220&lt;=$B$6,SMALL($Y$2:$Y$593,220),IF(220&lt;=$B$6+$B$7,SMALL($Z$2:$Z$593,220-$B$6),""))</f>
        <v/>
      </c>
      <c r="Y236" t="str">
        <f>IF(Assessment!$G236="Critical",ROW(Assessment!$G236),"")</f>
        <v/>
      </c>
      <c r="Z236" t="str">
        <f>IF(Assessment!$G236="High",ROW(Assessment!$G236),"")</f>
        <v/>
      </c>
    </row>
    <row r="237" spans="1:26" x14ac:dyDescent="0.25">
      <c r="A237" s="10" t="str">
        <f>IF($X237="","",221)</f>
        <v/>
      </c>
      <c r="B237" s="10" t="str">
        <f>IF($X237="","",INDEX(Assessment!$A:$A,$X237))</f>
        <v/>
      </c>
      <c r="C237" s="10" t="str">
        <f>IF($X237="","",INDEX(Assessment!$B:$B,$X237))</f>
        <v/>
      </c>
      <c r="D237" s="10" t="str">
        <f>IF($X237="","",INDEX(Assessment!$C:$C,$X237))</f>
        <v/>
      </c>
      <c r="E237" s="10" t="str">
        <f>IF($X237="","",INDEX(Assessment!$F:$F,$X237))</f>
        <v/>
      </c>
      <c r="F237" s="10" t="str">
        <f>IF($X237="","",INDEX(Assessment!$G:$G,$X237))</f>
        <v/>
      </c>
      <c r="G237" s="10" t="str">
        <f>IF($X237="","",INDEX(Assessment!$J:$J,$X237))</f>
        <v/>
      </c>
      <c r="H237" s="10" t="str">
        <f>IF($X237="","",INDEX(Assessment!$L:$L,$X237))</f>
        <v/>
      </c>
      <c r="I237" s="10" t="str">
        <f>IF($X237="","",INDEX(Assessment!$N:$N,$X237))</f>
        <v/>
      </c>
      <c r="X237" t="str">
        <f>IF(221&lt;=$B$6,SMALL($Y$2:$Y$593,221),IF(221&lt;=$B$6+$B$7,SMALL($Z$2:$Z$593,221-$B$6),""))</f>
        <v/>
      </c>
      <c r="Y237" t="str">
        <f>IF(Assessment!$G237="Critical",ROW(Assessment!$G237),"")</f>
        <v/>
      </c>
      <c r="Z237">
        <f>IF(Assessment!$G237="High",ROW(Assessment!$G237),"")</f>
        <v>237</v>
      </c>
    </row>
    <row r="238" spans="1:26" x14ac:dyDescent="0.25">
      <c r="A238" s="10" t="str">
        <f>IF($X238="","",222)</f>
        <v/>
      </c>
      <c r="B238" s="10" t="str">
        <f>IF($X238="","",INDEX(Assessment!$A:$A,$X238))</f>
        <v/>
      </c>
      <c r="C238" s="10" t="str">
        <f>IF($X238="","",INDEX(Assessment!$B:$B,$X238))</f>
        <v/>
      </c>
      <c r="D238" s="10" t="str">
        <f>IF($X238="","",INDEX(Assessment!$C:$C,$X238))</f>
        <v/>
      </c>
      <c r="E238" s="10" t="str">
        <f>IF($X238="","",INDEX(Assessment!$F:$F,$X238))</f>
        <v/>
      </c>
      <c r="F238" s="10" t="str">
        <f>IF($X238="","",INDEX(Assessment!$G:$G,$X238))</f>
        <v/>
      </c>
      <c r="G238" s="10" t="str">
        <f>IF($X238="","",INDEX(Assessment!$J:$J,$X238))</f>
        <v/>
      </c>
      <c r="H238" s="10" t="str">
        <f>IF($X238="","",INDEX(Assessment!$L:$L,$X238))</f>
        <v/>
      </c>
      <c r="I238" s="10" t="str">
        <f>IF($X238="","",INDEX(Assessment!$N:$N,$X238))</f>
        <v/>
      </c>
      <c r="X238" t="str">
        <f>IF(222&lt;=$B$6,SMALL($Y$2:$Y$593,222),IF(222&lt;=$B$6+$B$7,SMALL($Z$2:$Z$593,222-$B$6),""))</f>
        <v/>
      </c>
      <c r="Y238" t="str">
        <f>IF(Assessment!$G238="Critical",ROW(Assessment!$G238),"")</f>
        <v/>
      </c>
      <c r="Z238" t="str">
        <f>IF(Assessment!$G238="High",ROW(Assessment!$G238),"")</f>
        <v/>
      </c>
    </row>
    <row r="239" spans="1:26" x14ac:dyDescent="0.25">
      <c r="A239" s="10" t="str">
        <f>IF($X239="","",223)</f>
        <v/>
      </c>
      <c r="B239" s="10" t="str">
        <f>IF($X239="","",INDEX(Assessment!$A:$A,$X239))</f>
        <v/>
      </c>
      <c r="C239" s="10" t="str">
        <f>IF($X239="","",INDEX(Assessment!$B:$B,$X239))</f>
        <v/>
      </c>
      <c r="D239" s="10" t="str">
        <f>IF($X239="","",INDEX(Assessment!$C:$C,$X239))</f>
        <v/>
      </c>
      <c r="E239" s="10" t="str">
        <f>IF($X239="","",INDEX(Assessment!$F:$F,$X239))</f>
        <v/>
      </c>
      <c r="F239" s="10" t="str">
        <f>IF($X239="","",INDEX(Assessment!$G:$G,$X239))</f>
        <v/>
      </c>
      <c r="G239" s="10" t="str">
        <f>IF($X239="","",INDEX(Assessment!$J:$J,$X239))</f>
        <v/>
      </c>
      <c r="H239" s="10" t="str">
        <f>IF($X239="","",INDEX(Assessment!$L:$L,$X239))</f>
        <v/>
      </c>
      <c r="I239" s="10" t="str">
        <f>IF($X239="","",INDEX(Assessment!$N:$N,$X239))</f>
        <v/>
      </c>
      <c r="X239" t="str">
        <f>IF(223&lt;=$B$6,SMALL($Y$2:$Y$593,223),IF(223&lt;=$B$6+$B$7,SMALL($Z$2:$Z$593,223-$B$6),""))</f>
        <v/>
      </c>
      <c r="Y239" t="str">
        <f>IF(Assessment!$G239="Critical",ROW(Assessment!$G239),"")</f>
        <v/>
      </c>
      <c r="Z239" t="str">
        <f>IF(Assessment!$G239="High",ROW(Assessment!$G239),"")</f>
        <v/>
      </c>
    </row>
    <row r="240" spans="1:26" x14ac:dyDescent="0.25">
      <c r="A240" s="10" t="str">
        <f>IF($X240="","",224)</f>
        <v/>
      </c>
      <c r="B240" s="10" t="str">
        <f>IF($X240="","",INDEX(Assessment!$A:$A,$X240))</f>
        <v/>
      </c>
      <c r="C240" s="10" t="str">
        <f>IF($X240="","",INDEX(Assessment!$B:$B,$X240))</f>
        <v/>
      </c>
      <c r="D240" s="10" t="str">
        <f>IF($X240="","",INDEX(Assessment!$C:$C,$X240))</f>
        <v/>
      </c>
      <c r="E240" s="10" t="str">
        <f>IF($X240="","",INDEX(Assessment!$F:$F,$X240))</f>
        <v/>
      </c>
      <c r="F240" s="10" t="str">
        <f>IF($X240="","",INDEX(Assessment!$G:$G,$X240))</f>
        <v/>
      </c>
      <c r="G240" s="10" t="str">
        <f>IF($X240="","",INDEX(Assessment!$J:$J,$X240))</f>
        <v/>
      </c>
      <c r="H240" s="10" t="str">
        <f>IF($X240="","",INDEX(Assessment!$L:$L,$X240))</f>
        <v/>
      </c>
      <c r="I240" s="10" t="str">
        <f>IF($X240="","",INDEX(Assessment!$N:$N,$X240))</f>
        <v/>
      </c>
      <c r="X240" t="str">
        <f>IF(224&lt;=$B$6,SMALL($Y$2:$Y$593,224),IF(224&lt;=$B$6+$B$7,SMALL($Z$2:$Z$593,224-$B$6),""))</f>
        <v/>
      </c>
      <c r="Y240" t="str">
        <f>IF(Assessment!$G240="Critical",ROW(Assessment!$G240),"")</f>
        <v/>
      </c>
      <c r="Z240" t="str">
        <f>IF(Assessment!$G240="High",ROW(Assessment!$G240),"")</f>
        <v/>
      </c>
    </row>
    <row r="241" spans="1:26" x14ac:dyDescent="0.25">
      <c r="A241" s="10" t="str">
        <f>IF($X241="","",225)</f>
        <v/>
      </c>
      <c r="B241" s="10" t="str">
        <f>IF($X241="","",INDEX(Assessment!$A:$A,$X241))</f>
        <v/>
      </c>
      <c r="C241" s="10" t="str">
        <f>IF($X241="","",INDEX(Assessment!$B:$B,$X241))</f>
        <v/>
      </c>
      <c r="D241" s="10" t="str">
        <f>IF($X241="","",INDEX(Assessment!$C:$C,$X241))</f>
        <v/>
      </c>
      <c r="E241" s="10" t="str">
        <f>IF($X241="","",INDEX(Assessment!$F:$F,$X241))</f>
        <v/>
      </c>
      <c r="F241" s="10" t="str">
        <f>IF($X241="","",INDEX(Assessment!$G:$G,$X241))</f>
        <v/>
      </c>
      <c r="G241" s="10" t="str">
        <f>IF($X241="","",INDEX(Assessment!$J:$J,$X241))</f>
        <v/>
      </c>
      <c r="H241" s="10" t="str">
        <f>IF($X241="","",INDEX(Assessment!$L:$L,$X241))</f>
        <v/>
      </c>
      <c r="I241" s="10" t="str">
        <f>IF($X241="","",INDEX(Assessment!$N:$N,$X241))</f>
        <v/>
      </c>
      <c r="X241" t="str">
        <f>IF(225&lt;=$B$6,SMALL($Y$2:$Y$593,225),IF(225&lt;=$B$6+$B$7,SMALL($Z$2:$Z$593,225-$B$6),""))</f>
        <v/>
      </c>
      <c r="Y241" t="str">
        <f>IF(Assessment!$G241="Critical",ROW(Assessment!$G241),"")</f>
        <v/>
      </c>
      <c r="Z241" t="str">
        <f>IF(Assessment!$G241="High",ROW(Assessment!$G241),"")</f>
        <v/>
      </c>
    </row>
    <row r="242" spans="1:26" x14ac:dyDescent="0.25">
      <c r="A242" s="10" t="str">
        <f>IF($X242="","",226)</f>
        <v/>
      </c>
      <c r="B242" s="10" t="str">
        <f>IF($X242="","",INDEX(Assessment!$A:$A,$X242))</f>
        <v/>
      </c>
      <c r="C242" s="10" t="str">
        <f>IF($X242="","",INDEX(Assessment!$B:$B,$X242))</f>
        <v/>
      </c>
      <c r="D242" s="10" t="str">
        <f>IF($X242="","",INDEX(Assessment!$C:$C,$X242))</f>
        <v/>
      </c>
      <c r="E242" s="10" t="str">
        <f>IF($X242="","",INDEX(Assessment!$F:$F,$X242))</f>
        <v/>
      </c>
      <c r="F242" s="10" t="str">
        <f>IF($X242="","",INDEX(Assessment!$G:$G,$X242))</f>
        <v/>
      </c>
      <c r="G242" s="10" t="str">
        <f>IF($X242="","",INDEX(Assessment!$J:$J,$X242))</f>
        <v/>
      </c>
      <c r="H242" s="10" t="str">
        <f>IF($X242="","",INDEX(Assessment!$L:$L,$X242))</f>
        <v/>
      </c>
      <c r="I242" s="10" t="str">
        <f>IF($X242="","",INDEX(Assessment!$N:$N,$X242))</f>
        <v/>
      </c>
      <c r="X242" t="str">
        <f>IF(226&lt;=$B$6,SMALL($Y$2:$Y$593,226),IF(226&lt;=$B$6+$B$7,SMALL($Z$2:$Z$593,226-$B$6),""))</f>
        <v/>
      </c>
      <c r="Y242" t="str">
        <f>IF(Assessment!$G242="Critical",ROW(Assessment!$G242),"")</f>
        <v/>
      </c>
      <c r="Z242" t="str">
        <f>IF(Assessment!$G242="High",ROW(Assessment!$G242),"")</f>
        <v/>
      </c>
    </row>
    <row r="243" spans="1:26" x14ac:dyDescent="0.25">
      <c r="A243" s="10" t="str">
        <f>IF($X243="","",227)</f>
        <v/>
      </c>
      <c r="B243" s="10" t="str">
        <f>IF($X243="","",INDEX(Assessment!$A:$A,$X243))</f>
        <v/>
      </c>
      <c r="C243" s="10" t="str">
        <f>IF($X243="","",INDEX(Assessment!$B:$B,$X243))</f>
        <v/>
      </c>
      <c r="D243" s="10" t="str">
        <f>IF($X243="","",INDEX(Assessment!$C:$C,$X243))</f>
        <v/>
      </c>
      <c r="E243" s="10" t="str">
        <f>IF($X243="","",INDEX(Assessment!$F:$F,$X243))</f>
        <v/>
      </c>
      <c r="F243" s="10" t="str">
        <f>IF($X243="","",INDEX(Assessment!$G:$G,$X243))</f>
        <v/>
      </c>
      <c r="G243" s="10" t="str">
        <f>IF($X243="","",INDEX(Assessment!$J:$J,$X243))</f>
        <v/>
      </c>
      <c r="H243" s="10" t="str">
        <f>IF($X243="","",INDEX(Assessment!$L:$L,$X243))</f>
        <v/>
      </c>
      <c r="I243" s="10" t="str">
        <f>IF($X243="","",INDEX(Assessment!$N:$N,$X243))</f>
        <v/>
      </c>
      <c r="X243" t="str">
        <f>IF(227&lt;=$B$6,SMALL($Y$2:$Y$593,227),IF(227&lt;=$B$6+$B$7,SMALL($Z$2:$Z$593,227-$B$6),""))</f>
        <v/>
      </c>
      <c r="Y243" t="str">
        <f>IF(Assessment!$G243="Critical",ROW(Assessment!$G243),"")</f>
        <v/>
      </c>
      <c r="Z243" t="str">
        <f>IF(Assessment!$G243="High",ROW(Assessment!$G243),"")</f>
        <v/>
      </c>
    </row>
    <row r="244" spans="1:26" x14ac:dyDescent="0.25">
      <c r="A244" s="10" t="str">
        <f>IF($X244="","",228)</f>
        <v/>
      </c>
      <c r="B244" s="10" t="str">
        <f>IF($X244="","",INDEX(Assessment!$A:$A,$X244))</f>
        <v/>
      </c>
      <c r="C244" s="10" t="str">
        <f>IF($X244="","",INDEX(Assessment!$B:$B,$X244))</f>
        <v/>
      </c>
      <c r="D244" s="10" t="str">
        <f>IF($X244="","",INDEX(Assessment!$C:$C,$X244))</f>
        <v/>
      </c>
      <c r="E244" s="10" t="str">
        <f>IF($X244="","",INDEX(Assessment!$F:$F,$X244))</f>
        <v/>
      </c>
      <c r="F244" s="10" t="str">
        <f>IF($X244="","",INDEX(Assessment!$G:$G,$X244))</f>
        <v/>
      </c>
      <c r="G244" s="10" t="str">
        <f>IF($X244="","",INDEX(Assessment!$J:$J,$X244))</f>
        <v/>
      </c>
      <c r="H244" s="10" t="str">
        <f>IF($X244="","",INDEX(Assessment!$L:$L,$X244))</f>
        <v/>
      </c>
      <c r="I244" s="10" t="str">
        <f>IF($X244="","",INDEX(Assessment!$N:$N,$X244))</f>
        <v/>
      </c>
      <c r="X244" t="str">
        <f>IF(228&lt;=$B$6,SMALL($Y$2:$Y$593,228),IF(228&lt;=$B$6+$B$7,SMALL($Z$2:$Z$593,228-$B$6),""))</f>
        <v/>
      </c>
      <c r="Y244" t="str">
        <f>IF(Assessment!$G244="Critical",ROW(Assessment!$G244),"")</f>
        <v/>
      </c>
      <c r="Z244" t="str">
        <f>IF(Assessment!$G244="High",ROW(Assessment!$G244),"")</f>
        <v/>
      </c>
    </row>
    <row r="245" spans="1:26" x14ac:dyDescent="0.25">
      <c r="A245" s="10" t="str">
        <f>IF($X245="","",229)</f>
        <v/>
      </c>
      <c r="B245" s="10" t="str">
        <f>IF($X245="","",INDEX(Assessment!$A:$A,$X245))</f>
        <v/>
      </c>
      <c r="C245" s="10" t="str">
        <f>IF($X245="","",INDEX(Assessment!$B:$B,$X245))</f>
        <v/>
      </c>
      <c r="D245" s="10" t="str">
        <f>IF($X245="","",INDEX(Assessment!$C:$C,$X245))</f>
        <v/>
      </c>
      <c r="E245" s="10" t="str">
        <f>IF($X245="","",INDEX(Assessment!$F:$F,$X245))</f>
        <v/>
      </c>
      <c r="F245" s="10" t="str">
        <f>IF($X245="","",INDEX(Assessment!$G:$G,$X245))</f>
        <v/>
      </c>
      <c r="G245" s="10" t="str">
        <f>IF($X245="","",INDEX(Assessment!$J:$J,$X245))</f>
        <v/>
      </c>
      <c r="H245" s="10" t="str">
        <f>IF($X245="","",INDEX(Assessment!$L:$L,$X245))</f>
        <v/>
      </c>
      <c r="I245" s="10" t="str">
        <f>IF($X245="","",INDEX(Assessment!$N:$N,$X245))</f>
        <v/>
      </c>
      <c r="X245" t="str">
        <f>IF(229&lt;=$B$6,SMALL($Y$2:$Y$593,229),IF(229&lt;=$B$6+$B$7,SMALL($Z$2:$Z$593,229-$B$6),""))</f>
        <v/>
      </c>
      <c r="Y245" t="str">
        <f>IF(Assessment!$G245="Critical",ROW(Assessment!$G245),"")</f>
        <v/>
      </c>
      <c r="Z245" t="str">
        <f>IF(Assessment!$G245="High",ROW(Assessment!$G245),"")</f>
        <v/>
      </c>
    </row>
    <row r="246" spans="1:26" x14ac:dyDescent="0.25">
      <c r="A246" s="10" t="str">
        <f>IF($X246="","",230)</f>
        <v/>
      </c>
      <c r="B246" s="10" t="str">
        <f>IF($X246="","",INDEX(Assessment!$A:$A,$X246))</f>
        <v/>
      </c>
      <c r="C246" s="10" t="str">
        <f>IF($X246="","",INDEX(Assessment!$B:$B,$X246))</f>
        <v/>
      </c>
      <c r="D246" s="10" t="str">
        <f>IF($X246="","",INDEX(Assessment!$C:$C,$X246))</f>
        <v/>
      </c>
      <c r="E246" s="10" t="str">
        <f>IF($X246="","",INDEX(Assessment!$F:$F,$X246))</f>
        <v/>
      </c>
      <c r="F246" s="10" t="str">
        <f>IF($X246="","",INDEX(Assessment!$G:$G,$X246))</f>
        <v/>
      </c>
      <c r="G246" s="10" t="str">
        <f>IF($X246="","",INDEX(Assessment!$J:$J,$X246))</f>
        <v/>
      </c>
      <c r="H246" s="10" t="str">
        <f>IF($X246="","",INDEX(Assessment!$L:$L,$X246))</f>
        <v/>
      </c>
      <c r="I246" s="10" t="str">
        <f>IF($X246="","",INDEX(Assessment!$N:$N,$X246))</f>
        <v/>
      </c>
      <c r="X246" t="str">
        <f>IF(230&lt;=$B$6,SMALL($Y$2:$Y$593,230),IF(230&lt;=$B$6+$B$7,SMALL($Z$2:$Z$593,230-$B$6),""))</f>
        <v/>
      </c>
      <c r="Y246" t="str">
        <f>IF(Assessment!$G246="Critical",ROW(Assessment!$G246),"")</f>
        <v/>
      </c>
      <c r="Z246">
        <f>IF(Assessment!$G246="High",ROW(Assessment!$G246),"")</f>
        <v>246</v>
      </c>
    </row>
    <row r="247" spans="1:26" x14ac:dyDescent="0.25">
      <c r="A247" s="10" t="str">
        <f>IF($X247="","",231)</f>
        <v/>
      </c>
      <c r="B247" s="10" t="str">
        <f>IF($X247="","",INDEX(Assessment!$A:$A,$X247))</f>
        <v/>
      </c>
      <c r="C247" s="10" t="str">
        <f>IF($X247="","",INDEX(Assessment!$B:$B,$X247))</f>
        <v/>
      </c>
      <c r="D247" s="10" t="str">
        <f>IF($X247="","",INDEX(Assessment!$C:$C,$X247))</f>
        <v/>
      </c>
      <c r="E247" s="10" t="str">
        <f>IF($X247="","",INDEX(Assessment!$F:$F,$X247))</f>
        <v/>
      </c>
      <c r="F247" s="10" t="str">
        <f>IF($X247="","",INDEX(Assessment!$G:$G,$X247))</f>
        <v/>
      </c>
      <c r="G247" s="10" t="str">
        <f>IF($X247="","",INDEX(Assessment!$J:$J,$X247))</f>
        <v/>
      </c>
      <c r="H247" s="10" t="str">
        <f>IF($X247="","",INDEX(Assessment!$L:$L,$X247))</f>
        <v/>
      </c>
      <c r="I247" s="10" t="str">
        <f>IF($X247="","",INDEX(Assessment!$N:$N,$X247))</f>
        <v/>
      </c>
      <c r="X247" t="str">
        <f>IF(231&lt;=$B$6,SMALL($Y$2:$Y$593,231),IF(231&lt;=$B$6+$B$7,SMALL($Z$2:$Z$593,231-$B$6),""))</f>
        <v/>
      </c>
      <c r="Y247" t="str">
        <f>IF(Assessment!$G247="Critical",ROW(Assessment!$G247),"")</f>
        <v/>
      </c>
      <c r="Z247" t="str">
        <f>IF(Assessment!$G247="High",ROW(Assessment!$G247),"")</f>
        <v/>
      </c>
    </row>
    <row r="248" spans="1:26" x14ac:dyDescent="0.25">
      <c r="A248" s="10" t="str">
        <f>IF($X248="","",232)</f>
        <v/>
      </c>
      <c r="B248" s="10" t="str">
        <f>IF($X248="","",INDEX(Assessment!$A:$A,$X248))</f>
        <v/>
      </c>
      <c r="C248" s="10" t="str">
        <f>IF($X248="","",INDEX(Assessment!$B:$B,$X248))</f>
        <v/>
      </c>
      <c r="D248" s="10" t="str">
        <f>IF($X248="","",INDEX(Assessment!$C:$C,$X248))</f>
        <v/>
      </c>
      <c r="E248" s="10" t="str">
        <f>IF($X248="","",INDEX(Assessment!$F:$F,$X248))</f>
        <v/>
      </c>
      <c r="F248" s="10" t="str">
        <f>IF($X248="","",INDEX(Assessment!$G:$G,$X248))</f>
        <v/>
      </c>
      <c r="G248" s="10" t="str">
        <f>IF($X248="","",INDEX(Assessment!$J:$J,$X248))</f>
        <v/>
      </c>
      <c r="H248" s="10" t="str">
        <f>IF($X248="","",INDEX(Assessment!$L:$L,$X248))</f>
        <v/>
      </c>
      <c r="I248" s="10" t="str">
        <f>IF($X248="","",INDEX(Assessment!$N:$N,$X248))</f>
        <v/>
      </c>
      <c r="X248" t="str">
        <f>IF(232&lt;=$B$6,SMALL($Y$2:$Y$593,232),IF(232&lt;=$B$6+$B$7,SMALL($Z$2:$Z$593,232-$B$6),""))</f>
        <v/>
      </c>
      <c r="Y248" t="str">
        <f>IF(Assessment!$G248="Critical",ROW(Assessment!$G248),"")</f>
        <v/>
      </c>
      <c r="Z248" t="str">
        <f>IF(Assessment!$G248="High",ROW(Assessment!$G248),"")</f>
        <v/>
      </c>
    </row>
    <row r="249" spans="1:26" x14ac:dyDescent="0.25">
      <c r="A249" s="10" t="str">
        <f>IF($X249="","",233)</f>
        <v/>
      </c>
      <c r="B249" s="10" t="str">
        <f>IF($X249="","",INDEX(Assessment!$A:$A,$X249))</f>
        <v/>
      </c>
      <c r="C249" s="10" t="str">
        <f>IF($X249="","",INDEX(Assessment!$B:$B,$X249))</f>
        <v/>
      </c>
      <c r="D249" s="10" t="str">
        <f>IF($X249="","",INDEX(Assessment!$C:$C,$X249))</f>
        <v/>
      </c>
      <c r="E249" s="10" t="str">
        <f>IF($X249="","",INDEX(Assessment!$F:$F,$X249))</f>
        <v/>
      </c>
      <c r="F249" s="10" t="str">
        <f>IF($X249="","",INDEX(Assessment!$G:$G,$X249))</f>
        <v/>
      </c>
      <c r="G249" s="10" t="str">
        <f>IF($X249="","",INDEX(Assessment!$J:$J,$X249))</f>
        <v/>
      </c>
      <c r="H249" s="10" t="str">
        <f>IF($X249="","",INDEX(Assessment!$L:$L,$X249))</f>
        <v/>
      </c>
      <c r="I249" s="10" t="str">
        <f>IF($X249="","",INDEX(Assessment!$N:$N,$X249))</f>
        <v/>
      </c>
      <c r="X249" t="str">
        <f>IF(233&lt;=$B$6,SMALL($Y$2:$Y$593,233),IF(233&lt;=$B$6+$B$7,SMALL($Z$2:$Z$593,233-$B$6),""))</f>
        <v/>
      </c>
      <c r="Y249" t="str">
        <f>IF(Assessment!$G249="Critical",ROW(Assessment!$G249),"")</f>
        <v/>
      </c>
      <c r="Z249" t="str">
        <f>IF(Assessment!$G249="High",ROW(Assessment!$G249),"")</f>
        <v/>
      </c>
    </row>
    <row r="250" spans="1:26" x14ac:dyDescent="0.25">
      <c r="A250" s="10" t="str">
        <f>IF($X250="","",234)</f>
        <v/>
      </c>
      <c r="B250" s="10" t="str">
        <f>IF($X250="","",INDEX(Assessment!$A:$A,$X250))</f>
        <v/>
      </c>
      <c r="C250" s="10" t="str">
        <f>IF($X250="","",INDEX(Assessment!$B:$B,$X250))</f>
        <v/>
      </c>
      <c r="D250" s="10" t="str">
        <f>IF($X250="","",INDEX(Assessment!$C:$C,$X250))</f>
        <v/>
      </c>
      <c r="E250" s="10" t="str">
        <f>IF($X250="","",INDEX(Assessment!$F:$F,$X250))</f>
        <v/>
      </c>
      <c r="F250" s="10" t="str">
        <f>IF($X250="","",INDEX(Assessment!$G:$G,$X250))</f>
        <v/>
      </c>
      <c r="G250" s="10" t="str">
        <f>IF($X250="","",INDEX(Assessment!$J:$J,$X250))</f>
        <v/>
      </c>
      <c r="H250" s="10" t="str">
        <f>IF($X250="","",INDEX(Assessment!$L:$L,$X250))</f>
        <v/>
      </c>
      <c r="I250" s="10" t="str">
        <f>IF($X250="","",INDEX(Assessment!$N:$N,$X250))</f>
        <v/>
      </c>
      <c r="X250" t="str">
        <f>IF(234&lt;=$B$6,SMALL($Y$2:$Y$593,234),IF(234&lt;=$B$6+$B$7,SMALL($Z$2:$Z$593,234-$B$6),""))</f>
        <v/>
      </c>
      <c r="Y250" t="str">
        <f>IF(Assessment!$G250="Critical",ROW(Assessment!$G250),"")</f>
        <v/>
      </c>
      <c r="Z250" t="str">
        <f>IF(Assessment!$G250="High",ROW(Assessment!$G250),"")</f>
        <v/>
      </c>
    </row>
    <row r="251" spans="1:26" x14ac:dyDescent="0.25">
      <c r="A251" s="10" t="str">
        <f>IF($X251="","",235)</f>
        <v/>
      </c>
      <c r="B251" s="10" t="str">
        <f>IF($X251="","",INDEX(Assessment!$A:$A,$X251))</f>
        <v/>
      </c>
      <c r="C251" s="10" t="str">
        <f>IF($X251="","",INDEX(Assessment!$B:$B,$X251))</f>
        <v/>
      </c>
      <c r="D251" s="10" t="str">
        <f>IF($X251="","",INDEX(Assessment!$C:$C,$X251))</f>
        <v/>
      </c>
      <c r="E251" s="10" t="str">
        <f>IF($X251="","",INDEX(Assessment!$F:$F,$X251))</f>
        <v/>
      </c>
      <c r="F251" s="10" t="str">
        <f>IF($X251="","",INDEX(Assessment!$G:$G,$X251))</f>
        <v/>
      </c>
      <c r="G251" s="10" t="str">
        <f>IF($X251="","",INDEX(Assessment!$J:$J,$X251))</f>
        <v/>
      </c>
      <c r="H251" s="10" t="str">
        <f>IF($X251="","",INDEX(Assessment!$L:$L,$X251))</f>
        <v/>
      </c>
      <c r="I251" s="10" t="str">
        <f>IF($X251="","",INDEX(Assessment!$N:$N,$X251))</f>
        <v/>
      </c>
      <c r="X251" t="str">
        <f>IF(235&lt;=$B$6,SMALL($Y$2:$Y$593,235),IF(235&lt;=$B$6+$B$7,SMALL($Z$2:$Z$593,235-$B$6),""))</f>
        <v/>
      </c>
      <c r="Y251" t="str">
        <f>IF(Assessment!$G251="Critical",ROW(Assessment!$G251),"")</f>
        <v/>
      </c>
      <c r="Z251" t="str">
        <f>IF(Assessment!$G251="High",ROW(Assessment!$G251),"")</f>
        <v/>
      </c>
    </row>
    <row r="252" spans="1:26" x14ac:dyDescent="0.25">
      <c r="A252" s="10" t="str">
        <f>IF($X252="","",236)</f>
        <v/>
      </c>
      <c r="B252" s="10" t="str">
        <f>IF($X252="","",INDEX(Assessment!$A:$A,$X252))</f>
        <v/>
      </c>
      <c r="C252" s="10" t="str">
        <f>IF($X252="","",INDEX(Assessment!$B:$B,$X252))</f>
        <v/>
      </c>
      <c r="D252" s="10" t="str">
        <f>IF($X252="","",INDEX(Assessment!$C:$C,$X252))</f>
        <v/>
      </c>
      <c r="E252" s="10" t="str">
        <f>IF($X252="","",INDEX(Assessment!$F:$F,$X252))</f>
        <v/>
      </c>
      <c r="F252" s="10" t="str">
        <f>IF($X252="","",INDEX(Assessment!$G:$G,$X252))</f>
        <v/>
      </c>
      <c r="G252" s="10" t="str">
        <f>IF($X252="","",INDEX(Assessment!$J:$J,$X252))</f>
        <v/>
      </c>
      <c r="H252" s="10" t="str">
        <f>IF($X252="","",INDEX(Assessment!$L:$L,$X252))</f>
        <v/>
      </c>
      <c r="I252" s="10" t="str">
        <f>IF($X252="","",INDEX(Assessment!$N:$N,$X252))</f>
        <v/>
      </c>
      <c r="X252" t="str">
        <f>IF(236&lt;=$B$6,SMALL($Y$2:$Y$593,236),IF(236&lt;=$B$6+$B$7,SMALL($Z$2:$Z$593,236-$B$6),""))</f>
        <v/>
      </c>
      <c r="Y252" t="str">
        <f>IF(Assessment!$G252="Critical",ROW(Assessment!$G252),"")</f>
        <v/>
      </c>
      <c r="Z252" t="str">
        <f>IF(Assessment!$G252="High",ROW(Assessment!$G252),"")</f>
        <v/>
      </c>
    </row>
    <row r="253" spans="1:26" x14ac:dyDescent="0.25">
      <c r="A253" s="10" t="str">
        <f>IF($X253="","",237)</f>
        <v/>
      </c>
      <c r="B253" s="10" t="str">
        <f>IF($X253="","",INDEX(Assessment!$A:$A,$X253))</f>
        <v/>
      </c>
      <c r="C253" s="10" t="str">
        <f>IF($X253="","",INDEX(Assessment!$B:$B,$X253))</f>
        <v/>
      </c>
      <c r="D253" s="10" t="str">
        <f>IF($X253="","",INDEX(Assessment!$C:$C,$X253))</f>
        <v/>
      </c>
      <c r="E253" s="10" t="str">
        <f>IF($X253="","",INDEX(Assessment!$F:$F,$X253))</f>
        <v/>
      </c>
      <c r="F253" s="10" t="str">
        <f>IF($X253="","",INDEX(Assessment!$G:$G,$X253))</f>
        <v/>
      </c>
      <c r="G253" s="10" t="str">
        <f>IF($X253="","",INDEX(Assessment!$J:$J,$X253))</f>
        <v/>
      </c>
      <c r="H253" s="10" t="str">
        <f>IF($X253="","",INDEX(Assessment!$L:$L,$X253))</f>
        <v/>
      </c>
      <c r="I253" s="10" t="str">
        <f>IF($X253="","",INDEX(Assessment!$N:$N,$X253))</f>
        <v/>
      </c>
      <c r="X253" t="str">
        <f>IF(237&lt;=$B$6,SMALL($Y$2:$Y$593,237),IF(237&lt;=$B$6+$B$7,SMALL($Z$2:$Z$593,237-$B$6),""))</f>
        <v/>
      </c>
      <c r="Y253" t="str">
        <f>IF(Assessment!$G253="Critical",ROW(Assessment!$G253),"")</f>
        <v/>
      </c>
      <c r="Z253" t="str">
        <f>IF(Assessment!$G253="High",ROW(Assessment!$G253),"")</f>
        <v/>
      </c>
    </row>
    <row r="254" spans="1:26" x14ac:dyDescent="0.25">
      <c r="A254" s="10" t="str">
        <f>IF($X254="","",238)</f>
        <v/>
      </c>
      <c r="B254" s="10" t="str">
        <f>IF($X254="","",INDEX(Assessment!$A:$A,$X254))</f>
        <v/>
      </c>
      <c r="C254" s="10" t="str">
        <f>IF($X254="","",INDEX(Assessment!$B:$B,$X254))</f>
        <v/>
      </c>
      <c r="D254" s="10" t="str">
        <f>IF($X254="","",INDEX(Assessment!$C:$C,$X254))</f>
        <v/>
      </c>
      <c r="E254" s="10" t="str">
        <f>IF($X254="","",INDEX(Assessment!$F:$F,$X254))</f>
        <v/>
      </c>
      <c r="F254" s="10" t="str">
        <f>IF($X254="","",INDEX(Assessment!$G:$G,$X254))</f>
        <v/>
      </c>
      <c r="G254" s="10" t="str">
        <f>IF($X254="","",INDEX(Assessment!$J:$J,$X254))</f>
        <v/>
      </c>
      <c r="H254" s="10" t="str">
        <f>IF($X254="","",INDEX(Assessment!$L:$L,$X254))</f>
        <v/>
      </c>
      <c r="I254" s="10" t="str">
        <f>IF($X254="","",INDEX(Assessment!$N:$N,$X254))</f>
        <v/>
      </c>
      <c r="X254" t="str">
        <f>IF(238&lt;=$B$6,SMALL($Y$2:$Y$593,238),IF(238&lt;=$B$6+$B$7,SMALL($Z$2:$Z$593,238-$B$6),""))</f>
        <v/>
      </c>
      <c r="Y254" t="str">
        <f>IF(Assessment!$G254="Critical",ROW(Assessment!$G254),"")</f>
        <v/>
      </c>
      <c r="Z254" t="str">
        <f>IF(Assessment!$G254="High",ROW(Assessment!$G254),"")</f>
        <v/>
      </c>
    </row>
    <row r="255" spans="1:26" x14ac:dyDescent="0.25">
      <c r="A255" s="10" t="str">
        <f>IF($X255="","",239)</f>
        <v/>
      </c>
      <c r="B255" s="10" t="str">
        <f>IF($X255="","",INDEX(Assessment!$A:$A,$X255))</f>
        <v/>
      </c>
      <c r="C255" s="10" t="str">
        <f>IF($X255="","",INDEX(Assessment!$B:$B,$X255))</f>
        <v/>
      </c>
      <c r="D255" s="10" t="str">
        <f>IF($X255="","",INDEX(Assessment!$C:$C,$X255))</f>
        <v/>
      </c>
      <c r="E255" s="10" t="str">
        <f>IF($X255="","",INDEX(Assessment!$F:$F,$X255))</f>
        <v/>
      </c>
      <c r="F255" s="10" t="str">
        <f>IF($X255="","",INDEX(Assessment!$G:$G,$X255))</f>
        <v/>
      </c>
      <c r="G255" s="10" t="str">
        <f>IF($X255="","",INDEX(Assessment!$J:$J,$X255))</f>
        <v/>
      </c>
      <c r="H255" s="10" t="str">
        <f>IF($X255="","",INDEX(Assessment!$L:$L,$X255))</f>
        <v/>
      </c>
      <c r="I255" s="10" t="str">
        <f>IF($X255="","",INDEX(Assessment!$N:$N,$X255))</f>
        <v/>
      </c>
      <c r="X255" t="str">
        <f>IF(239&lt;=$B$6,SMALL($Y$2:$Y$593,239),IF(239&lt;=$B$6+$B$7,SMALL($Z$2:$Z$593,239-$B$6),""))</f>
        <v/>
      </c>
      <c r="Y255" t="str">
        <f>IF(Assessment!$G255="Critical",ROW(Assessment!$G255),"")</f>
        <v/>
      </c>
      <c r="Z255" t="str">
        <f>IF(Assessment!$G255="High",ROW(Assessment!$G255),"")</f>
        <v/>
      </c>
    </row>
    <row r="256" spans="1:26" x14ac:dyDescent="0.25">
      <c r="A256" s="10" t="str">
        <f>IF($X256="","",240)</f>
        <v/>
      </c>
      <c r="B256" s="10" t="str">
        <f>IF($X256="","",INDEX(Assessment!$A:$A,$X256))</f>
        <v/>
      </c>
      <c r="C256" s="10" t="str">
        <f>IF($X256="","",INDEX(Assessment!$B:$B,$X256))</f>
        <v/>
      </c>
      <c r="D256" s="10" t="str">
        <f>IF($X256="","",INDEX(Assessment!$C:$C,$X256))</f>
        <v/>
      </c>
      <c r="E256" s="10" t="str">
        <f>IF($X256="","",INDEX(Assessment!$F:$F,$X256))</f>
        <v/>
      </c>
      <c r="F256" s="10" t="str">
        <f>IF($X256="","",INDEX(Assessment!$G:$G,$X256))</f>
        <v/>
      </c>
      <c r="G256" s="10" t="str">
        <f>IF($X256="","",INDEX(Assessment!$J:$J,$X256))</f>
        <v/>
      </c>
      <c r="H256" s="10" t="str">
        <f>IF($X256="","",INDEX(Assessment!$L:$L,$X256))</f>
        <v/>
      </c>
      <c r="I256" s="10" t="str">
        <f>IF($X256="","",INDEX(Assessment!$N:$N,$X256))</f>
        <v/>
      </c>
      <c r="X256" t="str">
        <f>IF(240&lt;=$B$6,SMALL($Y$2:$Y$593,240),IF(240&lt;=$B$6+$B$7,SMALL($Z$2:$Z$593,240-$B$6),""))</f>
        <v/>
      </c>
      <c r="Y256" t="str">
        <f>IF(Assessment!$G256="Critical",ROW(Assessment!$G256),"")</f>
        <v/>
      </c>
      <c r="Z256" t="str">
        <f>IF(Assessment!$G256="High",ROW(Assessment!$G256),"")</f>
        <v/>
      </c>
    </row>
    <row r="257" spans="1:26" x14ac:dyDescent="0.25">
      <c r="A257" s="10" t="str">
        <f>IF($X257="","",241)</f>
        <v/>
      </c>
      <c r="B257" s="10" t="str">
        <f>IF($X257="","",INDEX(Assessment!$A:$A,$X257))</f>
        <v/>
      </c>
      <c r="C257" s="10" t="str">
        <f>IF($X257="","",INDEX(Assessment!$B:$B,$X257))</f>
        <v/>
      </c>
      <c r="D257" s="10" t="str">
        <f>IF($X257="","",INDEX(Assessment!$C:$C,$X257))</f>
        <v/>
      </c>
      <c r="E257" s="10" t="str">
        <f>IF($X257="","",INDEX(Assessment!$F:$F,$X257))</f>
        <v/>
      </c>
      <c r="F257" s="10" t="str">
        <f>IF($X257="","",INDEX(Assessment!$G:$G,$X257))</f>
        <v/>
      </c>
      <c r="G257" s="10" t="str">
        <f>IF($X257="","",INDEX(Assessment!$J:$J,$X257))</f>
        <v/>
      </c>
      <c r="H257" s="10" t="str">
        <f>IF($X257="","",INDEX(Assessment!$L:$L,$X257))</f>
        <v/>
      </c>
      <c r="I257" s="10" t="str">
        <f>IF($X257="","",INDEX(Assessment!$N:$N,$X257))</f>
        <v/>
      </c>
      <c r="X257" t="str">
        <f>IF(241&lt;=$B$6,SMALL($Y$2:$Y$593,241),IF(241&lt;=$B$6+$B$7,SMALL($Z$2:$Z$593,241-$B$6),""))</f>
        <v/>
      </c>
      <c r="Y257">
        <f>IF(Assessment!$G257="Critical",ROW(Assessment!$G257),"")</f>
        <v>257</v>
      </c>
      <c r="Z257" t="str">
        <f>IF(Assessment!$G257="High",ROW(Assessment!$G257),"")</f>
        <v/>
      </c>
    </row>
    <row r="258" spans="1:26" x14ac:dyDescent="0.25">
      <c r="A258" s="10" t="str">
        <f>IF($X258="","",242)</f>
        <v/>
      </c>
      <c r="B258" s="10" t="str">
        <f>IF($X258="","",INDEX(Assessment!$A:$A,$X258))</f>
        <v/>
      </c>
      <c r="C258" s="10" t="str">
        <f>IF($X258="","",INDEX(Assessment!$B:$B,$X258))</f>
        <v/>
      </c>
      <c r="D258" s="10" t="str">
        <f>IF($X258="","",INDEX(Assessment!$C:$C,$X258))</f>
        <v/>
      </c>
      <c r="E258" s="10" t="str">
        <f>IF($X258="","",INDEX(Assessment!$F:$F,$X258))</f>
        <v/>
      </c>
      <c r="F258" s="10" t="str">
        <f>IF($X258="","",INDEX(Assessment!$G:$G,$X258))</f>
        <v/>
      </c>
      <c r="G258" s="10" t="str">
        <f>IF($X258="","",INDEX(Assessment!$J:$J,$X258))</f>
        <v/>
      </c>
      <c r="H258" s="10" t="str">
        <f>IF($X258="","",INDEX(Assessment!$L:$L,$X258))</f>
        <v/>
      </c>
      <c r="I258" s="10" t="str">
        <f>IF($X258="","",INDEX(Assessment!$N:$N,$X258))</f>
        <v/>
      </c>
      <c r="X258" t="str">
        <f>IF(242&lt;=$B$6,SMALL($Y$2:$Y$593,242),IF(242&lt;=$B$6+$B$7,SMALL($Z$2:$Z$593,242-$B$6),""))</f>
        <v/>
      </c>
      <c r="Y258" t="str">
        <f>IF(Assessment!$G258="Critical",ROW(Assessment!$G258),"")</f>
        <v/>
      </c>
      <c r="Z258">
        <f>IF(Assessment!$G258="High",ROW(Assessment!$G258),"")</f>
        <v>258</v>
      </c>
    </row>
    <row r="259" spans="1:26" x14ac:dyDescent="0.25">
      <c r="A259" s="10" t="str">
        <f>IF($X259="","",243)</f>
        <v/>
      </c>
      <c r="B259" s="10" t="str">
        <f>IF($X259="","",INDEX(Assessment!$A:$A,$X259))</f>
        <v/>
      </c>
      <c r="C259" s="10" t="str">
        <f>IF($X259="","",INDEX(Assessment!$B:$B,$X259))</f>
        <v/>
      </c>
      <c r="D259" s="10" t="str">
        <f>IF($X259="","",INDEX(Assessment!$C:$C,$X259))</f>
        <v/>
      </c>
      <c r="E259" s="10" t="str">
        <f>IF($X259="","",INDEX(Assessment!$F:$F,$X259))</f>
        <v/>
      </c>
      <c r="F259" s="10" t="str">
        <f>IF($X259="","",INDEX(Assessment!$G:$G,$X259))</f>
        <v/>
      </c>
      <c r="G259" s="10" t="str">
        <f>IF($X259="","",INDEX(Assessment!$J:$J,$X259))</f>
        <v/>
      </c>
      <c r="H259" s="10" t="str">
        <f>IF($X259="","",INDEX(Assessment!$L:$L,$X259))</f>
        <v/>
      </c>
      <c r="I259" s="10" t="str">
        <f>IF($X259="","",INDEX(Assessment!$N:$N,$X259))</f>
        <v/>
      </c>
      <c r="X259" t="str">
        <f>IF(243&lt;=$B$6,SMALL($Y$2:$Y$593,243),IF(243&lt;=$B$6+$B$7,SMALL($Z$2:$Z$593,243-$B$6),""))</f>
        <v/>
      </c>
      <c r="Y259">
        <f>IF(Assessment!$G259="Critical",ROW(Assessment!$G259),"")</f>
        <v>259</v>
      </c>
      <c r="Z259" t="str">
        <f>IF(Assessment!$G259="High",ROW(Assessment!$G259),"")</f>
        <v/>
      </c>
    </row>
    <row r="260" spans="1:26" x14ac:dyDescent="0.25">
      <c r="A260" s="10" t="str">
        <f>IF($X260="","",244)</f>
        <v/>
      </c>
      <c r="B260" s="10" t="str">
        <f>IF($X260="","",INDEX(Assessment!$A:$A,$X260))</f>
        <v/>
      </c>
      <c r="C260" s="10" t="str">
        <f>IF($X260="","",INDEX(Assessment!$B:$B,$X260))</f>
        <v/>
      </c>
      <c r="D260" s="10" t="str">
        <f>IF($X260="","",INDEX(Assessment!$C:$C,$X260))</f>
        <v/>
      </c>
      <c r="E260" s="10" t="str">
        <f>IF($X260="","",INDEX(Assessment!$F:$F,$X260))</f>
        <v/>
      </c>
      <c r="F260" s="10" t="str">
        <f>IF($X260="","",INDEX(Assessment!$G:$G,$X260))</f>
        <v/>
      </c>
      <c r="G260" s="10" t="str">
        <f>IF($X260="","",INDEX(Assessment!$J:$J,$X260))</f>
        <v/>
      </c>
      <c r="H260" s="10" t="str">
        <f>IF($X260="","",INDEX(Assessment!$L:$L,$X260))</f>
        <v/>
      </c>
      <c r="I260" s="10" t="str">
        <f>IF($X260="","",INDEX(Assessment!$N:$N,$X260))</f>
        <v/>
      </c>
      <c r="X260" t="str">
        <f>IF(244&lt;=$B$6,SMALL($Y$2:$Y$593,244),IF(244&lt;=$B$6+$B$7,SMALL($Z$2:$Z$593,244-$B$6),""))</f>
        <v/>
      </c>
      <c r="Y260" t="str">
        <f>IF(Assessment!$G260="Critical",ROW(Assessment!$G260),"")</f>
        <v/>
      </c>
      <c r="Z260">
        <f>IF(Assessment!$G260="High",ROW(Assessment!$G260),"")</f>
        <v>260</v>
      </c>
    </row>
    <row r="261" spans="1:26" x14ac:dyDescent="0.25">
      <c r="A261" s="10" t="str">
        <f>IF($X261="","",245)</f>
        <v/>
      </c>
      <c r="B261" s="10" t="str">
        <f>IF($X261="","",INDEX(Assessment!$A:$A,$X261))</f>
        <v/>
      </c>
      <c r="C261" s="10" t="str">
        <f>IF($X261="","",INDEX(Assessment!$B:$B,$X261))</f>
        <v/>
      </c>
      <c r="D261" s="10" t="str">
        <f>IF($X261="","",INDEX(Assessment!$C:$C,$X261))</f>
        <v/>
      </c>
      <c r="E261" s="10" t="str">
        <f>IF($X261="","",INDEX(Assessment!$F:$F,$X261))</f>
        <v/>
      </c>
      <c r="F261" s="10" t="str">
        <f>IF($X261="","",INDEX(Assessment!$G:$G,$X261))</f>
        <v/>
      </c>
      <c r="G261" s="10" t="str">
        <f>IF($X261="","",INDEX(Assessment!$J:$J,$X261))</f>
        <v/>
      </c>
      <c r="H261" s="10" t="str">
        <f>IF($X261="","",INDEX(Assessment!$L:$L,$X261))</f>
        <v/>
      </c>
      <c r="I261" s="10" t="str">
        <f>IF($X261="","",INDEX(Assessment!$N:$N,$X261))</f>
        <v/>
      </c>
      <c r="X261" t="str">
        <f>IF(245&lt;=$B$6,SMALL($Y$2:$Y$593,245),IF(245&lt;=$B$6+$B$7,SMALL($Z$2:$Z$593,245-$B$6),""))</f>
        <v/>
      </c>
      <c r="Y261" t="str">
        <f>IF(Assessment!$G261="Critical",ROW(Assessment!$G261),"")</f>
        <v/>
      </c>
      <c r="Z261" t="str">
        <f>IF(Assessment!$G261="High",ROW(Assessment!$G261),"")</f>
        <v/>
      </c>
    </row>
    <row r="262" spans="1:26" x14ac:dyDescent="0.25">
      <c r="A262" s="10" t="str">
        <f>IF($X262="","",246)</f>
        <v/>
      </c>
      <c r="B262" s="10" t="str">
        <f>IF($X262="","",INDEX(Assessment!$A:$A,$X262))</f>
        <v/>
      </c>
      <c r="C262" s="10" t="str">
        <f>IF($X262="","",INDEX(Assessment!$B:$B,$X262))</f>
        <v/>
      </c>
      <c r="D262" s="10" t="str">
        <f>IF($X262="","",INDEX(Assessment!$C:$C,$X262))</f>
        <v/>
      </c>
      <c r="E262" s="10" t="str">
        <f>IF($X262="","",INDEX(Assessment!$F:$F,$X262))</f>
        <v/>
      </c>
      <c r="F262" s="10" t="str">
        <f>IF($X262="","",INDEX(Assessment!$G:$G,$X262))</f>
        <v/>
      </c>
      <c r="G262" s="10" t="str">
        <f>IF($X262="","",INDEX(Assessment!$J:$J,$X262))</f>
        <v/>
      </c>
      <c r="H262" s="10" t="str">
        <f>IF($X262="","",INDEX(Assessment!$L:$L,$X262))</f>
        <v/>
      </c>
      <c r="I262" s="10" t="str">
        <f>IF($X262="","",INDEX(Assessment!$N:$N,$X262))</f>
        <v/>
      </c>
      <c r="X262" t="str">
        <f>IF(246&lt;=$B$6,SMALL($Y$2:$Y$593,246),IF(246&lt;=$B$6+$B$7,SMALL($Z$2:$Z$593,246-$B$6),""))</f>
        <v/>
      </c>
      <c r="Y262">
        <f>IF(Assessment!$G262="Critical",ROW(Assessment!$G262),"")</f>
        <v>262</v>
      </c>
      <c r="Z262" t="str">
        <f>IF(Assessment!$G262="High",ROW(Assessment!$G262),"")</f>
        <v/>
      </c>
    </row>
    <row r="263" spans="1:26" x14ac:dyDescent="0.25">
      <c r="A263" s="10" t="str">
        <f>IF($X263="","",247)</f>
        <v/>
      </c>
      <c r="B263" s="10" t="str">
        <f>IF($X263="","",INDEX(Assessment!$A:$A,$X263))</f>
        <v/>
      </c>
      <c r="C263" s="10" t="str">
        <f>IF($X263="","",INDEX(Assessment!$B:$B,$X263))</f>
        <v/>
      </c>
      <c r="D263" s="10" t="str">
        <f>IF($X263="","",INDEX(Assessment!$C:$C,$X263))</f>
        <v/>
      </c>
      <c r="E263" s="10" t="str">
        <f>IF($X263="","",INDEX(Assessment!$F:$F,$X263))</f>
        <v/>
      </c>
      <c r="F263" s="10" t="str">
        <f>IF($X263="","",INDEX(Assessment!$G:$G,$X263))</f>
        <v/>
      </c>
      <c r="G263" s="10" t="str">
        <f>IF($X263="","",INDEX(Assessment!$J:$J,$X263))</f>
        <v/>
      </c>
      <c r="H263" s="10" t="str">
        <f>IF($X263="","",INDEX(Assessment!$L:$L,$X263))</f>
        <v/>
      </c>
      <c r="I263" s="10" t="str">
        <f>IF($X263="","",INDEX(Assessment!$N:$N,$X263))</f>
        <v/>
      </c>
      <c r="X263" t="str">
        <f>IF(247&lt;=$B$6,SMALL($Y$2:$Y$593,247),IF(247&lt;=$B$6+$B$7,SMALL($Z$2:$Z$593,247-$B$6),""))</f>
        <v/>
      </c>
      <c r="Y263" t="str">
        <f>IF(Assessment!$G263="Critical",ROW(Assessment!$G263),"")</f>
        <v/>
      </c>
      <c r="Z263" t="str">
        <f>IF(Assessment!$G263="High",ROW(Assessment!$G263),"")</f>
        <v/>
      </c>
    </row>
    <row r="264" spans="1:26" x14ac:dyDescent="0.25">
      <c r="A264" s="10" t="str">
        <f>IF($X264="","",248)</f>
        <v/>
      </c>
      <c r="B264" s="10" t="str">
        <f>IF($X264="","",INDEX(Assessment!$A:$A,$X264))</f>
        <v/>
      </c>
      <c r="C264" s="10" t="str">
        <f>IF($X264="","",INDEX(Assessment!$B:$B,$X264))</f>
        <v/>
      </c>
      <c r="D264" s="10" t="str">
        <f>IF($X264="","",INDEX(Assessment!$C:$C,$X264))</f>
        <v/>
      </c>
      <c r="E264" s="10" t="str">
        <f>IF($X264="","",INDEX(Assessment!$F:$F,$X264))</f>
        <v/>
      </c>
      <c r="F264" s="10" t="str">
        <f>IF($X264="","",INDEX(Assessment!$G:$G,$X264))</f>
        <v/>
      </c>
      <c r="G264" s="10" t="str">
        <f>IF($X264="","",INDEX(Assessment!$J:$J,$X264))</f>
        <v/>
      </c>
      <c r="H264" s="10" t="str">
        <f>IF($X264="","",INDEX(Assessment!$L:$L,$X264))</f>
        <v/>
      </c>
      <c r="I264" s="10" t="str">
        <f>IF($X264="","",INDEX(Assessment!$N:$N,$X264))</f>
        <v/>
      </c>
      <c r="X264" t="str">
        <f>IF(248&lt;=$B$6,SMALL($Y$2:$Y$593,248),IF(248&lt;=$B$6+$B$7,SMALL($Z$2:$Z$593,248-$B$6),""))</f>
        <v/>
      </c>
      <c r="Y264">
        <f>IF(Assessment!$G264="Critical",ROW(Assessment!$G264),"")</f>
        <v>264</v>
      </c>
      <c r="Z264" t="str">
        <f>IF(Assessment!$G264="High",ROW(Assessment!$G264),"")</f>
        <v/>
      </c>
    </row>
    <row r="265" spans="1:26" x14ac:dyDescent="0.25">
      <c r="A265" s="10" t="str">
        <f>IF($X265="","",249)</f>
        <v/>
      </c>
      <c r="B265" s="10" t="str">
        <f>IF($X265="","",INDEX(Assessment!$A:$A,$X265))</f>
        <v/>
      </c>
      <c r="C265" s="10" t="str">
        <f>IF($X265="","",INDEX(Assessment!$B:$B,$X265))</f>
        <v/>
      </c>
      <c r="D265" s="10" t="str">
        <f>IF($X265="","",INDEX(Assessment!$C:$C,$X265))</f>
        <v/>
      </c>
      <c r="E265" s="10" t="str">
        <f>IF($X265="","",INDEX(Assessment!$F:$F,$X265))</f>
        <v/>
      </c>
      <c r="F265" s="10" t="str">
        <f>IF($X265="","",INDEX(Assessment!$G:$G,$X265))</f>
        <v/>
      </c>
      <c r="G265" s="10" t="str">
        <f>IF($X265="","",INDEX(Assessment!$J:$J,$X265))</f>
        <v/>
      </c>
      <c r="H265" s="10" t="str">
        <f>IF($X265="","",INDEX(Assessment!$L:$L,$X265))</f>
        <v/>
      </c>
      <c r="I265" s="10" t="str">
        <f>IF($X265="","",INDEX(Assessment!$N:$N,$X265))</f>
        <v/>
      </c>
      <c r="X265" t="str">
        <f>IF(249&lt;=$B$6,SMALL($Y$2:$Y$593,249),IF(249&lt;=$B$6+$B$7,SMALL($Z$2:$Z$593,249-$B$6),""))</f>
        <v/>
      </c>
      <c r="Y265" t="str">
        <f>IF(Assessment!$G265="Critical",ROW(Assessment!$G265),"")</f>
        <v/>
      </c>
      <c r="Z265">
        <f>IF(Assessment!$G265="High",ROW(Assessment!$G265),"")</f>
        <v>265</v>
      </c>
    </row>
    <row r="266" spans="1:26" x14ac:dyDescent="0.25">
      <c r="A266" s="10" t="str">
        <f>IF($X266="","",250)</f>
        <v/>
      </c>
      <c r="B266" s="10" t="str">
        <f>IF($X266="","",INDEX(Assessment!$A:$A,$X266))</f>
        <v/>
      </c>
      <c r="C266" s="10" t="str">
        <f>IF($X266="","",INDEX(Assessment!$B:$B,$X266))</f>
        <v/>
      </c>
      <c r="D266" s="10" t="str">
        <f>IF($X266="","",INDEX(Assessment!$C:$C,$X266))</f>
        <v/>
      </c>
      <c r="E266" s="10" t="str">
        <f>IF($X266="","",INDEX(Assessment!$F:$F,$X266))</f>
        <v/>
      </c>
      <c r="F266" s="10" t="str">
        <f>IF($X266="","",INDEX(Assessment!$G:$G,$X266))</f>
        <v/>
      </c>
      <c r="G266" s="10" t="str">
        <f>IF($X266="","",INDEX(Assessment!$J:$J,$X266))</f>
        <v/>
      </c>
      <c r="H266" s="10" t="str">
        <f>IF($X266="","",INDEX(Assessment!$L:$L,$X266))</f>
        <v/>
      </c>
      <c r="I266" s="10" t="str">
        <f>IF($X266="","",INDEX(Assessment!$N:$N,$X266))</f>
        <v/>
      </c>
      <c r="X266" t="str">
        <f>IF(250&lt;=$B$6,SMALL($Y$2:$Y$593,250),IF(250&lt;=$B$6+$B$7,SMALL($Z$2:$Z$593,250-$B$6),""))</f>
        <v/>
      </c>
      <c r="Y266">
        <f>IF(Assessment!$G266="Critical",ROW(Assessment!$G266),"")</f>
        <v>266</v>
      </c>
      <c r="Z266" t="str">
        <f>IF(Assessment!$G266="High",ROW(Assessment!$G266),"")</f>
        <v/>
      </c>
    </row>
    <row r="267" spans="1:26" x14ac:dyDescent="0.25">
      <c r="A267" s="10" t="str">
        <f>IF($X267="","",251)</f>
        <v/>
      </c>
      <c r="B267" s="10" t="str">
        <f>IF($X267="","",INDEX(Assessment!$A:$A,$X267))</f>
        <v/>
      </c>
      <c r="C267" s="10" t="str">
        <f>IF($X267="","",INDEX(Assessment!$B:$B,$X267))</f>
        <v/>
      </c>
      <c r="D267" s="10" t="str">
        <f>IF($X267="","",INDEX(Assessment!$C:$C,$X267))</f>
        <v/>
      </c>
      <c r="E267" s="10" t="str">
        <f>IF($X267="","",INDEX(Assessment!$F:$F,$X267))</f>
        <v/>
      </c>
      <c r="F267" s="10" t="str">
        <f>IF($X267="","",INDEX(Assessment!$G:$G,$X267))</f>
        <v/>
      </c>
      <c r="G267" s="10" t="str">
        <f>IF($X267="","",INDEX(Assessment!$J:$J,$X267))</f>
        <v/>
      </c>
      <c r="H267" s="10" t="str">
        <f>IF($X267="","",INDEX(Assessment!$L:$L,$X267))</f>
        <v/>
      </c>
      <c r="I267" s="10" t="str">
        <f>IF($X267="","",INDEX(Assessment!$N:$N,$X267))</f>
        <v/>
      </c>
      <c r="X267" t="str">
        <f>IF(251&lt;=$B$6,SMALL($Y$2:$Y$593,251),IF(251&lt;=$B$6+$B$7,SMALL($Z$2:$Z$593,251-$B$6),""))</f>
        <v/>
      </c>
      <c r="Y267">
        <f>IF(Assessment!$G267="Critical",ROW(Assessment!$G267),"")</f>
        <v>267</v>
      </c>
      <c r="Z267" t="str">
        <f>IF(Assessment!$G267="High",ROW(Assessment!$G267),"")</f>
        <v/>
      </c>
    </row>
    <row r="268" spans="1:26" x14ac:dyDescent="0.25">
      <c r="A268" s="10" t="str">
        <f>IF($X268="","",252)</f>
        <v/>
      </c>
      <c r="B268" s="10" t="str">
        <f>IF($X268="","",INDEX(Assessment!$A:$A,$X268))</f>
        <v/>
      </c>
      <c r="C268" s="10" t="str">
        <f>IF($X268="","",INDEX(Assessment!$B:$B,$X268))</f>
        <v/>
      </c>
      <c r="D268" s="10" t="str">
        <f>IF($X268="","",INDEX(Assessment!$C:$C,$X268))</f>
        <v/>
      </c>
      <c r="E268" s="10" t="str">
        <f>IF($X268="","",INDEX(Assessment!$F:$F,$X268))</f>
        <v/>
      </c>
      <c r="F268" s="10" t="str">
        <f>IF($X268="","",INDEX(Assessment!$G:$G,$X268))</f>
        <v/>
      </c>
      <c r="G268" s="10" t="str">
        <f>IF($X268="","",INDEX(Assessment!$J:$J,$X268))</f>
        <v/>
      </c>
      <c r="H268" s="10" t="str">
        <f>IF($X268="","",INDEX(Assessment!$L:$L,$X268))</f>
        <v/>
      </c>
      <c r="I268" s="10" t="str">
        <f>IF($X268="","",INDEX(Assessment!$N:$N,$X268))</f>
        <v/>
      </c>
      <c r="X268" t="str">
        <f>IF(252&lt;=$B$6,SMALL($Y$2:$Y$593,252),IF(252&lt;=$B$6+$B$7,SMALL($Z$2:$Z$593,252-$B$6),""))</f>
        <v/>
      </c>
      <c r="Y268" t="str">
        <f>IF(Assessment!$G268="Critical",ROW(Assessment!$G268),"")</f>
        <v/>
      </c>
      <c r="Z268" t="str">
        <f>IF(Assessment!$G268="High",ROW(Assessment!$G268),"")</f>
        <v/>
      </c>
    </row>
    <row r="269" spans="1:26" x14ac:dyDescent="0.25">
      <c r="A269" s="10" t="str">
        <f>IF($X269="","",253)</f>
        <v/>
      </c>
      <c r="B269" s="10" t="str">
        <f>IF($X269="","",INDEX(Assessment!$A:$A,$X269))</f>
        <v/>
      </c>
      <c r="C269" s="10" t="str">
        <f>IF($X269="","",INDEX(Assessment!$B:$B,$X269))</f>
        <v/>
      </c>
      <c r="D269" s="10" t="str">
        <f>IF($X269="","",INDEX(Assessment!$C:$C,$X269))</f>
        <v/>
      </c>
      <c r="E269" s="10" t="str">
        <f>IF($X269="","",INDEX(Assessment!$F:$F,$X269))</f>
        <v/>
      </c>
      <c r="F269" s="10" t="str">
        <f>IF($X269="","",INDEX(Assessment!$G:$G,$X269))</f>
        <v/>
      </c>
      <c r="G269" s="10" t="str">
        <f>IF($X269="","",INDEX(Assessment!$J:$J,$X269))</f>
        <v/>
      </c>
      <c r="H269" s="10" t="str">
        <f>IF($X269="","",INDEX(Assessment!$L:$L,$X269))</f>
        <v/>
      </c>
      <c r="I269" s="10" t="str">
        <f>IF($X269="","",INDEX(Assessment!$N:$N,$X269))</f>
        <v/>
      </c>
      <c r="X269" t="str">
        <f>IF(253&lt;=$B$6,SMALL($Y$2:$Y$593,253),IF(253&lt;=$B$6+$B$7,SMALL($Z$2:$Z$593,253-$B$6),""))</f>
        <v/>
      </c>
      <c r="Y269">
        <f>IF(Assessment!$G269="Critical",ROW(Assessment!$G269),"")</f>
        <v>269</v>
      </c>
      <c r="Z269" t="str">
        <f>IF(Assessment!$G269="High",ROW(Assessment!$G269),"")</f>
        <v/>
      </c>
    </row>
    <row r="270" spans="1:26" x14ac:dyDescent="0.25">
      <c r="A270" s="10" t="str">
        <f>IF($X270="","",254)</f>
        <v/>
      </c>
      <c r="B270" s="10" t="str">
        <f>IF($X270="","",INDEX(Assessment!$A:$A,$X270))</f>
        <v/>
      </c>
      <c r="C270" s="10" t="str">
        <f>IF($X270="","",INDEX(Assessment!$B:$B,$X270))</f>
        <v/>
      </c>
      <c r="D270" s="10" t="str">
        <f>IF($X270="","",INDEX(Assessment!$C:$C,$X270))</f>
        <v/>
      </c>
      <c r="E270" s="10" t="str">
        <f>IF($X270="","",INDEX(Assessment!$F:$F,$X270))</f>
        <v/>
      </c>
      <c r="F270" s="10" t="str">
        <f>IF($X270="","",INDEX(Assessment!$G:$G,$X270))</f>
        <v/>
      </c>
      <c r="G270" s="10" t="str">
        <f>IF($X270="","",INDEX(Assessment!$J:$J,$X270))</f>
        <v/>
      </c>
      <c r="H270" s="10" t="str">
        <f>IF($X270="","",INDEX(Assessment!$L:$L,$X270))</f>
        <v/>
      </c>
      <c r="I270" s="10" t="str">
        <f>IF($X270="","",INDEX(Assessment!$N:$N,$X270))</f>
        <v/>
      </c>
      <c r="X270" t="str">
        <f>IF(254&lt;=$B$6,SMALL($Y$2:$Y$593,254),IF(254&lt;=$B$6+$B$7,SMALL($Z$2:$Z$593,254-$B$6),""))</f>
        <v/>
      </c>
      <c r="Y270" t="str">
        <f>IF(Assessment!$G270="Critical",ROW(Assessment!$G270),"")</f>
        <v/>
      </c>
      <c r="Z270">
        <f>IF(Assessment!$G270="High",ROW(Assessment!$G270),"")</f>
        <v>270</v>
      </c>
    </row>
    <row r="271" spans="1:26" x14ac:dyDescent="0.25">
      <c r="A271" s="10" t="str">
        <f>IF($X271="","",255)</f>
        <v/>
      </c>
      <c r="B271" s="10" t="str">
        <f>IF($X271="","",INDEX(Assessment!$A:$A,$X271))</f>
        <v/>
      </c>
      <c r="C271" s="10" t="str">
        <f>IF($X271="","",INDEX(Assessment!$B:$B,$X271))</f>
        <v/>
      </c>
      <c r="D271" s="10" t="str">
        <f>IF($X271="","",INDEX(Assessment!$C:$C,$X271))</f>
        <v/>
      </c>
      <c r="E271" s="10" t="str">
        <f>IF($X271="","",INDEX(Assessment!$F:$F,$X271))</f>
        <v/>
      </c>
      <c r="F271" s="10" t="str">
        <f>IF($X271="","",INDEX(Assessment!$G:$G,$X271))</f>
        <v/>
      </c>
      <c r="G271" s="10" t="str">
        <f>IF($X271="","",INDEX(Assessment!$J:$J,$X271))</f>
        <v/>
      </c>
      <c r="H271" s="10" t="str">
        <f>IF($X271="","",INDEX(Assessment!$L:$L,$X271))</f>
        <v/>
      </c>
      <c r="I271" s="10" t="str">
        <f>IF($X271="","",INDEX(Assessment!$N:$N,$X271))</f>
        <v/>
      </c>
      <c r="X271" t="str">
        <f>IF(255&lt;=$B$6,SMALL($Y$2:$Y$593,255),IF(255&lt;=$B$6+$B$7,SMALL($Z$2:$Z$593,255-$B$6),""))</f>
        <v/>
      </c>
      <c r="Y271" t="str">
        <f>IF(Assessment!$G271="Critical",ROW(Assessment!$G271),"")</f>
        <v/>
      </c>
      <c r="Z271">
        <f>IF(Assessment!$G271="High",ROW(Assessment!$G271),"")</f>
        <v>271</v>
      </c>
    </row>
    <row r="272" spans="1:26" x14ac:dyDescent="0.25">
      <c r="A272" s="10" t="str">
        <f>IF($X272="","",256)</f>
        <v/>
      </c>
      <c r="B272" s="10" t="str">
        <f>IF($X272="","",INDEX(Assessment!$A:$A,$X272))</f>
        <v/>
      </c>
      <c r="C272" s="10" t="str">
        <f>IF($X272="","",INDEX(Assessment!$B:$B,$X272))</f>
        <v/>
      </c>
      <c r="D272" s="10" t="str">
        <f>IF($X272="","",INDEX(Assessment!$C:$C,$X272))</f>
        <v/>
      </c>
      <c r="E272" s="10" t="str">
        <f>IF($X272="","",INDEX(Assessment!$F:$F,$X272))</f>
        <v/>
      </c>
      <c r="F272" s="10" t="str">
        <f>IF($X272="","",INDEX(Assessment!$G:$G,$X272))</f>
        <v/>
      </c>
      <c r="G272" s="10" t="str">
        <f>IF($X272="","",INDEX(Assessment!$J:$J,$X272))</f>
        <v/>
      </c>
      <c r="H272" s="10" t="str">
        <f>IF($X272="","",INDEX(Assessment!$L:$L,$X272))</f>
        <v/>
      </c>
      <c r="I272" s="10" t="str">
        <f>IF($X272="","",INDEX(Assessment!$N:$N,$X272))</f>
        <v/>
      </c>
      <c r="X272" t="str">
        <f>IF(256&lt;=$B$6,SMALL($Y$2:$Y$593,256),IF(256&lt;=$B$6+$B$7,SMALL($Z$2:$Z$593,256-$B$6),""))</f>
        <v/>
      </c>
      <c r="Y272" t="str">
        <f>IF(Assessment!$G272="Critical",ROW(Assessment!$G272),"")</f>
        <v/>
      </c>
      <c r="Z272" t="str">
        <f>IF(Assessment!$G272="High",ROW(Assessment!$G272),"")</f>
        <v/>
      </c>
    </row>
    <row r="273" spans="1:26" x14ac:dyDescent="0.25">
      <c r="A273" s="10" t="str">
        <f>IF($X273="","",257)</f>
        <v/>
      </c>
      <c r="B273" s="10" t="str">
        <f>IF($X273="","",INDEX(Assessment!$A:$A,$X273))</f>
        <v/>
      </c>
      <c r="C273" s="10" t="str">
        <f>IF($X273="","",INDEX(Assessment!$B:$B,$X273))</f>
        <v/>
      </c>
      <c r="D273" s="10" t="str">
        <f>IF($X273="","",INDEX(Assessment!$C:$C,$X273))</f>
        <v/>
      </c>
      <c r="E273" s="10" t="str">
        <f>IF($X273="","",INDEX(Assessment!$F:$F,$X273))</f>
        <v/>
      </c>
      <c r="F273" s="10" t="str">
        <f>IF($X273="","",INDEX(Assessment!$G:$G,$X273))</f>
        <v/>
      </c>
      <c r="G273" s="10" t="str">
        <f>IF($X273="","",INDEX(Assessment!$J:$J,$X273))</f>
        <v/>
      </c>
      <c r="H273" s="10" t="str">
        <f>IF($X273="","",INDEX(Assessment!$L:$L,$X273))</f>
        <v/>
      </c>
      <c r="I273" s="10" t="str">
        <f>IF($X273="","",INDEX(Assessment!$N:$N,$X273))</f>
        <v/>
      </c>
      <c r="X273" t="str">
        <f>IF(257&lt;=$B$6,SMALL($Y$2:$Y$593,257),IF(257&lt;=$B$6+$B$7,SMALL($Z$2:$Z$593,257-$B$6),""))</f>
        <v/>
      </c>
      <c r="Y273" t="str">
        <f>IF(Assessment!$G273="Critical",ROW(Assessment!$G273),"")</f>
        <v/>
      </c>
      <c r="Z273" t="str">
        <f>IF(Assessment!$G273="High",ROW(Assessment!$G273),"")</f>
        <v/>
      </c>
    </row>
    <row r="274" spans="1:26" x14ac:dyDescent="0.25">
      <c r="A274" s="10" t="str">
        <f>IF($X274="","",258)</f>
        <v/>
      </c>
      <c r="B274" s="10" t="str">
        <f>IF($X274="","",INDEX(Assessment!$A:$A,$X274))</f>
        <v/>
      </c>
      <c r="C274" s="10" t="str">
        <f>IF($X274="","",INDEX(Assessment!$B:$B,$X274))</f>
        <v/>
      </c>
      <c r="D274" s="10" t="str">
        <f>IF($X274="","",INDEX(Assessment!$C:$C,$X274))</f>
        <v/>
      </c>
      <c r="E274" s="10" t="str">
        <f>IF($X274="","",INDEX(Assessment!$F:$F,$X274))</f>
        <v/>
      </c>
      <c r="F274" s="10" t="str">
        <f>IF($X274="","",INDEX(Assessment!$G:$G,$X274))</f>
        <v/>
      </c>
      <c r="G274" s="10" t="str">
        <f>IF($X274="","",INDEX(Assessment!$J:$J,$X274))</f>
        <v/>
      </c>
      <c r="H274" s="10" t="str">
        <f>IF($X274="","",INDEX(Assessment!$L:$L,$X274))</f>
        <v/>
      </c>
      <c r="I274" s="10" t="str">
        <f>IF($X274="","",INDEX(Assessment!$N:$N,$X274))</f>
        <v/>
      </c>
      <c r="X274" t="str">
        <f>IF(258&lt;=$B$6,SMALL($Y$2:$Y$593,258),IF(258&lt;=$B$6+$B$7,SMALL($Z$2:$Z$593,258-$B$6),""))</f>
        <v/>
      </c>
      <c r="Y274" t="str">
        <f>IF(Assessment!$G274="Critical",ROW(Assessment!$G274),"")</f>
        <v/>
      </c>
      <c r="Z274" t="str">
        <f>IF(Assessment!$G274="High",ROW(Assessment!$G274),"")</f>
        <v/>
      </c>
    </row>
    <row r="275" spans="1:26" x14ac:dyDescent="0.25">
      <c r="A275" s="10" t="str">
        <f>IF($X275="","",259)</f>
        <v/>
      </c>
      <c r="B275" s="10" t="str">
        <f>IF($X275="","",INDEX(Assessment!$A:$A,$X275))</f>
        <v/>
      </c>
      <c r="C275" s="10" t="str">
        <f>IF($X275="","",INDEX(Assessment!$B:$B,$X275))</f>
        <v/>
      </c>
      <c r="D275" s="10" t="str">
        <f>IF($X275="","",INDEX(Assessment!$C:$C,$X275))</f>
        <v/>
      </c>
      <c r="E275" s="10" t="str">
        <f>IF($X275="","",INDEX(Assessment!$F:$F,$X275))</f>
        <v/>
      </c>
      <c r="F275" s="10" t="str">
        <f>IF($X275="","",INDEX(Assessment!$G:$G,$X275))</f>
        <v/>
      </c>
      <c r="G275" s="10" t="str">
        <f>IF($X275="","",INDEX(Assessment!$J:$J,$X275))</f>
        <v/>
      </c>
      <c r="H275" s="10" t="str">
        <f>IF($X275="","",INDEX(Assessment!$L:$L,$X275))</f>
        <v/>
      </c>
      <c r="I275" s="10" t="str">
        <f>IF($X275="","",INDEX(Assessment!$N:$N,$X275))</f>
        <v/>
      </c>
      <c r="X275" t="str">
        <f>IF(259&lt;=$B$6,SMALL($Y$2:$Y$593,259),IF(259&lt;=$B$6+$B$7,SMALL($Z$2:$Z$593,259-$B$6),""))</f>
        <v/>
      </c>
      <c r="Y275" t="str">
        <f>IF(Assessment!$G275="Critical",ROW(Assessment!$G275),"")</f>
        <v/>
      </c>
      <c r="Z275" t="str">
        <f>IF(Assessment!$G275="High",ROW(Assessment!$G275),"")</f>
        <v/>
      </c>
    </row>
    <row r="276" spans="1:26" x14ac:dyDescent="0.25">
      <c r="A276" s="10" t="str">
        <f>IF($X276="","",260)</f>
        <v/>
      </c>
      <c r="B276" s="10" t="str">
        <f>IF($X276="","",INDEX(Assessment!$A:$A,$X276))</f>
        <v/>
      </c>
      <c r="C276" s="10" t="str">
        <f>IF($X276="","",INDEX(Assessment!$B:$B,$X276))</f>
        <v/>
      </c>
      <c r="D276" s="10" t="str">
        <f>IF($X276="","",INDEX(Assessment!$C:$C,$X276))</f>
        <v/>
      </c>
      <c r="E276" s="10" t="str">
        <f>IF($X276="","",INDEX(Assessment!$F:$F,$X276))</f>
        <v/>
      </c>
      <c r="F276" s="10" t="str">
        <f>IF($X276="","",INDEX(Assessment!$G:$G,$X276))</f>
        <v/>
      </c>
      <c r="G276" s="10" t="str">
        <f>IF($X276="","",INDEX(Assessment!$J:$J,$X276))</f>
        <v/>
      </c>
      <c r="H276" s="10" t="str">
        <f>IF($X276="","",INDEX(Assessment!$L:$L,$X276))</f>
        <v/>
      </c>
      <c r="I276" s="10" t="str">
        <f>IF($X276="","",INDEX(Assessment!$N:$N,$X276))</f>
        <v/>
      </c>
      <c r="X276" t="str">
        <f>IF(260&lt;=$B$6,SMALL($Y$2:$Y$593,260),IF(260&lt;=$B$6+$B$7,SMALL($Z$2:$Z$593,260-$B$6),""))</f>
        <v/>
      </c>
      <c r="Y276" t="str">
        <f>IF(Assessment!$G276="Critical",ROW(Assessment!$G276),"")</f>
        <v/>
      </c>
      <c r="Z276" t="str">
        <f>IF(Assessment!$G276="High",ROW(Assessment!$G276),"")</f>
        <v/>
      </c>
    </row>
    <row r="277" spans="1:26" x14ac:dyDescent="0.25">
      <c r="A277" s="10" t="str">
        <f>IF($X277="","",261)</f>
        <v/>
      </c>
      <c r="B277" s="10" t="str">
        <f>IF($X277="","",INDEX(Assessment!$A:$A,$X277))</f>
        <v/>
      </c>
      <c r="C277" s="10" t="str">
        <f>IF($X277="","",INDEX(Assessment!$B:$B,$X277))</f>
        <v/>
      </c>
      <c r="D277" s="10" t="str">
        <f>IF($X277="","",INDEX(Assessment!$C:$C,$X277))</f>
        <v/>
      </c>
      <c r="E277" s="10" t="str">
        <f>IF($X277="","",INDEX(Assessment!$F:$F,$X277))</f>
        <v/>
      </c>
      <c r="F277" s="10" t="str">
        <f>IF($X277="","",INDEX(Assessment!$G:$G,$X277))</f>
        <v/>
      </c>
      <c r="G277" s="10" t="str">
        <f>IF($X277="","",INDEX(Assessment!$J:$J,$X277))</f>
        <v/>
      </c>
      <c r="H277" s="10" t="str">
        <f>IF($X277="","",INDEX(Assessment!$L:$L,$X277))</f>
        <v/>
      </c>
      <c r="I277" s="10" t="str">
        <f>IF($X277="","",INDEX(Assessment!$N:$N,$X277))</f>
        <v/>
      </c>
      <c r="X277" t="str">
        <f>IF(261&lt;=$B$6,SMALL($Y$2:$Y$593,261),IF(261&lt;=$B$6+$B$7,SMALL($Z$2:$Z$593,261-$B$6),""))</f>
        <v/>
      </c>
      <c r="Y277" t="str">
        <f>IF(Assessment!$G277="Critical",ROW(Assessment!$G277),"")</f>
        <v/>
      </c>
      <c r="Z277" t="str">
        <f>IF(Assessment!$G277="High",ROW(Assessment!$G277),"")</f>
        <v/>
      </c>
    </row>
    <row r="278" spans="1:26" x14ac:dyDescent="0.25">
      <c r="A278" s="10" t="str">
        <f>IF($X278="","",262)</f>
        <v/>
      </c>
      <c r="B278" s="10" t="str">
        <f>IF($X278="","",INDEX(Assessment!$A:$A,$X278))</f>
        <v/>
      </c>
      <c r="C278" s="10" t="str">
        <f>IF($X278="","",INDEX(Assessment!$B:$B,$X278))</f>
        <v/>
      </c>
      <c r="D278" s="10" t="str">
        <f>IF($X278="","",INDEX(Assessment!$C:$C,$X278))</f>
        <v/>
      </c>
      <c r="E278" s="10" t="str">
        <f>IF($X278="","",INDEX(Assessment!$F:$F,$X278))</f>
        <v/>
      </c>
      <c r="F278" s="10" t="str">
        <f>IF($X278="","",INDEX(Assessment!$G:$G,$X278))</f>
        <v/>
      </c>
      <c r="G278" s="10" t="str">
        <f>IF($X278="","",INDEX(Assessment!$J:$J,$X278))</f>
        <v/>
      </c>
      <c r="H278" s="10" t="str">
        <f>IF($X278="","",INDEX(Assessment!$L:$L,$X278))</f>
        <v/>
      </c>
      <c r="I278" s="10" t="str">
        <f>IF($X278="","",INDEX(Assessment!$N:$N,$X278))</f>
        <v/>
      </c>
      <c r="X278" t="str">
        <f>IF(262&lt;=$B$6,SMALL($Y$2:$Y$593,262),IF(262&lt;=$B$6+$B$7,SMALL($Z$2:$Z$593,262-$B$6),""))</f>
        <v/>
      </c>
      <c r="Y278" t="str">
        <f>IF(Assessment!$G278="Critical",ROW(Assessment!$G278),"")</f>
        <v/>
      </c>
      <c r="Z278" t="str">
        <f>IF(Assessment!$G278="High",ROW(Assessment!$G278),"")</f>
        <v/>
      </c>
    </row>
    <row r="279" spans="1:26" x14ac:dyDescent="0.25">
      <c r="A279" s="10" t="str">
        <f>IF($X279="","",263)</f>
        <v/>
      </c>
      <c r="B279" s="10" t="str">
        <f>IF($X279="","",INDEX(Assessment!$A:$A,$X279))</f>
        <v/>
      </c>
      <c r="C279" s="10" t="str">
        <f>IF($X279="","",INDEX(Assessment!$B:$B,$X279))</f>
        <v/>
      </c>
      <c r="D279" s="10" t="str">
        <f>IF($X279="","",INDEX(Assessment!$C:$C,$X279))</f>
        <v/>
      </c>
      <c r="E279" s="10" t="str">
        <f>IF($X279="","",INDEX(Assessment!$F:$F,$X279))</f>
        <v/>
      </c>
      <c r="F279" s="10" t="str">
        <f>IF($X279="","",INDEX(Assessment!$G:$G,$X279))</f>
        <v/>
      </c>
      <c r="G279" s="10" t="str">
        <f>IF($X279="","",INDEX(Assessment!$J:$J,$X279))</f>
        <v/>
      </c>
      <c r="H279" s="10" t="str">
        <f>IF($X279="","",INDEX(Assessment!$L:$L,$X279))</f>
        <v/>
      </c>
      <c r="I279" s="10" t="str">
        <f>IF($X279="","",INDEX(Assessment!$N:$N,$X279))</f>
        <v/>
      </c>
      <c r="X279" t="str">
        <f>IF(263&lt;=$B$6,SMALL($Y$2:$Y$593,263),IF(263&lt;=$B$6+$B$7,SMALL($Z$2:$Z$593,263-$B$6),""))</f>
        <v/>
      </c>
      <c r="Y279" t="str">
        <f>IF(Assessment!$G279="Critical",ROW(Assessment!$G279),"")</f>
        <v/>
      </c>
      <c r="Z279" t="str">
        <f>IF(Assessment!$G279="High",ROW(Assessment!$G279),"")</f>
        <v/>
      </c>
    </row>
    <row r="280" spans="1:26" x14ac:dyDescent="0.25">
      <c r="A280" s="10" t="str">
        <f>IF($X280="","",264)</f>
        <v/>
      </c>
      <c r="B280" s="10" t="str">
        <f>IF($X280="","",INDEX(Assessment!$A:$A,$X280))</f>
        <v/>
      </c>
      <c r="C280" s="10" t="str">
        <f>IF($X280="","",INDEX(Assessment!$B:$B,$X280))</f>
        <v/>
      </c>
      <c r="D280" s="10" t="str">
        <f>IF($X280="","",INDEX(Assessment!$C:$C,$X280))</f>
        <v/>
      </c>
      <c r="E280" s="10" t="str">
        <f>IF($X280="","",INDEX(Assessment!$F:$F,$X280))</f>
        <v/>
      </c>
      <c r="F280" s="10" t="str">
        <f>IF($X280="","",INDEX(Assessment!$G:$G,$X280))</f>
        <v/>
      </c>
      <c r="G280" s="10" t="str">
        <f>IF($X280="","",INDEX(Assessment!$J:$J,$X280))</f>
        <v/>
      </c>
      <c r="H280" s="10" t="str">
        <f>IF($X280="","",INDEX(Assessment!$L:$L,$X280))</f>
        <v/>
      </c>
      <c r="I280" s="10" t="str">
        <f>IF($X280="","",INDEX(Assessment!$N:$N,$X280))</f>
        <v/>
      </c>
      <c r="X280" t="str">
        <f>IF(264&lt;=$B$6,SMALL($Y$2:$Y$593,264),IF(264&lt;=$B$6+$B$7,SMALL($Z$2:$Z$593,264-$B$6),""))</f>
        <v/>
      </c>
      <c r="Y280" t="str">
        <f>IF(Assessment!$G280="Critical",ROW(Assessment!$G280),"")</f>
        <v/>
      </c>
      <c r="Z280" t="str">
        <f>IF(Assessment!$G280="High",ROW(Assessment!$G280),"")</f>
        <v/>
      </c>
    </row>
    <row r="281" spans="1:26" x14ac:dyDescent="0.25">
      <c r="A281" s="10" t="str">
        <f>IF($X281="","",265)</f>
        <v/>
      </c>
      <c r="B281" s="10" t="str">
        <f>IF($X281="","",INDEX(Assessment!$A:$A,$X281))</f>
        <v/>
      </c>
      <c r="C281" s="10" t="str">
        <f>IF($X281="","",INDEX(Assessment!$B:$B,$X281))</f>
        <v/>
      </c>
      <c r="D281" s="10" t="str">
        <f>IF($X281="","",INDEX(Assessment!$C:$C,$X281))</f>
        <v/>
      </c>
      <c r="E281" s="10" t="str">
        <f>IF($X281="","",INDEX(Assessment!$F:$F,$X281))</f>
        <v/>
      </c>
      <c r="F281" s="10" t="str">
        <f>IF($X281="","",INDEX(Assessment!$G:$G,$X281))</f>
        <v/>
      </c>
      <c r="G281" s="10" t="str">
        <f>IF($X281="","",INDEX(Assessment!$J:$J,$X281))</f>
        <v/>
      </c>
      <c r="H281" s="10" t="str">
        <f>IF($X281="","",INDEX(Assessment!$L:$L,$X281))</f>
        <v/>
      </c>
      <c r="I281" s="10" t="str">
        <f>IF($X281="","",INDEX(Assessment!$N:$N,$X281))</f>
        <v/>
      </c>
      <c r="X281" t="str">
        <f>IF(265&lt;=$B$6,SMALL($Y$2:$Y$593,265),IF(265&lt;=$B$6+$B$7,SMALL($Z$2:$Z$593,265-$B$6),""))</f>
        <v/>
      </c>
      <c r="Y281" t="str">
        <f>IF(Assessment!$G281="Critical",ROW(Assessment!$G281),"")</f>
        <v/>
      </c>
      <c r="Z281" t="str">
        <f>IF(Assessment!$G281="High",ROW(Assessment!$G281),"")</f>
        <v/>
      </c>
    </row>
    <row r="282" spans="1:26" x14ac:dyDescent="0.25">
      <c r="A282" s="10" t="str">
        <f>IF($X282="","",266)</f>
        <v/>
      </c>
      <c r="B282" s="10" t="str">
        <f>IF($X282="","",INDEX(Assessment!$A:$A,$X282))</f>
        <v/>
      </c>
      <c r="C282" s="10" t="str">
        <f>IF($X282="","",INDEX(Assessment!$B:$B,$X282))</f>
        <v/>
      </c>
      <c r="D282" s="10" t="str">
        <f>IF($X282="","",INDEX(Assessment!$C:$C,$X282))</f>
        <v/>
      </c>
      <c r="E282" s="10" t="str">
        <f>IF($X282="","",INDEX(Assessment!$F:$F,$X282))</f>
        <v/>
      </c>
      <c r="F282" s="10" t="str">
        <f>IF($X282="","",INDEX(Assessment!$G:$G,$X282))</f>
        <v/>
      </c>
      <c r="G282" s="10" t="str">
        <f>IF($X282="","",INDEX(Assessment!$J:$J,$X282))</f>
        <v/>
      </c>
      <c r="H282" s="10" t="str">
        <f>IF($X282="","",INDEX(Assessment!$L:$L,$X282))</f>
        <v/>
      </c>
      <c r="I282" s="10" t="str">
        <f>IF($X282="","",INDEX(Assessment!$N:$N,$X282))</f>
        <v/>
      </c>
      <c r="X282" t="str">
        <f>IF(266&lt;=$B$6,SMALL($Y$2:$Y$593,266),IF(266&lt;=$B$6+$B$7,SMALL($Z$2:$Z$593,266-$B$6),""))</f>
        <v/>
      </c>
      <c r="Y282" t="str">
        <f>IF(Assessment!$G282="Critical",ROW(Assessment!$G282),"")</f>
        <v/>
      </c>
      <c r="Z282" t="str">
        <f>IF(Assessment!$G282="High",ROW(Assessment!$G282),"")</f>
        <v/>
      </c>
    </row>
    <row r="283" spans="1:26" x14ac:dyDescent="0.25">
      <c r="A283" s="10" t="str">
        <f>IF($X283="","",267)</f>
        <v/>
      </c>
      <c r="B283" s="10" t="str">
        <f>IF($X283="","",INDEX(Assessment!$A:$A,$X283))</f>
        <v/>
      </c>
      <c r="C283" s="10" t="str">
        <f>IF($X283="","",INDEX(Assessment!$B:$B,$X283))</f>
        <v/>
      </c>
      <c r="D283" s="10" t="str">
        <f>IF($X283="","",INDEX(Assessment!$C:$C,$X283))</f>
        <v/>
      </c>
      <c r="E283" s="10" t="str">
        <f>IF($X283="","",INDEX(Assessment!$F:$F,$X283))</f>
        <v/>
      </c>
      <c r="F283" s="10" t="str">
        <f>IF($X283="","",INDEX(Assessment!$G:$G,$X283))</f>
        <v/>
      </c>
      <c r="G283" s="10" t="str">
        <f>IF($X283="","",INDEX(Assessment!$J:$J,$X283))</f>
        <v/>
      </c>
      <c r="H283" s="10" t="str">
        <f>IF($X283="","",INDEX(Assessment!$L:$L,$X283))</f>
        <v/>
      </c>
      <c r="I283" s="10" t="str">
        <f>IF($X283="","",INDEX(Assessment!$N:$N,$X283))</f>
        <v/>
      </c>
      <c r="X283" t="str">
        <f>IF(267&lt;=$B$6,SMALL($Y$2:$Y$593,267),IF(267&lt;=$B$6+$B$7,SMALL($Z$2:$Z$593,267-$B$6),""))</f>
        <v/>
      </c>
      <c r="Y283" t="str">
        <f>IF(Assessment!$G283="Critical",ROW(Assessment!$G283),"")</f>
        <v/>
      </c>
      <c r="Z283" t="str">
        <f>IF(Assessment!$G283="High",ROW(Assessment!$G283),"")</f>
        <v/>
      </c>
    </row>
    <row r="284" spans="1:26" x14ac:dyDescent="0.25">
      <c r="A284" s="10" t="str">
        <f>IF($X284="","",268)</f>
        <v/>
      </c>
      <c r="B284" s="10" t="str">
        <f>IF($X284="","",INDEX(Assessment!$A:$A,$X284))</f>
        <v/>
      </c>
      <c r="C284" s="10" t="str">
        <f>IF($X284="","",INDEX(Assessment!$B:$B,$X284))</f>
        <v/>
      </c>
      <c r="D284" s="10" t="str">
        <f>IF($X284="","",INDEX(Assessment!$C:$C,$X284))</f>
        <v/>
      </c>
      <c r="E284" s="10" t="str">
        <f>IF($X284="","",INDEX(Assessment!$F:$F,$X284))</f>
        <v/>
      </c>
      <c r="F284" s="10" t="str">
        <f>IF($X284="","",INDEX(Assessment!$G:$G,$X284))</f>
        <v/>
      </c>
      <c r="G284" s="10" t="str">
        <f>IF($X284="","",INDEX(Assessment!$J:$J,$X284))</f>
        <v/>
      </c>
      <c r="H284" s="10" t="str">
        <f>IF($X284="","",INDEX(Assessment!$L:$L,$X284))</f>
        <v/>
      </c>
      <c r="I284" s="10" t="str">
        <f>IF($X284="","",INDEX(Assessment!$N:$N,$X284))</f>
        <v/>
      </c>
      <c r="X284" t="str">
        <f>IF(268&lt;=$B$6,SMALL($Y$2:$Y$593,268),IF(268&lt;=$B$6+$B$7,SMALL($Z$2:$Z$593,268-$B$6),""))</f>
        <v/>
      </c>
      <c r="Y284" t="str">
        <f>IF(Assessment!$G284="Critical",ROW(Assessment!$G284),"")</f>
        <v/>
      </c>
      <c r="Z284" t="str">
        <f>IF(Assessment!$G284="High",ROW(Assessment!$G284),"")</f>
        <v/>
      </c>
    </row>
    <row r="285" spans="1:26" x14ac:dyDescent="0.25">
      <c r="A285" s="10" t="str">
        <f>IF($X285="","",269)</f>
        <v/>
      </c>
      <c r="B285" s="10" t="str">
        <f>IF($X285="","",INDEX(Assessment!$A:$A,$X285))</f>
        <v/>
      </c>
      <c r="C285" s="10" t="str">
        <f>IF($X285="","",INDEX(Assessment!$B:$B,$X285))</f>
        <v/>
      </c>
      <c r="D285" s="10" t="str">
        <f>IF($X285="","",INDEX(Assessment!$C:$C,$X285))</f>
        <v/>
      </c>
      <c r="E285" s="10" t="str">
        <f>IF($X285="","",INDEX(Assessment!$F:$F,$X285))</f>
        <v/>
      </c>
      <c r="F285" s="10" t="str">
        <f>IF($X285="","",INDEX(Assessment!$G:$G,$X285))</f>
        <v/>
      </c>
      <c r="G285" s="10" t="str">
        <f>IF($X285="","",INDEX(Assessment!$J:$J,$X285))</f>
        <v/>
      </c>
      <c r="H285" s="10" t="str">
        <f>IF($X285="","",INDEX(Assessment!$L:$L,$X285))</f>
        <v/>
      </c>
      <c r="I285" s="10" t="str">
        <f>IF($X285="","",INDEX(Assessment!$N:$N,$X285))</f>
        <v/>
      </c>
      <c r="X285" t="str">
        <f>IF(269&lt;=$B$6,SMALL($Y$2:$Y$593,269),IF(269&lt;=$B$6+$B$7,SMALL($Z$2:$Z$593,269-$B$6),""))</f>
        <v/>
      </c>
      <c r="Y285" t="str">
        <f>IF(Assessment!$G285="Critical",ROW(Assessment!$G285),"")</f>
        <v/>
      </c>
      <c r="Z285" t="str">
        <f>IF(Assessment!$G285="High",ROW(Assessment!$G285),"")</f>
        <v/>
      </c>
    </row>
    <row r="286" spans="1:26" x14ac:dyDescent="0.25">
      <c r="A286" s="10" t="str">
        <f>IF($X286="","",270)</f>
        <v/>
      </c>
      <c r="B286" s="10" t="str">
        <f>IF($X286="","",INDEX(Assessment!$A:$A,$X286))</f>
        <v/>
      </c>
      <c r="C286" s="10" t="str">
        <f>IF($X286="","",INDEX(Assessment!$B:$B,$X286))</f>
        <v/>
      </c>
      <c r="D286" s="10" t="str">
        <f>IF($X286="","",INDEX(Assessment!$C:$C,$X286))</f>
        <v/>
      </c>
      <c r="E286" s="10" t="str">
        <f>IF($X286="","",INDEX(Assessment!$F:$F,$X286))</f>
        <v/>
      </c>
      <c r="F286" s="10" t="str">
        <f>IF($X286="","",INDEX(Assessment!$G:$G,$X286))</f>
        <v/>
      </c>
      <c r="G286" s="10" t="str">
        <f>IF($X286="","",INDEX(Assessment!$J:$J,$X286))</f>
        <v/>
      </c>
      <c r="H286" s="10" t="str">
        <f>IF($X286="","",INDEX(Assessment!$L:$L,$X286))</f>
        <v/>
      </c>
      <c r="I286" s="10" t="str">
        <f>IF($X286="","",INDEX(Assessment!$N:$N,$X286))</f>
        <v/>
      </c>
      <c r="X286" t="str">
        <f>IF(270&lt;=$B$6,SMALL($Y$2:$Y$593,270),IF(270&lt;=$B$6+$B$7,SMALL($Z$2:$Z$593,270-$B$6),""))</f>
        <v/>
      </c>
      <c r="Y286" t="str">
        <f>IF(Assessment!$G286="Critical",ROW(Assessment!$G286),"")</f>
        <v/>
      </c>
      <c r="Z286">
        <f>IF(Assessment!$G286="High",ROW(Assessment!$G286),"")</f>
        <v>286</v>
      </c>
    </row>
    <row r="287" spans="1:26" x14ac:dyDescent="0.25">
      <c r="A287" s="10" t="str">
        <f>IF($X287="","",271)</f>
        <v/>
      </c>
      <c r="B287" s="10" t="str">
        <f>IF($X287="","",INDEX(Assessment!$A:$A,$X287))</f>
        <v/>
      </c>
      <c r="C287" s="10" t="str">
        <f>IF($X287="","",INDEX(Assessment!$B:$B,$X287))</f>
        <v/>
      </c>
      <c r="D287" s="10" t="str">
        <f>IF($X287="","",INDEX(Assessment!$C:$C,$X287))</f>
        <v/>
      </c>
      <c r="E287" s="10" t="str">
        <f>IF($X287="","",INDEX(Assessment!$F:$F,$X287))</f>
        <v/>
      </c>
      <c r="F287" s="10" t="str">
        <f>IF($X287="","",INDEX(Assessment!$G:$G,$X287))</f>
        <v/>
      </c>
      <c r="G287" s="10" t="str">
        <f>IF($X287="","",INDEX(Assessment!$J:$J,$X287))</f>
        <v/>
      </c>
      <c r="H287" s="10" t="str">
        <f>IF($X287="","",INDEX(Assessment!$L:$L,$X287))</f>
        <v/>
      </c>
      <c r="I287" s="10" t="str">
        <f>IF($X287="","",INDEX(Assessment!$N:$N,$X287))</f>
        <v/>
      </c>
      <c r="X287" t="str">
        <f>IF(271&lt;=$B$6,SMALL($Y$2:$Y$593,271),IF(271&lt;=$B$6+$B$7,SMALL($Z$2:$Z$593,271-$B$6),""))</f>
        <v/>
      </c>
      <c r="Y287">
        <f>IF(Assessment!$G287="Critical",ROW(Assessment!$G287),"")</f>
        <v>287</v>
      </c>
      <c r="Z287" t="str">
        <f>IF(Assessment!$G287="High",ROW(Assessment!$G287),"")</f>
        <v/>
      </c>
    </row>
    <row r="288" spans="1:26" x14ac:dyDescent="0.25">
      <c r="A288" s="10" t="str">
        <f>IF($X288="","",272)</f>
        <v/>
      </c>
      <c r="B288" s="10" t="str">
        <f>IF($X288="","",INDEX(Assessment!$A:$A,$X288))</f>
        <v/>
      </c>
      <c r="C288" s="10" t="str">
        <f>IF($X288="","",INDEX(Assessment!$B:$B,$X288))</f>
        <v/>
      </c>
      <c r="D288" s="10" t="str">
        <f>IF($X288="","",INDEX(Assessment!$C:$C,$X288))</f>
        <v/>
      </c>
      <c r="E288" s="10" t="str">
        <f>IF($X288="","",INDEX(Assessment!$F:$F,$X288))</f>
        <v/>
      </c>
      <c r="F288" s="10" t="str">
        <f>IF($X288="","",INDEX(Assessment!$G:$G,$X288))</f>
        <v/>
      </c>
      <c r="G288" s="10" t="str">
        <f>IF($X288="","",INDEX(Assessment!$J:$J,$X288))</f>
        <v/>
      </c>
      <c r="H288" s="10" t="str">
        <f>IF($X288="","",INDEX(Assessment!$L:$L,$X288))</f>
        <v/>
      </c>
      <c r="I288" s="10" t="str">
        <f>IF($X288="","",INDEX(Assessment!$N:$N,$X288))</f>
        <v/>
      </c>
      <c r="X288" t="str">
        <f>IF(272&lt;=$B$6,SMALL($Y$2:$Y$593,272),IF(272&lt;=$B$6+$B$7,SMALL($Z$2:$Z$593,272-$B$6),""))</f>
        <v/>
      </c>
      <c r="Y288" t="str">
        <f>IF(Assessment!$G288="Critical",ROW(Assessment!$G288),"")</f>
        <v/>
      </c>
      <c r="Z288">
        <f>IF(Assessment!$G288="High",ROW(Assessment!$G288),"")</f>
        <v>288</v>
      </c>
    </row>
    <row r="289" spans="1:26" x14ac:dyDescent="0.25">
      <c r="A289" s="10" t="str">
        <f>IF($X289="","",273)</f>
        <v/>
      </c>
      <c r="B289" s="10" t="str">
        <f>IF($X289="","",INDEX(Assessment!$A:$A,$X289))</f>
        <v/>
      </c>
      <c r="C289" s="10" t="str">
        <f>IF($X289="","",INDEX(Assessment!$B:$B,$X289))</f>
        <v/>
      </c>
      <c r="D289" s="10" t="str">
        <f>IF($X289="","",INDEX(Assessment!$C:$C,$X289))</f>
        <v/>
      </c>
      <c r="E289" s="10" t="str">
        <f>IF($X289="","",INDEX(Assessment!$F:$F,$X289))</f>
        <v/>
      </c>
      <c r="F289" s="10" t="str">
        <f>IF($X289="","",INDEX(Assessment!$G:$G,$X289))</f>
        <v/>
      </c>
      <c r="G289" s="10" t="str">
        <f>IF($X289="","",INDEX(Assessment!$J:$J,$X289))</f>
        <v/>
      </c>
      <c r="H289" s="10" t="str">
        <f>IF($X289="","",INDEX(Assessment!$L:$L,$X289))</f>
        <v/>
      </c>
      <c r="I289" s="10" t="str">
        <f>IF($X289="","",INDEX(Assessment!$N:$N,$X289))</f>
        <v/>
      </c>
      <c r="X289" t="str">
        <f>IF(273&lt;=$B$6,SMALL($Y$2:$Y$593,273),IF(273&lt;=$B$6+$B$7,SMALL($Z$2:$Z$593,273-$B$6),""))</f>
        <v/>
      </c>
      <c r="Y289" t="str">
        <f>IF(Assessment!$G289="Critical",ROW(Assessment!$G289),"")</f>
        <v/>
      </c>
      <c r="Z289">
        <f>IF(Assessment!$G289="High",ROW(Assessment!$G289),"")</f>
        <v>289</v>
      </c>
    </row>
    <row r="290" spans="1:26" x14ac:dyDescent="0.25">
      <c r="A290" s="10" t="str">
        <f>IF($X290="","",274)</f>
        <v/>
      </c>
      <c r="B290" s="10" t="str">
        <f>IF($X290="","",INDEX(Assessment!$A:$A,$X290))</f>
        <v/>
      </c>
      <c r="C290" s="10" t="str">
        <f>IF($X290="","",INDEX(Assessment!$B:$B,$X290))</f>
        <v/>
      </c>
      <c r="D290" s="10" t="str">
        <f>IF($X290="","",INDEX(Assessment!$C:$C,$X290))</f>
        <v/>
      </c>
      <c r="E290" s="10" t="str">
        <f>IF($X290="","",INDEX(Assessment!$F:$F,$X290))</f>
        <v/>
      </c>
      <c r="F290" s="10" t="str">
        <f>IF($X290="","",INDEX(Assessment!$G:$G,$X290))</f>
        <v/>
      </c>
      <c r="G290" s="10" t="str">
        <f>IF($X290="","",INDEX(Assessment!$J:$J,$X290))</f>
        <v/>
      </c>
      <c r="H290" s="10" t="str">
        <f>IF($X290="","",INDEX(Assessment!$L:$L,$X290))</f>
        <v/>
      </c>
      <c r="I290" s="10" t="str">
        <f>IF($X290="","",INDEX(Assessment!$N:$N,$X290))</f>
        <v/>
      </c>
      <c r="X290" t="str">
        <f>IF(274&lt;=$B$6,SMALL($Y$2:$Y$593,274),IF(274&lt;=$B$6+$B$7,SMALL($Z$2:$Z$593,274-$B$6),""))</f>
        <v/>
      </c>
      <c r="Y290" t="str">
        <f>IF(Assessment!$G290="Critical",ROW(Assessment!$G290),"")</f>
        <v/>
      </c>
      <c r="Z290" t="str">
        <f>IF(Assessment!$G290="High",ROW(Assessment!$G290),"")</f>
        <v/>
      </c>
    </row>
    <row r="291" spans="1:26" x14ac:dyDescent="0.25">
      <c r="A291" s="10" t="str">
        <f>IF($X291="","",275)</f>
        <v/>
      </c>
      <c r="B291" s="10" t="str">
        <f>IF($X291="","",INDEX(Assessment!$A:$A,$X291))</f>
        <v/>
      </c>
      <c r="C291" s="10" t="str">
        <f>IF($X291="","",INDEX(Assessment!$B:$B,$X291))</f>
        <v/>
      </c>
      <c r="D291" s="10" t="str">
        <f>IF($X291="","",INDEX(Assessment!$C:$C,$X291))</f>
        <v/>
      </c>
      <c r="E291" s="10" t="str">
        <f>IF($X291="","",INDEX(Assessment!$F:$F,$X291))</f>
        <v/>
      </c>
      <c r="F291" s="10" t="str">
        <f>IF($X291="","",INDEX(Assessment!$G:$G,$X291))</f>
        <v/>
      </c>
      <c r="G291" s="10" t="str">
        <f>IF($X291="","",INDEX(Assessment!$J:$J,$X291))</f>
        <v/>
      </c>
      <c r="H291" s="10" t="str">
        <f>IF($X291="","",INDEX(Assessment!$L:$L,$X291))</f>
        <v/>
      </c>
      <c r="I291" s="10" t="str">
        <f>IF($X291="","",INDEX(Assessment!$N:$N,$X291))</f>
        <v/>
      </c>
      <c r="X291" t="str">
        <f>IF(275&lt;=$B$6,SMALL($Y$2:$Y$593,275),IF(275&lt;=$B$6+$B$7,SMALL($Z$2:$Z$593,275-$B$6),""))</f>
        <v/>
      </c>
      <c r="Y291" t="str">
        <f>IF(Assessment!$G291="Critical",ROW(Assessment!$G291),"")</f>
        <v/>
      </c>
      <c r="Z291" t="str">
        <f>IF(Assessment!$G291="High",ROW(Assessment!$G291),"")</f>
        <v/>
      </c>
    </row>
    <row r="292" spans="1:26" x14ac:dyDescent="0.25">
      <c r="A292" s="10" t="str">
        <f>IF($X292="","",276)</f>
        <v/>
      </c>
      <c r="B292" s="10" t="str">
        <f>IF($X292="","",INDEX(Assessment!$A:$A,$X292))</f>
        <v/>
      </c>
      <c r="C292" s="10" t="str">
        <f>IF($X292="","",INDEX(Assessment!$B:$B,$X292))</f>
        <v/>
      </c>
      <c r="D292" s="10" t="str">
        <f>IF($X292="","",INDEX(Assessment!$C:$C,$X292))</f>
        <v/>
      </c>
      <c r="E292" s="10" t="str">
        <f>IF($X292="","",INDEX(Assessment!$F:$F,$X292))</f>
        <v/>
      </c>
      <c r="F292" s="10" t="str">
        <f>IF($X292="","",INDEX(Assessment!$G:$G,$X292))</f>
        <v/>
      </c>
      <c r="G292" s="10" t="str">
        <f>IF($X292="","",INDEX(Assessment!$J:$J,$X292))</f>
        <v/>
      </c>
      <c r="H292" s="10" t="str">
        <f>IF($X292="","",INDEX(Assessment!$L:$L,$X292))</f>
        <v/>
      </c>
      <c r="I292" s="10" t="str">
        <f>IF($X292="","",INDEX(Assessment!$N:$N,$X292))</f>
        <v/>
      </c>
      <c r="X292" t="str">
        <f>IF(276&lt;=$B$6,SMALL($Y$2:$Y$593,276),IF(276&lt;=$B$6+$B$7,SMALL($Z$2:$Z$593,276-$B$6),""))</f>
        <v/>
      </c>
      <c r="Y292" t="str">
        <f>IF(Assessment!$G292="Critical",ROW(Assessment!$G292),"")</f>
        <v/>
      </c>
      <c r="Z292" t="str">
        <f>IF(Assessment!$G292="High",ROW(Assessment!$G292),"")</f>
        <v/>
      </c>
    </row>
    <row r="293" spans="1:26" x14ac:dyDescent="0.25">
      <c r="A293" s="10" t="str">
        <f>IF($X293="","",277)</f>
        <v/>
      </c>
      <c r="B293" s="10" t="str">
        <f>IF($X293="","",INDEX(Assessment!$A:$A,$X293))</f>
        <v/>
      </c>
      <c r="C293" s="10" t="str">
        <f>IF($X293="","",INDEX(Assessment!$B:$B,$X293))</f>
        <v/>
      </c>
      <c r="D293" s="10" t="str">
        <f>IF($X293="","",INDEX(Assessment!$C:$C,$X293))</f>
        <v/>
      </c>
      <c r="E293" s="10" t="str">
        <f>IF($X293="","",INDEX(Assessment!$F:$F,$X293))</f>
        <v/>
      </c>
      <c r="F293" s="10" t="str">
        <f>IF($X293="","",INDEX(Assessment!$G:$G,$X293))</f>
        <v/>
      </c>
      <c r="G293" s="10" t="str">
        <f>IF($X293="","",INDEX(Assessment!$J:$J,$X293))</f>
        <v/>
      </c>
      <c r="H293" s="10" t="str">
        <f>IF($X293="","",INDEX(Assessment!$L:$L,$X293))</f>
        <v/>
      </c>
      <c r="I293" s="10" t="str">
        <f>IF($X293="","",INDEX(Assessment!$N:$N,$X293))</f>
        <v/>
      </c>
      <c r="X293" t="str">
        <f>IF(277&lt;=$B$6,SMALL($Y$2:$Y$593,277),IF(277&lt;=$B$6+$B$7,SMALL($Z$2:$Z$593,277-$B$6),""))</f>
        <v/>
      </c>
      <c r="Y293" t="str">
        <f>IF(Assessment!$G293="Critical",ROW(Assessment!$G293),"")</f>
        <v/>
      </c>
      <c r="Z293" t="str">
        <f>IF(Assessment!$G293="High",ROW(Assessment!$G293),"")</f>
        <v/>
      </c>
    </row>
    <row r="294" spans="1:26" x14ac:dyDescent="0.25">
      <c r="A294" s="10" t="str">
        <f>IF($X294="","",278)</f>
        <v/>
      </c>
      <c r="B294" s="10" t="str">
        <f>IF($X294="","",INDEX(Assessment!$A:$A,$X294))</f>
        <v/>
      </c>
      <c r="C294" s="10" t="str">
        <f>IF($X294="","",INDEX(Assessment!$B:$B,$X294))</f>
        <v/>
      </c>
      <c r="D294" s="10" t="str">
        <f>IF($X294="","",INDEX(Assessment!$C:$C,$X294))</f>
        <v/>
      </c>
      <c r="E294" s="10" t="str">
        <f>IF($X294="","",INDEX(Assessment!$F:$F,$X294))</f>
        <v/>
      </c>
      <c r="F294" s="10" t="str">
        <f>IF($X294="","",INDEX(Assessment!$G:$G,$X294))</f>
        <v/>
      </c>
      <c r="G294" s="10" t="str">
        <f>IF($X294="","",INDEX(Assessment!$J:$J,$X294))</f>
        <v/>
      </c>
      <c r="H294" s="10" t="str">
        <f>IF($X294="","",INDEX(Assessment!$L:$L,$X294))</f>
        <v/>
      </c>
      <c r="I294" s="10" t="str">
        <f>IF($X294="","",INDEX(Assessment!$N:$N,$X294))</f>
        <v/>
      </c>
      <c r="X294" t="str">
        <f>IF(278&lt;=$B$6,SMALL($Y$2:$Y$593,278),IF(278&lt;=$B$6+$B$7,SMALL($Z$2:$Z$593,278-$B$6),""))</f>
        <v/>
      </c>
      <c r="Y294" t="str">
        <f>IF(Assessment!$G294="Critical",ROW(Assessment!$G294),"")</f>
        <v/>
      </c>
      <c r="Z294" t="str">
        <f>IF(Assessment!$G294="High",ROW(Assessment!$G294),"")</f>
        <v/>
      </c>
    </row>
    <row r="295" spans="1:26" x14ac:dyDescent="0.25">
      <c r="A295" s="10" t="str">
        <f>IF($X295="","",279)</f>
        <v/>
      </c>
      <c r="B295" s="10" t="str">
        <f>IF($X295="","",INDEX(Assessment!$A:$A,$X295))</f>
        <v/>
      </c>
      <c r="C295" s="10" t="str">
        <f>IF($X295="","",INDEX(Assessment!$B:$B,$X295))</f>
        <v/>
      </c>
      <c r="D295" s="10" t="str">
        <f>IF($X295="","",INDEX(Assessment!$C:$C,$X295))</f>
        <v/>
      </c>
      <c r="E295" s="10" t="str">
        <f>IF($X295="","",INDEX(Assessment!$F:$F,$X295))</f>
        <v/>
      </c>
      <c r="F295" s="10" t="str">
        <f>IF($X295="","",INDEX(Assessment!$G:$G,$X295))</f>
        <v/>
      </c>
      <c r="G295" s="10" t="str">
        <f>IF($X295="","",INDEX(Assessment!$J:$J,$X295))</f>
        <v/>
      </c>
      <c r="H295" s="10" t="str">
        <f>IF($X295="","",INDEX(Assessment!$L:$L,$X295))</f>
        <v/>
      </c>
      <c r="I295" s="10" t="str">
        <f>IF($X295="","",INDEX(Assessment!$N:$N,$X295))</f>
        <v/>
      </c>
      <c r="X295" t="str">
        <f>IF(279&lt;=$B$6,SMALL($Y$2:$Y$593,279),IF(279&lt;=$B$6+$B$7,SMALL($Z$2:$Z$593,279-$B$6),""))</f>
        <v/>
      </c>
      <c r="Y295" t="str">
        <f>IF(Assessment!$G295="Critical",ROW(Assessment!$G295),"")</f>
        <v/>
      </c>
      <c r="Z295">
        <f>IF(Assessment!$G295="High",ROW(Assessment!$G295),"")</f>
        <v>295</v>
      </c>
    </row>
    <row r="296" spans="1:26" x14ac:dyDescent="0.25">
      <c r="A296" s="10" t="str">
        <f>IF($X296="","",280)</f>
        <v/>
      </c>
      <c r="B296" s="10" t="str">
        <f>IF($X296="","",INDEX(Assessment!$A:$A,$X296))</f>
        <v/>
      </c>
      <c r="C296" s="10" t="str">
        <f>IF($X296="","",INDEX(Assessment!$B:$B,$X296))</f>
        <v/>
      </c>
      <c r="D296" s="10" t="str">
        <f>IF($X296="","",INDEX(Assessment!$C:$C,$X296))</f>
        <v/>
      </c>
      <c r="E296" s="10" t="str">
        <f>IF($X296="","",INDEX(Assessment!$F:$F,$X296))</f>
        <v/>
      </c>
      <c r="F296" s="10" t="str">
        <f>IF($X296="","",INDEX(Assessment!$G:$G,$X296))</f>
        <v/>
      </c>
      <c r="G296" s="10" t="str">
        <f>IF($X296="","",INDEX(Assessment!$J:$J,$X296))</f>
        <v/>
      </c>
      <c r="H296" s="10" t="str">
        <f>IF($X296="","",INDEX(Assessment!$L:$L,$X296))</f>
        <v/>
      </c>
      <c r="I296" s="10" t="str">
        <f>IF($X296="","",INDEX(Assessment!$N:$N,$X296))</f>
        <v/>
      </c>
      <c r="X296" t="str">
        <f>IF(280&lt;=$B$6,SMALL($Y$2:$Y$593,280),IF(280&lt;=$B$6+$B$7,SMALL($Z$2:$Z$593,280-$B$6),""))</f>
        <v/>
      </c>
      <c r="Y296" t="str">
        <f>IF(Assessment!$G296="Critical",ROW(Assessment!$G296),"")</f>
        <v/>
      </c>
      <c r="Z296" t="str">
        <f>IF(Assessment!$G296="High",ROW(Assessment!$G296),"")</f>
        <v/>
      </c>
    </row>
    <row r="297" spans="1:26" x14ac:dyDescent="0.25">
      <c r="A297" s="10" t="str">
        <f>IF($X297="","",281)</f>
        <v/>
      </c>
      <c r="B297" s="10" t="str">
        <f>IF($X297="","",INDEX(Assessment!$A:$A,$X297))</f>
        <v/>
      </c>
      <c r="C297" s="10" t="str">
        <f>IF($X297="","",INDEX(Assessment!$B:$B,$X297))</f>
        <v/>
      </c>
      <c r="D297" s="10" t="str">
        <f>IF($X297="","",INDEX(Assessment!$C:$C,$X297))</f>
        <v/>
      </c>
      <c r="E297" s="10" t="str">
        <f>IF($X297="","",INDEX(Assessment!$F:$F,$X297))</f>
        <v/>
      </c>
      <c r="F297" s="10" t="str">
        <f>IF($X297="","",INDEX(Assessment!$G:$G,$X297))</f>
        <v/>
      </c>
      <c r="G297" s="10" t="str">
        <f>IF($X297="","",INDEX(Assessment!$J:$J,$X297))</f>
        <v/>
      </c>
      <c r="H297" s="10" t="str">
        <f>IF($X297="","",INDEX(Assessment!$L:$L,$X297))</f>
        <v/>
      </c>
      <c r="I297" s="10" t="str">
        <f>IF($X297="","",INDEX(Assessment!$N:$N,$X297))</f>
        <v/>
      </c>
      <c r="X297" t="str">
        <f>IF(281&lt;=$B$6,SMALL($Y$2:$Y$593,281),IF(281&lt;=$B$6+$B$7,SMALL($Z$2:$Z$593,281-$B$6),""))</f>
        <v/>
      </c>
      <c r="Y297" t="str">
        <f>IF(Assessment!$G297="Critical",ROW(Assessment!$G297),"")</f>
        <v/>
      </c>
      <c r="Z297" t="str">
        <f>IF(Assessment!$G297="High",ROW(Assessment!$G297),"")</f>
        <v/>
      </c>
    </row>
    <row r="298" spans="1:26" x14ac:dyDescent="0.25">
      <c r="A298" s="10" t="str">
        <f>IF($X298="","",282)</f>
        <v/>
      </c>
      <c r="B298" s="10" t="str">
        <f>IF($X298="","",INDEX(Assessment!$A:$A,$X298))</f>
        <v/>
      </c>
      <c r="C298" s="10" t="str">
        <f>IF($X298="","",INDEX(Assessment!$B:$B,$X298))</f>
        <v/>
      </c>
      <c r="D298" s="10" t="str">
        <f>IF($X298="","",INDEX(Assessment!$C:$C,$X298))</f>
        <v/>
      </c>
      <c r="E298" s="10" t="str">
        <f>IF($X298="","",INDEX(Assessment!$F:$F,$X298))</f>
        <v/>
      </c>
      <c r="F298" s="10" t="str">
        <f>IF($X298="","",INDEX(Assessment!$G:$G,$X298))</f>
        <v/>
      </c>
      <c r="G298" s="10" t="str">
        <f>IF($X298="","",INDEX(Assessment!$J:$J,$X298))</f>
        <v/>
      </c>
      <c r="H298" s="10" t="str">
        <f>IF($X298="","",INDEX(Assessment!$L:$L,$X298))</f>
        <v/>
      </c>
      <c r="I298" s="10" t="str">
        <f>IF($X298="","",INDEX(Assessment!$N:$N,$X298))</f>
        <v/>
      </c>
      <c r="X298" t="str">
        <f>IF(282&lt;=$B$6,SMALL($Y$2:$Y$593,282),IF(282&lt;=$B$6+$B$7,SMALL($Z$2:$Z$593,282-$B$6),""))</f>
        <v/>
      </c>
      <c r="Y298" t="str">
        <f>IF(Assessment!$G298="Critical",ROW(Assessment!$G298),"")</f>
        <v/>
      </c>
      <c r="Z298" t="str">
        <f>IF(Assessment!$G298="High",ROW(Assessment!$G298),"")</f>
        <v/>
      </c>
    </row>
    <row r="299" spans="1:26" x14ac:dyDescent="0.25">
      <c r="A299" s="10" t="str">
        <f>IF($X299="","",283)</f>
        <v/>
      </c>
      <c r="B299" s="10" t="str">
        <f>IF($X299="","",INDEX(Assessment!$A:$A,$X299))</f>
        <v/>
      </c>
      <c r="C299" s="10" t="str">
        <f>IF($X299="","",INDEX(Assessment!$B:$B,$X299))</f>
        <v/>
      </c>
      <c r="D299" s="10" t="str">
        <f>IF($X299="","",INDEX(Assessment!$C:$C,$X299))</f>
        <v/>
      </c>
      <c r="E299" s="10" t="str">
        <f>IF($X299="","",INDEX(Assessment!$F:$F,$X299))</f>
        <v/>
      </c>
      <c r="F299" s="10" t="str">
        <f>IF($X299="","",INDEX(Assessment!$G:$G,$X299))</f>
        <v/>
      </c>
      <c r="G299" s="10" t="str">
        <f>IF($X299="","",INDEX(Assessment!$J:$J,$X299))</f>
        <v/>
      </c>
      <c r="H299" s="10" t="str">
        <f>IF($X299="","",INDEX(Assessment!$L:$L,$X299))</f>
        <v/>
      </c>
      <c r="I299" s="10" t="str">
        <f>IF($X299="","",INDEX(Assessment!$N:$N,$X299))</f>
        <v/>
      </c>
      <c r="X299" t="str">
        <f>IF(283&lt;=$B$6,SMALL($Y$2:$Y$593,283),IF(283&lt;=$B$6+$B$7,SMALL($Z$2:$Z$593,283-$B$6),""))</f>
        <v/>
      </c>
      <c r="Y299" t="str">
        <f>IF(Assessment!$G299="Critical",ROW(Assessment!$G299),"")</f>
        <v/>
      </c>
      <c r="Z299" t="str">
        <f>IF(Assessment!$G299="High",ROW(Assessment!$G299),"")</f>
        <v/>
      </c>
    </row>
    <row r="300" spans="1:26" x14ac:dyDescent="0.25">
      <c r="A300" s="10" t="str">
        <f>IF($X300="","",284)</f>
        <v/>
      </c>
      <c r="B300" s="10" t="str">
        <f>IF($X300="","",INDEX(Assessment!$A:$A,$X300))</f>
        <v/>
      </c>
      <c r="C300" s="10" t="str">
        <f>IF($X300="","",INDEX(Assessment!$B:$B,$X300))</f>
        <v/>
      </c>
      <c r="D300" s="10" t="str">
        <f>IF($X300="","",INDEX(Assessment!$C:$C,$X300))</f>
        <v/>
      </c>
      <c r="E300" s="10" t="str">
        <f>IF($X300="","",INDEX(Assessment!$F:$F,$X300))</f>
        <v/>
      </c>
      <c r="F300" s="10" t="str">
        <f>IF($X300="","",INDEX(Assessment!$G:$G,$X300))</f>
        <v/>
      </c>
      <c r="G300" s="10" t="str">
        <f>IF($X300="","",INDEX(Assessment!$J:$J,$X300))</f>
        <v/>
      </c>
      <c r="H300" s="10" t="str">
        <f>IF($X300="","",INDEX(Assessment!$L:$L,$X300))</f>
        <v/>
      </c>
      <c r="I300" s="10" t="str">
        <f>IF($X300="","",INDEX(Assessment!$N:$N,$X300))</f>
        <v/>
      </c>
      <c r="X300" t="str">
        <f>IF(284&lt;=$B$6,SMALL($Y$2:$Y$593,284),IF(284&lt;=$B$6+$B$7,SMALL($Z$2:$Z$593,284-$B$6),""))</f>
        <v/>
      </c>
      <c r="Y300" t="str">
        <f>IF(Assessment!$G300="Critical",ROW(Assessment!$G300),"")</f>
        <v/>
      </c>
      <c r="Z300" t="str">
        <f>IF(Assessment!$G300="High",ROW(Assessment!$G300),"")</f>
        <v/>
      </c>
    </row>
    <row r="301" spans="1:26" x14ac:dyDescent="0.25">
      <c r="A301" s="10" t="str">
        <f>IF($X301="","",285)</f>
        <v/>
      </c>
      <c r="B301" s="10" t="str">
        <f>IF($X301="","",INDEX(Assessment!$A:$A,$X301))</f>
        <v/>
      </c>
      <c r="C301" s="10" t="str">
        <f>IF($X301="","",INDEX(Assessment!$B:$B,$X301))</f>
        <v/>
      </c>
      <c r="D301" s="10" t="str">
        <f>IF($X301="","",INDEX(Assessment!$C:$C,$X301))</f>
        <v/>
      </c>
      <c r="E301" s="10" t="str">
        <f>IF($X301="","",INDEX(Assessment!$F:$F,$X301))</f>
        <v/>
      </c>
      <c r="F301" s="10" t="str">
        <f>IF($X301="","",INDEX(Assessment!$G:$G,$X301))</f>
        <v/>
      </c>
      <c r="G301" s="10" t="str">
        <f>IF($X301="","",INDEX(Assessment!$J:$J,$X301))</f>
        <v/>
      </c>
      <c r="H301" s="10" t="str">
        <f>IF($X301="","",INDEX(Assessment!$L:$L,$X301))</f>
        <v/>
      </c>
      <c r="I301" s="10" t="str">
        <f>IF($X301="","",INDEX(Assessment!$N:$N,$X301))</f>
        <v/>
      </c>
      <c r="X301" t="str">
        <f>IF(285&lt;=$B$6,SMALL($Y$2:$Y$593,285),IF(285&lt;=$B$6+$B$7,SMALL($Z$2:$Z$593,285-$B$6),""))</f>
        <v/>
      </c>
      <c r="Y301" t="str">
        <f>IF(Assessment!$G301="Critical",ROW(Assessment!$G301),"")</f>
        <v/>
      </c>
      <c r="Z301" t="str">
        <f>IF(Assessment!$G301="High",ROW(Assessment!$G301),"")</f>
        <v/>
      </c>
    </row>
    <row r="302" spans="1:26" x14ac:dyDescent="0.25">
      <c r="A302" s="10" t="str">
        <f>IF($X302="","",286)</f>
        <v/>
      </c>
      <c r="B302" s="10" t="str">
        <f>IF($X302="","",INDEX(Assessment!$A:$A,$X302))</f>
        <v/>
      </c>
      <c r="C302" s="10" t="str">
        <f>IF($X302="","",INDEX(Assessment!$B:$B,$X302))</f>
        <v/>
      </c>
      <c r="D302" s="10" t="str">
        <f>IF($X302="","",INDEX(Assessment!$C:$C,$X302))</f>
        <v/>
      </c>
      <c r="E302" s="10" t="str">
        <f>IF($X302="","",INDEX(Assessment!$F:$F,$X302))</f>
        <v/>
      </c>
      <c r="F302" s="10" t="str">
        <f>IF($X302="","",INDEX(Assessment!$G:$G,$X302))</f>
        <v/>
      </c>
      <c r="G302" s="10" t="str">
        <f>IF($X302="","",INDEX(Assessment!$J:$J,$X302))</f>
        <v/>
      </c>
      <c r="H302" s="10" t="str">
        <f>IF($X302="","",INDEX(Assessment!$L:$L,$X302))</f>
        <v/>
      </c>
      <c r="I302" s="10" t="str">
        <f>IF($X302="","",INDEX(Assessment!$N:$N,$X302))</f>
        <v/>
      </c>
      <c r="X302" t="str">
        <f>IF(286&lt;=$B$6,SMALL($Y$2:$Y$593,286),IF(286&lt;=$B$6+$B$7,SMALL($Z$2:$Z$593,286-$B$6),""))</f>
        <v/>
      </c>
      <c r="Y302" t="str">
        <f>IF(Assessment!$G302="Critical",ROW(Assessment!$G302),"")</f>
        <v/>
      </c>
      <c r="Z302" t="str">
        <f>IF(Assessment!$G302="High",ROW(Assessment!$G302),"")</f>
        <v/>
      </c>
    </row>
    <row r="303" spans="1:26" x14ac:dyDescent="0.25">
      <c r="A303" s="10" t="str">
        <f>IF($X303="","",287)</f>
        <v/>
      </c>
      <c r="B303" s="10" t="str">
        <f>IF($X303="","",INDEX(Assessment!$A:$A,$X303))</f>
        <v/>
      </c>
      <c r="C303" s="10" t="str">
        <f>IF($X303="","",INDEX(Assessment!$B:$B,$X303))</f>
        <v/>
      </c>
      <c r="D303" s="10" t="str">
        <f>IF($X303="","",INDEX(Assessment!$C:$C,$X303))</f>
        <v/>
      </c>
      <c r="E303" s="10" t="str">
        <f>IF($X303="","",INDEX(Assessment!$F:$F,$X303))</f>
        <v/>
      </c>
      <c r="F303" s="10" t="str">
        <f>IF($X303="","",INDEX(Assessment!$G:$G,$X303))</f>
        <v/>
      </c>
      <c r="G303" s="10" t="str">
        <f>IF($X303="","",INDEX(Assessment!$J:$J,$X303))</f>
        <v/>
      </c>
      <c r="H303" s="10" t="str">
        <f>IF($X303="","",INDEX(Assessment!$L:$L,$X303))</f>
        <v/>
      </c>
      <c r="I303" s="10" t="str">
        <f>IF($X303="","",INDEX(Assessment!$N:$N,$X303))</f>
        <v/>
      </c>
      <c r="X303" t="str">
        <f>IF(287&lt;=$B$6,SMALL($Y$2:$Y$593,287),IF(287&lt;=$B$6+$B$7,SMALL($Z$2:$Z$593,287-$B$6),""))</f>
        <v/>
      </c>
      <c r="Y303" t="str">
        <f>IF(Assessment!$G303="Critical",ROW(Assessment!$G303),"")</f>
        <v/>
      </c>
      <c r="Z303" t="str">
        <f>IF(Assessment!$G303="High",ROW(Assessment!$G303),"")</f>
        <v/>
      </c>
    </row>
    <row r="304" spans="1:26" x14ac:dyDescent="0.25">
      <c r="A304" s="10" t="str">
        <f>IF($X304="","",288)</f>
        <v/>
      </c>
      <c r="B304" s="10" t="str">
        <f>IF($X304="","",INDEX(Assessment!$A:$A,$X304))</f>
        <v/>
      </c>
      <c r="C304" s="10" t="str">
        <f>IF($X304="","",INDEX(Assessment!$B:$B,$X304))</f>
        <v/>
      </c>
      <c r="D304" s="10" t="str">
        <f>IF($X304="","",INDEX(Assessment!$C:$C,$X304))</f>
        <v/>
      </c>
      <c r="E304" s="10" t="str">
        <f>IF($X304="","",INDEX(Assessment!$F:$F,$X304))</f>
        <v/>
      </c>
      <c r="F304" s="10" t="str">
        <f>IF($X304="","",INDEX(Assessment!$G:$G,$X304))</f>
        <v/>
      </c>
      <c r="G304" s="10" t="str">
        <f>IF($X304="","",INDEX(Assessment!$J:$J,$X304))</f>
        <v/>
      </c>
      <c r="H304" s="10" t="str">
        <f>IF($X304="","",INDEX(Assessment!$L:$L,$X304))</f>
        <v/>
      </c>
      <c r="I304" s="10" t="str">
        <f>IF($X304="","",INDEX(Assessment!$N:$N,$X304))</f>
        <v/>
      </c>
      <c r="X304" t="str">
        <f>IF(288&lt;=$B$6,SMALL($Y$2:$Y$593,288),IF(288&lt;=$B$6+$B$7,SMALL($Z$2:$Z$593,288-$B$6),""))</f>
        <v/>
      </c>
      <c r="Y304" t="str">
        <f>IF(Assessment!$G304="Critical",ROW(Assessment!$G304),"")</f>
        <v/>
      </c>
      <c r="Z304" t="str">
        <f>IF(Assessment!$G304="High",ROW(Assessment!$G304),"")</f>
        <v/>
      </c>
    </row>
    <row r="305" spans="1:26" x14ac:dyDescent="0.25">
      <c r="A305" s="10" t="str">
        <f>IF($X305="","",289)</f>
        <v/>
      </c>
      <c r="B305" s="10" t="str">
        <f>IF($X305="","",INDEX(Assessment!$A:$A,$X305))</f>
        <v/>
      </c>
      <c r="C305" s="10" t="str">
        <f>IF($X305="","",INDEX(Assessment!$B:$B,$X305))</f>
        <v/>
      </c>
      <c r="D305" s="10" t="str">
        <f>IF($X305="","",INDEX(Assessment!$C:$C,$X305))</f>
        <v/>
      </c>
      <c r="E305" s="10" t="str">
        <f>IF($X305="","",INDEX(Assessment!$F:$F,$X305))</f>
        <v/>
      </c>
      <c r="F305" s="10" t="str">
        <f>IF($X305="","",INDEX(Assessment!$G:$G,$X305))</f>
        <v/>
      </c>
      <c r="G305" s="10" t="str">
        <f>IF($X305="","",INDEX(Assessment!$J:$J,$X305))</f>
        <v/>
      </c>
      <c r="H305" s="10" t="str">
        <f>IF($X305="","",INDEX(Assessment!$L:$L,$X305))</f>
        <v/>
      </c>
      <c r="I305" s="10" t="str">
        <f>IF($X305="","",INDEX(Assessment!$N:$N,$X305))</f>
        <v/>
      </c>
      <c r="X305" t="str">
        <f>IF(289&lt;=$B$6,SMALL($Y$2:$Y$593,289),IF(289&lt;=$B$6+$B$7,SMALL($Z$2:$Z$593,289-$B$6),""))</f>
        <v/>
      </c>
      <c r="Y305" t="str">
        <f>IF(Assessment!$G305="Critical",ROW(Assessment!$G305),"")</f>
        <v/>
      </c>
      <c r="Z305" t="str">
        <f>IF(Assessment!$G305="High",ROW(Assessment!$G305),"")</f>
        <v/>
      </c>
    </row>
    <row r="306" spans="1:26" x14ac:dyDescent="0.25">
      <c r="A306" s="10" t="str">
        <f>IF($X306="","",290)</f>
        <v/>
      </c>
      <c r="B306" s="10" t="str">
        <f>IF($X306="","",INDEX(Assessment!$A:$A,$X306))</f>
        <v/>
      </c>
      <c r="C306" s="10" t="str">
        <f>IF($X306="","",INDEX(Assessment!$B:$B,$X306))</f>
        <v/>
      </c>
      <c r="D306" s="10" t="str">
        <f>IF($X306="","",INDEX(Assessment!$C:$C,$X306))</f>
        <v/>
      </c>
      <c r="E306" s="10" t="str">
        <f>IF($X306="","",INDEX(Assessment!$F:$F,$X306))</f>
        <v/>
      </c>
      <c r="F306" s="10" t="str">
        <f>IF($X306="","",INDEX(Assessment!$G:$G,$X306))</f>
        <v/>
      </c>
      <c r="G306" s="10" t="str">
        <f>IF($X306="","",INDEX(Assessment!$J:$J,$X306))</f>
        <v/>
      </c>
      <c r="H306" s="10" t="str">
        <f>IF($X306="","",INDEX(Assessment!$L:$L,$X306))</f>
        <v/>
      </c>
      <c r="I306" s="10" t="str">
        <f>IF($X306="","",INDEX(Assessment!$N:$N,$X306))</f>
        <v/>
      </c>
      <c r="X306" t="str">
        <f>IF(290&lt;=$B$6,SMALL($Y$2:$Y$593,290),IF(290&lt;=$B$6+$B$7,SMALL($Z$2:$Z$593,290-$B$6),""))</f>
        <v/>
      </c>
      <c r="Y306" t="str">
        <f>IF(Assessment!$G306="Critical",ROW(Assessment!$G306),"")</f>
        <v/>
      </c>
      <c r="Z306" t="str">
        <f>IF(Assessment!$G306="High",ROW(Assessment!$G306),"")</f>
        <v/>
      </c>
    </row>
    <row r="307" spans="1:26" x14ac:dyDescent="0.25">
      <c r="A307" s="10" t="str">
        <f>IF($X307="","",291)</f>
        <v/>
      </c>
      <c r="B307" s="10" t="str">
        <f>IF($X307="","",INDEX(Assessment!$A:$A,$X307))</f>
        <v/>
      </c>
      <c r="C307" s="10" t="str">
        <f>IF($X307="","",INDEX(Assessment!$B:$B,$X307))</f>
        <v/>
      </c>
      <c r="D307" s="10" t="str">
        <f>IF($X307="","",INDEX(Assessment!$C:$C,$X307))</f>
        <v/>
      </c>
      <c r="E307" s="10" t="str">
        <f>IF($X307="","",INDEX(Assessment!$F:$F,$X307))</f>
        <v/>
      </c>
      <c r="F307" s="10" t="str">
        <f>IF($X307="","",INDEX(Assessment!$G:$G,$X307))</f>
        <v/>
      </c>
      <c r="G307" s="10" t="str">
        <f>IF($X307="","",INDEX(Assessment!$J:$J,$X307))</f>
        <v/>
      </c>
      <c r="H307" s="10" t="str">
        <f>IF($X307="","",INDEX(Assessment!$L:$L,$X307))</f>
        <v/>
      </c>
      <c r="I307" s="10" t="str">
        <f>IF($X307="","",INDEX(Assessment!$N:$N,$X307))</f>
        <v/>
      </c>
      <c r="X307" t="str">
        <f>IF(291&lt;=$B$6,SMALL($Y$2:$Y$593,291),IF(291&lt;=$B$6+$B$7,SMALL($Z$2:$Z$593,291-$B$6),""))</f>
        <v/>
      </c>
      <c r="Y307" t="str">
        <f>IF(Assessment!$G307="Critical",ROW(Assessment!$G307),"")</f>
        <v/>
      </c>
      <c r="Z307" t="str">
        <f>IF(Assessment!$G307="High",ROW(Assessment!$G307),"")</f>
        <v/>
      </c>
    </row>
    <row r="308" spans="1:26" x14ac:dyDescent="0.25">
      <c r="A308" s="10" t="str">
        <f>IF($X308="","",292)</f>
        <v/>
      </c>
      <c r="B308" s="10" t="str">
        <f>IF($X308="","",INDEX(Assessment!$A:$A,$X308))</f>
        <v/>
      </c>
      <c r="C308" s="10" t="str">
        <f>IF($X308="","",INDEX(Assessment!$B:$B,$X308))</f>
        <v/>
      </c>
      <c r="D308" s="10" t="str">
        <f>IF($X308="","",INDEX(Assessment!$C:$C,$X308))</f>
        <v/>
      </c>
      <c r="E308" s="10" t="str">
        <f>IF($X308="","",INDEX(Assessment!$F:$F,$X308))</f>
        <v/>
      </c>
      <c r="F308" s="10" t="str">
        <f>IF($X308="","",INDEX(Assessment!$G:$G,$X308))</f>
        <v/>
      </c>
      <c r="G308" s="10" t="str">
        <f>IF($X308="","",INDEX(Assessment!$J:$J,$X308))</f>
        <v/>
      </c>
      <c r="H308" s="10" t="str">
        <f>IF($X308="","",INDEX(Assessment!$L:$L,$X308))</f>
        <v/>
      </c>
      <c r="I308" s="10" t="str">
        <f>IF($X308="","",INDEX(Assessment!$N:$N,$X308))</f>
        <v/>
      </c>
      <c r="X308" t="str">
        <f>IF(292&lt;=$B$6,SMALL($Y$2:$Y$593,292),IF(292&lt;=$B$6+$B$7,SMALL($Z$2:$Z$593,292-$B$6),""))</f>
        <v/>
      </c>
      <c r="Y308" t="str">
        <f>IF(Assessment!$G308="Critical",ROW(Assessment!$G308),"")</f>
        <v/>
      </c>
      <c r="Z308" t="str">
        <f>IF(Assessment!$G308="High",ROW(Assessment!$G308),"")</f>
        <v/>
      </c>
    </row>
    <row r="309" spans="1:26" x14ac:dyDescent="0.25">
      <c r="A309" s="10" t="str">
        <f>IF($X309="","",293)</f>
        <v/>
      </c>
      <c r="B309" s="10" t="str">
        <f>IF($X309="","",INDEX(Assessment!$A:$A,$X309))</f>
        <v/>
      </c>
      <c r="C309" s="10" t="str">
        <f>IF($X309="","",INDEX(Assessment!$B:$B,$X309))</f>
        <v/>
      </c>
      <c r="D309" s="10" t="str">
        <f>IF($X309="","",INDEX(Assessment!$C:$C,$X309))</f>
        <v/>
      </c>
      <c r="E309" s="10" t="str">
        <f>IF($X309="","",INDEX(Assessment!$F:$F,$X309))</f>
        <v/>
      </c>
      <c r="F309" s="10" t="str">
        <f>IF($X309="","",INDEX(Assessment!$G:$G,$X309))</f>
        <v/>
      </c>
      <c r="G309" s="10" t="str">
        <f>IF($X309="","",INDEX(Assessment!$J:$J,$X309))</f>
        <v/>
      </c>
      <c r="H309" s="10" t="str">
        <f>IF($X309="","",INDEX(Assessment!$L:$L,$X309))</f>
        <v/>
      </c>
      <c r="I309" s="10" t="str">
        <f>IF($X309="","",INDEX(Assessment!$N:$N,$X309))</f>
        <v/>
      </c>
      <c r="X309" t="str">
        <f>IF(293&lt;=$B$6,SMALL($Y$2:$Y$593,293),IF(293&lt;=$B$6+$B$7,SMALL($Z$2:$Z$593,293-$B$6),""))</f>
        <v/>
      </c>
      <c r="Y309" t="str">
        <f>IF(Assessment!$G309="Critical",ROW(Assessment!$G309),"")</f>
        <v/>
      </c>
      <c r="Z309" t="str">
        <f>IF(Assessment!$G309="High",ROW(Assessment!$G309),"")</f>
        <v/>
      </c>
    </row>
    <row r="310" spans="1:26" x14ac:dyDescent="0.25">
      <c r="A310" s="10" t="str">
        <f>IF($X310="","",294)</f>
        <v/>
      </c>
      <c r="B310" s="10" t="str">
        <f>IF($X310="","",INDEX(Assessment!$A:$A,$X310))</f>
        <v/>
      </c>
      <c r="C310" s="10" t="str">
        <f>IF($X310="","",INDEX(Assessment!$B:$B,$X310))</f>
        <v/>
      </c>
      <c r="D310" s="10" t="str">
        <f>IF($X310="","",INDEX(Assessment!$C:$C,$X310))</f>
        <v/>
      </c>
      <c r="E310" s="10" t="str">
        <f>IF($X310="","",INDEX(Assessment!$F:$F,$X310))</f>
        <v/>
      </c>
      <c r="F310" s="10" t="str">
        <f>IF($X310="","",INDEX(Assessment!$G:$G,$X310))</f>
        <v/>
      </c>
      <c r="G310" s="10" t="str">
        <f>IF($X310="","",INDEX(Assessment!$J:$J,$X310))</f>
        <v/>
      </c>
      <c r="H310" s="10" t="str">
        <f>IF($X310="","",INDEX(Assessment!$L:$L,$X310))</f>
        <v/>
      </c>
      <c r="I310" s="10" t="str">
        <f>IF($X310="","",INDEX(Assessment!$N:$N,$X310))</f>
        <v/>
      </c>
      <c r="X310" t="str">
        <f>IF(294&lt;=$B$6,SMALL($Y$2:$Y$593,294),IF(294&lt;=$B$6+$B$7,SMALL($Z$2:$Z$593,294-$B$6),""))</f>
        <v/>
      </c>
      <c r="Y310" t="str">
        <f>IF(Assessment!$G310="Critical",ROW(Assessment!$G310),"")</f>
        <v/>
      </c>
      <c r="Z310" t="str">
        <f>IF(Assessment!$G310="High",ROW(Assessment!$G310),"")</f>
        <v/>
      </c>
    </row>
    <row r="311" spans="1:26" x14ac:dyDescent="0.25">
      <c r="A311" s="10" t="str">
        <f>IF($X311="","",295)</f>
        <v/>
      </c>
      <c r="B311" s="10" t="str">
        <f>IF($X311="","",INDEX(Assessment!$A:$A,$X311))</f>
        <v/>
      </c>
      <c r="C311" s="10" t="str">
        <f>IF($X311="","",INDEX(Assessment!$B:$B,$X311))</f>
        <v/>
      </c>
      <c r="D311" s="10" t="str">
        <f>IF($X311="","",INDEX(Assessment!$C:$C,$X311))</f>
        <v/>
      </c>
      <c r="E311" s="10" t="str">
        <f>IF($X311="","",INDEX(Assessment!$F:$F,$X311))</f>
        <v/>
      </c>
      <c r="F311" s="10" t="str">
        <f>IF($X311="","",INDEX(Assessment!$G:$G,$X311))</f>
        <v/>
      </c>
      <c r="G311" s="10" t="str">
        <f>IF($X311="","",INDEX(Assessment!$J:$J,$X311))</f>
        <v/>
      </c>
      <c r="H311" s="10" t="str">
        <f>IF($X311="","",INDEX(Assessment!$L:$L,$X311))</f>
        <v/>
      </c>
      <c r="I311" s="10" t="str">
        <f>IF($X311="","",INDEX(Assessment!$N:$N,$X311))</f>
        <v/>
      </c>
      <c r="X311" t="str">
        <f>IF(295&lt;=$B$6,SMALL($Y$2:$Y$593,295),IF(295&lt;=$B$6+$B$7,SMALL($Z$2:$Z$593,295-$B$6),""))</f>
        <v/>
      </c>
      <c r="Y311" t="str">
        <f>IF(Assessment!$G311="Critical",ROW(Assessment!$G311),"")</f>
        <v/>
      </c>
      <c r="Z311" t="str">
        <f>IF(Assessment!$G311="High",ROW(Assessment!$G311),"")</f>
        <v/>
      </c>
    </row>
    <row r="312" spans="1:26" x14ac:dyDescent="0.25">
      <c r="A312" s="10" t="str">
        <f>IF($X312="","",296)</f>
        <v/>
      </c>
      <c r="B312" s="10" t="str">
        <f>IF($X312="","",INDEX(Assessment!$A:$A,$X312))</f>
        <v/>
      </c>
      <c r="C312" s="10" t="str">
        <f>IF($X312="","",INDEX(Assessment!$B:$B,$X312))</f>
        <v/>
      </c>
      <c r="D312" s="10" t="str">
        <f>IF($X312="","",INDEX(Assessment!$C:$C,$X312))</f>
        <v/>
      </c>
      <c r="E312" s="10" t="str">
        <f>IF($X312="","",INDEX(Assessment!$F:$F,$X312))</f>
        <v/>
      </c>
      <c r="F312" s="10" t="str">
        <f>IF($X312="","",INDEX(Assessment!$G:$G,$X312))</f>
        <v/>
      </c>
      <c r="G312" s="10" t="str">
        <f>IF($X312="","",INDEX(Assessment!$J:$J,$X312))</f>
        <v/>
      </c>
      <c r="H312" s="10" t="str">
        <f>IF($X312="","",INDEX(Assessment!$L:$L,$X312))</f>
        <v/>
      </c>
      <c r="I312" s="10" t="str">
        <f>IF($X312="","",INDEX(Assessment!$N:$N,$X312))</f>
        <v/>
      </c>
      <c r="X312" t="str">
        <f>IF(296&lt;=$B$6,SMALL($Y$2:$Y$593,296),IF(296&lt;=$B$6+$B$7,SMALL($Z$2:$Z$593,296-$B$6),""))</f>
        <v/>
      </c>
      <c r="Y312" t="str">
        <f>IF(Assessment!$G312="Critical",ROW(Assessment!$G312),"")</f>
        <v/>
      </c>
      <c r="Z312" t="str">
        <f>IF(Assessment!$G312="High",ROW(Assessment!$G312),"")</f>
        <v/>
      </c>
    </row>
    <row r="313" spans="1:26" x14ac:dyDescent="0.25">
      <c r="A313" s="10" t="str">
        <f>IF($X313="","",297)</f>
        <v/>
      </c>
      <c r="B313" s="10" t="str">
        <f>IF($X313="","",INDEX(Assessment!$A:$A,$X313))</f>
        <v/>
      </c>
      <c r="C313" s="10" t="str">
        <f>IF($X313="","",INDEX(Assessment!$B:$B,$X313))</f>
        <v/>
      </c>
      <c r="D313" s="10" t="str">
        <f>IF($X313="","",INDEX(Assessment!$C:$C,$X313))</f>
        <v/>
      </c>
      <c r="E313" s="10" t="str">
        <f>IF($X313="","",INDEX(Assessment!$F:$F,$X313))</f>
        <v/>
      </c>
      <c r="F313" s="10" t="str">
        <f>IF($X313="","",INDEX(Assessment!$G:$G,$X313))</f>
        <v/>
      </c>
      <c r="G313" s="10" t="str">
        <f>IF($X313="","",INDEX(Assessment!$J:$J,$X313))</f>
        <v/>
      </c>
      <c r="H313" s="10" t="str">
        <f>IF($X313="","",INDEX(Assessment!$L:$L,$X313))</f>
        <v/>
      </c>
      <c r="I313" s="10" t="str">
        <f>IF($X313="","",INDEX(Assessment!$N:$N,$X313))</f>
        <v/>
      </c>
      <c r="X313" t="str">
        <f>IF(297&lt;=$B$6,SMALL($Y$2:$Y$593,297),IF(297&lt;=$B$6+$B$7,SMALL($Z$2:$Z$593,297-$B$6),""))</f>
        <v/>
      </c>
      <c r="Y313" t="str">
        <f>IF(Assessment!$G313="Critical",ROW(Assessment!$G313),"")</f>
        <v/>
      </c>
      <c r="Z313" t="str">
        <f>IF(Assessment!$G313="High",ROW(Assessment!$G313),"")</f>
        <v/>
      </c>
    </row>
    <row r="314" spans="1:26" x14ac:dyDescent="0.25">
      <c r="A314" s="10" t="str">
        <f>IF($X314="","",298)</f>
        <v/>
      </c>
      <c r="B314" s="10" t="str">
        <f>IF($X314="","",INDEX(Assessment!$A:$A,$X314))</f>
        <v/>
      </c>
      <c r="C314" s="10" t="str">
        <f>IF($X314="","",INDEX(Assessment!$B:$B,$X314))</f>
        <v/>
      </c>
      <c r="D314" s="10" t="str">
        <f>IF($X314="","",INDEX(Assessment!$C:$C,$X314))</f>
        <v/>
      </c>
      <c r="E314" s="10" t="str">
        <f>IF($X314="","",INDEX(Assessment!$F:$F,$X314))</f>
        <v/>
      </c>
      <c r="F314" s="10" t="str">
        <f>IF($X314="","",INDEX(Assessment!$G:$G,$X314))</f>
        <v/>
      </c>
      <c r="G314" s="10" t="str">
        <f>IF($X314="","",INDEX(Assessment!$J:$J,$X314))</f>
        <v/>
      </c>
      <c r="H314" s="10" t="str">
        <f>IF($X314="","",INDEX(Assessment!$L:$L,$X314))</f>
        <v/>
      </c>
      <c r="I314" s="10" t="str">
        <f>IF($X314="","",INDEX(Assessment!$N:$N,$X314))</f>
        <v/>
      </c>
      <c r="X314" t="str">
        <f>IF(298&lt;=$B$6,SMALL($Y$2:$Y$593,298),IF(298&lt;=$B$6+$B$7,SMALL($Z$2:$Z$593,298-$B$6),""))</f>
        <v/>
      </c>
      <c r="Y314" t="str">
        <f>IF(Assessment!$G314="Critical",ROW(Assessment!$G314),"")</f>
        <v/>
      </c>
      <c r="Z314" t="str">
        <f>IF(Assessment!$G314="High",ROW(Assessment!$G314),"")</f>
        <v/>
      </c>
    </row>
    <row r="315" spans="1:26" x14ac:dyDescent="0.25">
      <c r="A315" s="10" t="str">
        <f>IF($X315="","",299)</f>
        <v/>
      </c>
      <c r="B315" s="10" t="str">
        <f>IF($X315="","",INDEX(Assessment!$A:$A,$X315))</f>
        <v/>
      </c>
      <c r="C315" s="10" t="str">
        <f>IF($X315="","",INDEX(Assessment!$B:$B,$X315))</f>
        <v/>
      </c>
      <c r="D315" s="10" t="str">
        <f>IF($X315="","",INDEX(Assessment!$C:$C,$X315))</f>
        <v/>
      </c>
      <c r="E315" s="10" t="str">
        <f>IF($X315="","",INDEX(Assessment!$F:$F,$X315))</f>
        <v/>
      </c>
      <c r="F315" s="10" t="str">
        <f>IF($X315="","",INDEX(Assessment!$G:$G,$X315))</f>
        <v/>
      </c>
      <c r="G315" s="10" t="str">
        <f>IF($X315="","",INDEX(Assessment!$J:$J,$X315))</f>
        <v/>
      </c>
      <c r="H315" s="10" t="str">
        <f>IF($X315="","",INDEX(Assessment!$L:$L,$X315))</f>
        <v/>
      </c>
      <c r="I315" s="10" t="str">
        <f>IF($X315="","",INDEX(Assessment!$N:$N,$X315))</f>
        <v/>
      </c>
      <c r="X315" t="str">
        <f>IF(299&lt;=$B$6,SMALL($Y$2:$Y$593,299),IF(299&lt;=$B$6+$B$7,SMALL($Z$2:$Z$593,299-$B$6),""))</f>
        <v/>
      </c>
      <c r="Y315" t="str">
        <f>IF(Assessment!$G315="Critical",ROW(Assessment!$G315),"")</f>
        <v/>
      </c>
      <c r="Z315" t="str">
        <f>IF(Assessment!$G315="High",ROW(Assessment!$G315),"")</f>
        <v/>
      </c>
    </row>
    <row r="316" spans="1:26" x14ac:dyDescent="0.25">
      <c r="A316" s="10" t="str">
        <f>IF($X316="","",300)</f>
        <v/>
      </c>
      <c r="B316" s="10" t="str">
        <f>IF($X316="","",INDEX(Assessment!$A:$A,$X316))</f>
        <v/>
      </c>
      <c r="C316" s="10" t="str">
        <f>IF($X316="","",INDEX(Assessment!$B:$B,$X316))</f>
        <v/>
      </c>
      <c r="D316" s="10" t="str">
        <f>IF($X316="","",INDEX(Assessment!$C:$C,$X316))</f>
        <v/>
      </c>
      <c r="E316" s="10" t="str">
        <f>IF($X316="","",INDEX(Assessment!$F:$F,$X316))</f>
        <v/>
      </c>
      <c r="F316" s="10" t="str">
        <f>IF($X316="","",INDEX(Assessment!$G:$G,$X316))</f>
        <v/>
      </c>
      <c r="G316" s="10" t="str">
        <f>IF($X316="","",INDEX(Assessment!$J:$J,$X316))</f>
        <v/>
      </c>
      <c r="H316" s="10" t="str">
        <f>IF($X316="","",INDEX(Assessment!$L:$L,$X316))</f>
        <v/>
      </c>
      <c r="I316" s="10" t="str">
        <f>IF($X316="","",INDEX(Assessment!$N:$N,$X316))</f>
        <v/>
      </c>
      <c r="X316" t="str">
        <f>IF(300&lt;=$B$6,SMALL($Y$2:$Y$593,300),IF(300&lt;=$B$6+$B$7,SMALL($Z$2:$Z$593,300-$B$6),""))</f>
        <v/>
      </c>
      <c r="Y316" t="str">
        <f>IF(Assessment!$G316="Critical",ROW(Assessment!$G316),"")</f>
        <v/>
      </c>
      <c r="Z316" t="str">
        <f>IF(Assessment!$G316="High",ROW(Assessment!$G316),"")</f>
        <v/>
      </c>
    </row>
    <row r="317" spans="1:26" x14ac:dyDescent="0.25">
      <c r="A317" s="10" t="str">
        <f>IF($X317="","",301)</f>
        <v/>
      </c>
      <c r="B317" s="10" t="str">
        <f>IF($X317="","",INDEX(Assessment!$A:$A,$X317))</f>
        <v/>
      </c>
      <c r="C317" s="10" t="str">
        <f>IF($X317="","",INDEX(Assessment!$B:$B,$X317))</f>
        <v/>
      </c>
      <c r="D317" s="10" t="str">
        <f>IF($X317="","",INDEX(Assessment!$C:$C,$X317))</f>
        <v/>
      </c>
      <c r="E317" s="10" t="str">
        <f>IF($X317="","",INDEX(Assessment!$F:$F,$X317))</f>
        <v/>
      </c>
      <c r="F317" s="10" t="str">
        <f>IF($X317="","",INDEX(Assessment!$G:$G,$X317))</f>
        <v/>
      </c>
      <c r="G317" s="10" t="str">
        <f>IF($X317="","",INDEX(Assessment!$J:$J,$X317))</f>
        <v/>
      </c>
      <c r="H317" s="10" t="str">
        <f>IF($X317="","",INDEX(Assessment!$L:$L,$X317))</f>
        <v/>
      </c>
      <c r="I317" s="10" t="str">
        <f>IF($X317="","",INDEX(Assessment!$N:$N,$X317))</f>
        <v/>
      </c>
      <c r="X317" t="str">
        <f>IF(301&lt;=$B$6,SMALL($Y$2:$Y$593,301),IF(301&lt;=$B$6+$B$7,SMALL($Z$2:$Z$593,301-$B$6),""))</f>
        <v/>
      </c>
      <c r="Y317" t="str">
        <f>IF(Assessment!$G317="Critical",ROW(Assessment!$G317),"")</f>
        <v/>
      </c>
      <c r="Z317" t="str">
        <f>IF(Assessment!$G317="High",ROW(Assessment!$G317),"")</f>
        <v/>
      </c>
    </row>
    <row r="318" spans="1:26" x14ac:dyDescent="0.25">
      <c r="A318" s="10" t="str">
        <f>IF($X318="","",302)</f>
        <v/>
      </c>
      <c r="B318" s="10" t="str">
        <f>IF($X318="","",INDEX(Assessment!$A:$A,$X318))</f>
        <v/>
      </c>
      <c r="C318" s="10" t="str">
        <f>IF($X318="","",INDEX(Assessment!$B:$B,$X318))</f>
        <v/>
      </c>
      <c r="D318" s="10" t="str">
        <f>IF($X318="","",INDEX(Assessment!$C:$C,$X318))</f>
        <v/>
      </c>
      <c r="E318" s="10" t="str">
        <f>IF($X318="","",INDEX(Assessment!$F:$F,$X318))</f>
        <v/>
      </c>
      <c r="F318" s="10" t="str">
        <f>IF($X318="","",INDEX(Assessment!$G:$G,$X318))</f>
        <v/>
      </c>
      <c r="G318" s="10" t="str">
        <f>IF($X318="","",INDEX(Assessment!$J:$J,$X318))</f>
        <v/>
      </c>
      <c r="H318" s="10" t="str">
        <f>IF($X318="","",INDEX(Assessment!$L:$L,$X318))</f>
        <v/>
      </c>
      <c r="I318" s="10" t="str">
        <f>IF($X318="","",INDEX(Assessment!$N:$N,$X318))</f>
        <v/>
      </c>
      <c r="X318" t="str">
        <f>IF(302&lt;=$B$6,SMALL($Y$2:$Y$593,302),IF(302&lt;=$B$6+$B$7,SMALL($Z$2:$Z$593,302-$B$6),""))</f>
        <v/>
      </c>
      <c r="Y318" t="str">
        <f>IF(Assessment!$G318="Critical",ROW(Assessment!$G318),"")</f>
        <v/>
      </c>
      <c r="Z318" t="str">
        <f>IF(Assessment!$G318="High",ROW(Assessment!$G318),"")</f>
        <v/>
      </c>
    </row>
    <row r="319" spans="1:26" x14ac:dyDescent="0.25">
      <c r="A319" s="10" t="str">
        <f>IF($X319="","",303)</f>
        <v/>
      </c>
      <c r="B319" s="10" t="str">
        <f>IF($X319="","",INDEX(Assessment!$A:$A,$X319))</f>
        <v/>
      </c>
      <c r="C319" s="10" t="str">
        <f>IF($X319="","",INDEX(Assessment!$B:$B,$X319))</f>
        <v/>
      </c>
      <c r="D319" s="10" t="str">
        <f>IF($X319="","",INDEX(Assessment!$C:$C,$X319))</f>
        <v/>
      </c>
      <c r="E319" s="10" t="str">
        <f>IF($X319="","",INDEX(Assessment!$F:$F,$X319))</f>
        <v/>
      </c>
      <c r="F319" s="10" t="str">
        <f>IF($X319="","",INDEX(Assessment!$G:$G,$X319))</f>
        <v/>
      </c>
      <c r="G319" s="10" t="str">
        <f>IF($X319="","",INDEX(Assessment!$J:$J,$X319))</f>
        <v/>
      </c>
      <c r="H319" s="10" t="str">
        <f>IF($X319="","",INDEX(Assessment!$L:$L,$X319))</f>
        <v/>
      </c>
      <c r="I319" s="10" t="str">
        <f>IF($X319="","",INDEX(Assessment!$N:$N,$X319))</f>
        <v/>
      </c>
      <c r="X319" t="str">
        <f>IF(303&lt;=$B$6,SMALL($Y$2:$Y$593,303),IF(303&lt;=$B$6+$B$7,SMALL($Z$2:$Z$593,303-$B$6),""))</f>
        <v/>
      </c>
      <c r="Y319" t="str">
        <f>IF(Assessment!$G319="Critical",ROW(Assessment!$G319),"")</f>
        <v/>
      </c>
      <c r="Z319" t="str">
        <f>IF(Assessment!$G319="High",ROW(Assessment!$G319),"")</f>
        <v/>
      </c>
    </row>
    <row r="320" spans="1:26" x14ac:dyDescent="0.25">
      <c r="A320" s="10" t="str">
        <f>IF($X320="","",304)</f>
        <v/>
      </c>
      <c r="B320" s="10" t="str">
        <f>IF($X320="","",INDEX(Assessment!$A:$A,$X320))</f>
        <v/>
      </c>
      <c r="C320" s="10" t="str">
        <f>IF($X320="","",INDEX(Assessment!$B:$B,$X320))</f>
        <v/>
      </c>
      <c r="D320" s="10" t="str">
        <f>IF($X320="","",INDEX(Assessment!$C:$C,$X320))</f>
        <v/>
      </c>
      <c r="E320" s="10" t="str">
        <f>IF($X320="","",INDEX(Assessment!$F:$F,$X320))</f>
        <v/>
      </c>
      <c r="F320" s="10" t="str">
        <f>IF($X320="","",INDEX(Assessment!$G:$G,$X320))</f>
        <v/>
      </c>
      <c r="G320" s="10" t="str">
        <f>IF($X320="","",INDEX(Assessment!$J:$J,$X320))</f>
        <v/>
      </c>
      <c r="H320" s="10" t="str">
        <f>IF($X320="","",INDEX(Assessment!$L:$L,$X320))</f>
        <v/>
      </c>
      <c r="I320" s="10" t="str">
        <f>IF($X320="","",INDEX(Assessment!$N:$N,$X320))</f>
        <v/>
      </c>
      <c r="X320" t="str">
        <f>IF(304&lt;=$B$6,SMALL($Y$2:$Y$593,304),IF(304&lt;=$B$6+$B$7,SMALL($Z$2:$Z$593,304-$B$6),""))</f>
        <v/>
      </c>
      <c r="Y320" t="str">
        <f>IF(Assessment!$G320="Critical",ROW(Assessment!$G320),"")</f>
        <v/>
      </c>
      <c r="Z320" t="str">
        <f>IF(Assessment!$G320="High",ROW(Assessment!$G320),"")</f>
        <v/>
      </c>
    </row>
    <row r="321" spans="1:26" x14ac:dyDescent="0.25">
      <c r="A321" s="10" t="str">
        <f>IF($X321="","",305)</f>
        <v/>
      </c>
      <c r="B321" s="10" t="str">
        <f>IF($X321="","",INDEX(Assessment!$A:$A,$X321))</f>
        <v/>
      </c>
      <c r="C321" s="10" t="str">
        <f>IF($X321="","",INDEX(Assessment!$B:$B,$X321))</f>
        <v/>
      </c>
      <c r="D321" s="10" t="str">
        <f>IF($X321="","",INDEX(Assessment!$C:$C,$X321))</f>
        <v/>
      </c>
      <c r="E321" s="10" t="str">
        <f>IF($X321="","",INDEX(Assessment!$F:$F,$X321))</f>
        <v/>
      </c>
      <c r="F321" s="10" t="str">
        <f>IF($X321="","",INDEX(Assessment!$G:$G,$X321))</f>
        <v/>
      </c>
      <c r="G321" s="10" t="str">
        <f>IF($X321="","",INDEX(Assessment!$J:$J,$X321))</f>
        <v/>
      </c>
      <c r="H321" s="10" t="str">
        <f>IF($X321="","",INDEX(Assessment!$L:$L,$X321))</f>
        <v/>
      </c>
      <c r="I321" s="10" t="str">
        <f>IF($X321="","",INDEX(Assessment!$N:$N,$X321))</f>
        <v/>
      </c>
      <c r="X321" t="str">
        <f>IF(305&lt;=$B$6,SMALL($Y$2:$Y$593,305),IF(305&lt;=$B$6+$B$7,SMALL($Z$2:$Z$593,305-$B$6),""))</f>
        <v/>
      </c>
      <c r="Y321" t="str">
        <f>IF(Assessment!$G321="Critical",ROW(Assessment!$G321),"")</f>
        <v/>
      </c>
      <c r="Z321" t="str">
        <f>IF(Assessment!$G321="High",ROW(Assessment!$G321),"")</f>
        <v/>
      </c>
    </row>
    <row r="322" spans="1:26" x14ac:dyDescent="0.25">
      <c r="A322" s="10" t="str">
        <f>IF($X322="","",306)</f>
        <v/>
      </c>
      <c r="B322" s="10" t="str">
        <f>IF($X322="","",INDEX(Assessment!$A:$A,$X322))</f>
        <v/>
      </c>
      <c r="C322" s="10" t="str">
        <f>IF($X322="","",INDEX(Assessment!$B:$B,$X322))</f>
        <v/>
      </c>
      <c r="D322" s="10" t="str">
        <f>IF($X322="","",INDEX(Assessment!$C:$C,$X322))</f>
        <v/>
      </c>
      <c r="E322" s="10" t="str">
        <f>IF($X322="","",INDEX(Assessment!$F:$F,$X322))</f>
        <v/>
      </c>
      <c r="F322" s="10" t="str">
        <f>IF($X322="","",INDEX(Assessment!$G:$G,$X322))</f>
        <v/>
      </c>
      <c r="G322" s="10" t="str">
        <f>IF($X322="","",INDEX(Assessment!$J:$J,$X322))</f>
        <v/>
      </c>
      <c r="H322" s="10" t="str">
        <f>IF($X322="","",INDEX(Assessment!$L:$L,$X322))</f>
        <v/>
      </c>
      <c r="I322" s="10" t="str">
        <f>IF($X322="","",INDEX(Assessment!$N:$N,$X322))</f>
        <v/>
      </c>
      <c r="X322" t="str">
        <f>IF(306&lt;=$B$6,SMALL($Y$2:$Y$593,306),IF(306&lt;=$B$6+$B$7,SMALL($Z$2:$Z$593,306-$B$6),""))</f>
        <v/>
      </c>
      <c r="Y322" t="str">
        <f>IF(Assessment!$G322="Critical",ROW(Assessment!$G322),"")</f>
        <v/>
      </c>
      <c r="Z322" t="str">
        <f>IF(Assessment!$G322="High",ROW(Assessment!$G322),"")</f>
        <v/>
      </c>
    </row>
    <row r="323" spans="1:26" x14ac:dyDescent="0.25">
      <c r="A323" s="10" t="str">
        <f>IF($X323="","",307)</f>
        <v/>
      </c>
      <c r="B323" s="10" t="str">
        <f>IF($X323="","",INDEX(Assessment!$A:$A,$X323))</f>
        <v/>
      </c>
      <c r="C323" s="10" t="str">
        <f>IF($X323="","",INDEX(Assessment!$B:$B,$X323))</f>
        <v/>
      </c>
      <c r="D323" s="10" t="str">
        <f>IF($X323="","",INDEX(Assessment!$C:$C,$X323))</f>
        <v/>
      </c>
      <c r="E323" s="10" t="str">
        <f>IF($X323="","",INDEX(Assessment!$F:$F,$X323))</f>
        <v/>
      </c>
      <c r="F323" s="10" t="str">
        <f>IF($X323="","",INDEX(Assessment!$G:$G,$X323))</f>
        <v/>
      </c>
      <c r="G323" s="10" t="str">
        <f>IF($X323="","",INDEX(Assessment!$J:$J,$X323))</f>
        <v/>
      </c>
      <c r="H323" s="10" t="str">
        <f>IF($X323="","",INDEX(Assessment!$L:$L,$X323))</f>
        <v/>
      </c>
      <c r="I323" s="10" t="str">
        <f>IF($X323="","",INDEX(Assessment!$N:$N,$X323))</f>
        <v/>
      </c>
      <c r="X323" t="str">
        <f>IF(307&lt;=$B$6,SMALL($Y$2:$Y$593,307),IF(307&lt;=$B$6+$B$7,SMALL($Z$2:$Z$593,307-$B$6),""))</f>
        <v/>
      </c>
      <c r="Y323" t="str">
        <f>IF(Assessment!$G323="Critical",ROW(Assessment!$G323),"")</f>
        <v/>
      </c>
      <c r="Z323" t="str">
        <f>IF(Assessment!$G323="High",ROW(Assessment!$G323),"")</f>
        <v/>
      </c>
    </row>
    <row r="324" spans="1:26" x14ac:dyDescent="0.25">
      <c r="A324" s="10" t="str">
        <f>IF($X324="","",308)</f>
        <v/>
      </c>
      <c r="B324" s="10" t="str">
        <f>IF($X324="","",INDEX(Assessment!$A:$A,$X324))</f>
        <v/>
      </c>
      <c r="C324" s="10" t="str">
        <f>IF($X324="","",INDEX(Assessment!$B:$B,$X324))</f>
        <v/>
      </c>
      <c r="D324" s="10" t="str">
        <f>IF($X324="","",INDEX(Assessment!$C:$C,$X324))</f>
        <v/>
      </c>
      <c r="E324" s="10" t="str">
        <f>IF($X324="","",INDEX(Assessment!$F:$F,$X324))</f>
        <v/>
      </c>
      <c r="F324" s="10" t="str">
        <f>IF($X324="","",INDEX(Assessment!$G:$G,$X324))</f>
        <v/>
      </c>
      <c r="G324" s="10" t="str">
        <f>IF($X324="","",INDEX(Assessment!$J:$J,$X324))</f>
        <v/>
      </c>
      <c r="H324" s="10" t="str">
        <f>IF($X324="","",INDEX(Assessment!$L:$L,$X324))</f>
        <v/>
      </c>
      <c r="I324" s="10" t="str">
        <f>IF($X324="","",INDEX(Assessment!$N:$N,$X324))</f>
        <v/>
      </c>
      <c r="X324" t="str">
        <f>IF(308&lt;=$B$6,SMALL($Y$2:$Y$593,308),IF(308&lt;=$B$6+$B$7,SMALL($Z$2:$Z$593,308-$B$6),""))</f>
        <v/>
      </c>
      <c r="Y324" t="str">
        <f>IF(Assessment!$G324="Critical",ROW(Assessment!$G324),"")</f>
        <v/>
      </c>
      <c r="Z324" t="str">
        <f>IF(Assessment!$G324="High",ROW(Assessment!$G324),"")</f>
        <v/>
      </c>
    </row>
    <row r="325" spans="1:26" x14ac:dyDescent="0.25">
      <c r="A325" s="10" t="str">
        <f>IF($X325="","",309)</f>
        <v/>
      </c>
      <c r="B325" s="10" t="str">
        <f>IF($X325="","",INDEX(Assessment!$A:$A,$X325))</f>
        <v/>
      </c>
      <c r="C325" s="10" t="str">
        <f>IF($X325="","",INDEX(Assessment!$B:$B,$X325))</f>
        <v/>
      </c>
      <c r="D325" s="10" t="str">
        <f>IF($X325="","",INDEX(Assessment!$C:$C,$X325))</f>
        <v/>
      </c>
      <c r="E325" s="10" t="str">
        <f>IF($X325="","",INDEX(Assessment!$F:$F,$X325))</f>
        <v/>
      </c>
      <c r="F325" s="10" t="str">
        <f>IF($X325="","",INDEX(Assessment!$G:$G,$X325))</f>
        <v/>
      </c>
      <c r="G325" s="10" t="str">
        <f>IF($X325="","",INDEX(Assessment!$J:$J,$X325))</f>
        <v/>
      </c>
      <c r="H325" s="10" t="str">
        <f>IF($X325="","",INDEX(Assessment!$L:$L,$X325))</f>
        <v/>
      </c>
      <c r="I325" s="10" t="str">
        <f>IF($X325="","",INDEX(Assessment!$N:$N,$X325))</f>
        <v/>
      </c>
      <c r="X325" t="str">
        <f>IF(309&lt;=$B$6,SMALL($Y$2:$Y$593,309),IF(309&lt;=$B$6+$B$7,SMALL($Z$2:$Z$593,309-$B$6),""))</f>
        <v/>
      </c>
      <c r="Y325" t="str">
        <f>IF(Assessment!$G325="Critical",ROW(Assessment!$G325),"")</f>
        <v/>
      </c>
      <c r="Z325" t="str">
        <f>IF(Assessment!$G325="High",ROW(Assessment!$G325),"")</f>
        <v/>
      </c>
    </row>
    <row r="326" spans="1:26" x14ac:dyDescent="0.25">
      <c r="A326" s="10" t="str">
        <f>IF($X326="","",310)</f>
        <v/>
      </c>
      <c r="B326" s="10" t="str">
        <f>IF($X326="","",INDEX(Assessment!$A:$A,$X326))</f>
        <v/>
      </c>
      <c r="C326" s="10" t="str">
        <f>IF($X326="","",INDEX(Assessment!$B:$B,$X326))</f>
        <v/>
      </c>
      <c r="D326" s="10" t="str">
        <f>IF($X326="","",INDEX(Assessment!$C:$C,$X326))</f>
        <v/>
      </c>
      <c r="E326" s="10" t="str">
        <f>IF($X326="","",INDEX(Assessment!$F:$F,$X326))</f>
        <v/>
      </c>
      <c r="F326" s="10" t="str">
        <f>IF($X326="","",INDEX(Assessment!$G:$G,$X326))</f>
        <v/>
      </c>
      <c r="G326" s="10" t="str">
        <f>IF($X326="","",INDEX(Assessment!$J:$J,$X326))</f>
        <v/>
      </c>
      <c r="H326" s="10" t="str">
        <f>IF($X326="","",INDEX(Assessment!$L:$L,$X326))</f>
        <v/>
      </c>
      <c r="I326" s="10" t="str">
        <f>IF($X326="","",INDEX(Assessment!$N:$N,$X326))</f>
        <v/>
      </c>
      <c r="X326" t="str">
        <f>IF(310&lt;=$B$6,SMALL($Y$2:$Y$593,310),IF(310&lt;=$B$6+$B$7,SMALL($Z$2:$Z$593,310-$B$6),""))</f>
        <v/>
      </c>
      <c r="Y326" t="str">
        <f>IF(Assessment!$G326="Critical",ROW(Assessment!$G326),"")</f>
        <v/>
      </c>
      <c r="Z326" t="str">
        <f>IF(Assessment!$G326="High",ROW(Assessment!$G326),"")</f>
        <v/>
      </c>
    </row>
    <row r="327" spans="1:26" x14ac:dyDescent="0.25">
      <c r="A327" s="10" t="str">
        <f>IF($X327="","",311)</f>
        <v/>
      </c>
      <c r="B327" s="10" t="str">
        <f>IF($X327="","",INDEX(Assessment!$A:$A,$X327))</f>
        <v/>
      </c>
      <c r="C327" s="10" t="str">
        <f>IF($X327="","",INDEX(Assessment!$B:$B,$X327))</f>
        <v/>
      </c>
      <c r="D327" s="10" t="str">
        <f>IF($X327="","",INDEX(Assessment!$C:$C,$X327))</f>
        <v/>
      </c>
      <c r="E327" s="10" t="str">
        <f>IF($X327="","",INDEX(Assessment!$F:$F,$X327))</f>
        <v/>
      </c>
      <c r="F327" s="10" t="str">
        <f>IF($X327="","",INDEX(Assessment!$G:$G,$X327))</f>
        <v/>
      </c>
      <c r="G327" s="10" t="str">
        <f>IF($X327="","",INDEX(Assessment!$J:$J,$X327))</f>
        <v/>
      </c>
      <c r="H327" s="10" t="str">
        <f>IF($X327="","",INDEX(Assessment!$L:$L,$X327))</f>
        <v/>
      </c>
      <c r="I327" s="10" t="str">
        <f>IF($X327="","",INDEX(Assessment!$N:$N,$X327))</f>
        <v/>
      </c>
      <c r="X327" t="str">
        <f>IF(311&lt;=$B$6,SMALL($Y$2:$Y$593,311),IF(311&lt;=$B$6+$B$7,SMALL($Z$2:$Z$593,311-$B$6),""))</f>
        <v/>
      </c>
      <c r="Y327" t="str">
        <f>IF(Assessment!$G327="Critical",ROW(Assessment!$G327),"")</f>
        <v/>
      </c>
      <c r="Z327" t="str">
        <f>IF(Assessment!$G327="High",ROW(Assessment!$G327),"")</f>
        <v/>
      </c>
    </row>
    <row r="328" spans="1:26" x14ac:dyDescent="0.25">
      <c r="A328" s="10" t="str">
        <f>IF($X328="","",312)</f>
        <v/>
      </c>
      <c r="B328" s="10" t="str">
        <f>IF($X328="","",INDEX(Assessment!$A:$A,$X328))</f>
        <v/>
      </c>
      <c r="C328" s="10" t="str">
        <f>IF($X328="","",INDEX(Assessment!$B:$B,$X328))</f>
        <v/>
      </c>
      <c r="D328" s="10" t="str">
        <f>IF($X328="","",INDEX(Assessment!$C:$C,$X328))</f>
        <v/>
      </c>
      <c r="E328" s="10" t="str">
        <f>IF($X328="","",INDEX(Assessment!$F:$F,$X328))</f>
        <v/>
      </c>
      <c r="F328" s="10" t="str">
        <f>IF($X328="","",INDEX(Assessment!$G:$G,$X328))</f>
        <v/>
      </c>
      <c r="G328" s="10" t="str">
        <f>IF($X328="","",INDEX(Assessment!$J:$J,$X328))</f>
        <v/>
      </c>
      <c r="H328" s="10" t="str">
        <f>IF($X328="","",INDEX(Assessment!$L:$L,$X328))</f>
        <v/>
      </c>
      <c r="I328" s="10" t="str">
        <f>IF($X328="","",INDEX(Assessment!$N:$N,$X328))</f>
        <v/>
      </c>
      <c r="X328" t="str">
        <f>IF(312&lt;=$B$6,SMALL($Y$2:$Y$593,312),IF(312&lt;=$B$6+$B$7,SMALL($Z$2:$Z$593,312-$B$6),""))</f>
        <v/>
      </c>
      <c r="Y328" t="str">
        <f>IF(Assessment!$G328="Critical",ROW(Assessment!$G328),"")</f>
        <v/>
      </c>
      <c r="Z328" t="str">
        <f>IF(Assessment!$G328="High",ROW(Assessment!$G328),"")</f>
        <v/>
      </c>
    </row>
    <row r="329" spans="1:26" x14ac:dyDescent="0.25">
      <c r="A329" s="10" t="str">
        <f>IF($X329="","",313)</f>
        <v/>
      </c>
      <c r="B329" s="10" t="str">
        <f>IF($X329="","",INDEX(Assessment!$A:$A,$X329))</f>
        <v/>
      </c>
      <c r="C329" s="10" t="str">
        <f>IF($X329="","",INDEX(Assessment!$B:$B,$X329))</f>
        <v/>
      </c>
      <c r="D329" s="10" t="str">
        <f>IF($X329="","",INDEX(Assessment!$C:$C,$X329))</f>
        <v/>
      </c>
      <c r="E329" s="10" t="str">
        <f>IF($X329="","",INDEX(Assessment!$F:$F,$X329))</f>
        <v/>
      </c>
      <c r="F329" s="10" t="str">
        <f>IF($X329="","",INDEX(Assessment!$G:$G,$X329))</f>
        <v/>
      </c>
      <c r="G329" s="10" t="str">
        <f>IF($X329="","",INDEX(Assessment!$J:$J,$X329))</f>
        <v/>
      </c>
      <c r="H329" s="10" t="str">
        <f>IF($X329="","",INDEX(Assessment!$L:$L,$X329))</f>
        <v/>
      </c>
      <c r="I329" s="10" t="str">
        <f>IF($X329="","",INDEX(Assessment!$N:$N,$X329))</f>
        <v/>
      </c>
      <c r="X329" t="str">
        <f>IF(313&lt;=$B$6,SMALL($Y$2:$Y$593,313),IF(313&lt;=$B$6+$B$7,SMALL($Z$2:$Z$593,313-$B$6),""))</f>
        <v/>
      </c>
      <c r="Y329" t="str">
        <f>IF(Assessment!$G329="Critical",ROW(Assessment!$G329),"")</f>
        <v/>
      </c>
      <c r="Z329" t="str">
        <f>IF(Assessment!$G329="High",ROW(Assessment!$G329),"")</f>
        <v/>
      </c>
    </row>
    <row r="330" spans="1:26" x14ac:dyDescent="0.25">
      <c r="A330" s="10" t="str">
        <f>IF($X330="","",314)</f>
        <v/>
      </c>
      <c r="B330" s="10" t="str">
        <f>IF($X330="","",INDEX(Assessment!$A:$A,$X330))</f>
        <v/>
      </c>
      <c r="C330" s="10" t="str">
        <f>IF($X330="","",INDEX(Assessment!$B:$B,$X330))</f>
        <v/>
      </c>
      <c r="D330" s="10" t="str">
        <f>IF($X330="","",INDEX(Assessment!$C:$C,$X330))</f>
        <v/>
      </c>
      <c r="E330" s="10" t="str">
        <f>IF($X330="","",INDEX(Assessment!$F:$F,$X330))</f>
        <v/>
      </c>
      <c r="F330" s="10" t="str">
        <f>IF($X330="","",INDEX(Assessment!$G:$G,$X330))</f>
        <v/>
      </c>
      <c r="G330" s="10" t="str">
        <f>IF($X330="","",INDEX(Assessment!$J:$J,$X330))</f>
        <v/>
      </c>
      <c r="H330" s="10" t="str">
        <f>IF($X330="","",INDEX(Assessment!$L:$L,$X330))</f>
        <v/>
      </c>
      <c r="I330" s="10" t="str">
        <f>IF($X330="","",INDEX(Assessment!$N:$N,$X330))</f>
        <v/>
      </c>
      <c r="X330" t="str">
        <f>IF(314&lt;=$B$6,SMALL($Y$2:$Y$593,314),IF(314&lt;=$B$6+$B$7,SMALL($Z$2:$Z$593,314-$B$6),""))</f>
        <v/>
      </c>
      <c r="Y330" t="str">
        <f>IF(Assessment!$G330="Critical",ROW(Assessment!$G330),"")</f>
        <v/>
      </c>
      <c r="Z330" t="str">
        <f>IF(Assessment!$G330="High",ROW(Assessment!$G330),"")</f>
        <v/>
      </c>
    </row>
    <row r="331" spans="1:26" x14ac:dyDescent="0.25">
      <c r="A331" s="10" t="str">
        <f>IF($X331="","",315)</f>
        <v/>
      </c>
      <c r="B331" s="10" t="str">
        <f>IF($X331="","",INDEX(Assessment!$A:$A,$X331))</f>
        <v/>
      </c>
      <c r="C331" s="10" t="str">
        <f>IF($X331="","",INDEX(Assessment!$B:$B,$X331))</f>
        <v/>
      </c>
      <c r="D331" s="10" t="str">
        <f>IF($X331="","",INDEX(Assessment!$C:$C,$X331))</f>
        <v/>
      </c>
      <c r="E331" s="10" t="str">
        <f>IF($X331="","",INDEX(Assessment!$F:$F,$X331))</f>
        <v/>
      </c>
      <c r="F331" s="10" t="str">
        <f>IF($X331="","",INDEX(Assessment!$G:$G,$X331))</f>
        <v/>
      </c>
      <c r="G331" s="10" t="str">
        <f>IF($X331="","",INDEX(Assessment!$J:$J,$X331))</f>
        <v/>
      </c>
      <c r="H331" s="10" t="str">
        <f>IF($X331="","",INDEX(Assessment!$L:$L,$X331))</f>
        <v/>
      </c>
      <c r="I331" s="10" t="str">
        <f>IF($X331="","",INDEX(Assessment!$N:$N,$X331))</f>
        <v/>
      </c>
      <c r="X331" t="str">
        <f>IF(315&lt;=$B$6,SMALL($Y$2:$Y$593,315),IF(315&lt;=$B$6+$B$7,SMALL($Z$2:$Z$593,315-$B$6),""))</f>
        <v/>
      </c>
      <c r="Y331" t="str">
        <f>IF(Assessment!$G331="Critical",ROW(Assessment!$G331),"")</f>
        <v/>
      </c>
      <c r="Z331" t="str">
        <f>IF(Assessment!$G331="High",ROW(Assessment!$G331),"")</f>
        <v/>
      </c>
    </row>
    <row r="332" spans="1:26" x14ac:dyDescent="0.25">
      <c r="A332" s="10" t="str">
        <f>IF($X332="","",316)</f>
        <v/>
      </c>
      <c r="B332" s="10" t="str">
        <f>IF($X332="","",INDEX(Assessment!$A:$A,$X332))</f>
        <v/>
      </c>
      <c r="C332" s="10" t="str">
        <f>IF($X332="","",INDEX(Assessment!$B:$B,$X332))</f>
        <v/>
      </c>
      <c r="D332" s="10" t="str">
        <f>IF($X332="","",INDEX(Assessment!$C:$C,$X332))</f>
        <v/>
      </c>
      <c r="E332" s="10" t="str">
        <f>IF($X332="","",INDEX(Assessment!$F:$F,$X332))</f>
        <v/>
      </c>
      <c r="F332" s="10" t="str">
        <f>IF($X332="","",INDEX(Assessment!$G:$G,$X332))</f>
        <v/>
      </c>
      <c r="G332" s="10" t="str">
        <f>IF($X332="","",INDEX(Assessment!$J:$J,$X332))</f>
        <v/>
      </c>
      <c r="H332" s="10" t="str">
        <f>IF($X332="","",INDEX(Assessment!$L:$L,$X332))</f>
        <v/>
      </c>
      <c r="I332" s="10" t="str">
        <f>IF($X332="","",INDEX(Assessment!$N:$N,$X332))</f>
        <v/>
      </c>
      <c r="X332" t="str">
        <f>IF(316&lt;=$B$6,SMALL($Y$2:$Y$593,316),IF(316&lt;=$B$6+$B$7,SMALL($Z$2:$Z$593,316-$B$6),""))</f>
        <v/>
      </c>
      <c r="Y332" t="str">
        <f>IF(Assessment!$G332="Critical",ROW(Assessment!$G332),"")</f>
        <v/>
      </c>
      <c r="Z332" t="str">
        <f>IF(Assessment!$G332="High",ROW(Assessment!$G332),"")</f>
        <v/>
      </c>
    </row>
    <row r="333" spans="1:26" x14ac:dyDescent="0.25">
      <c r="A333" s="10" t="str">
        <f>IF($X333="","",317)</f>
        <v/>
      </c>
      <c r="B333" s="10" t="str">
        <f>IF($X333="","",INDEX(Assessment!$A:$A,$X333))</f>
        <v/>
      </c>
      <c r="C333" s="10" t="str">
        <f>IF($X333="","",INDEX(Assessment!$B:$B,$X333))</f>
        <v/>
      </c>
      <c r="D333" s="10" t="str">
        <f>IF($X333="","",INDEX(Assessment!$C:$C,$X333))</f>
        <v/>
      </c>
      <c r="E333" s="10" t="str">
        <f>IF($X333="","",INDEX(Assessment!$F:$F,$X333))</f>
        <v/>
      </c>
      <c r="F333" s="10" t="str">
        <f>IF($X333="","",INDEX(Assessment!$G:$G,$X333))</f>
        <v/>
      </c>
      <c r="G333" s="10" t="str">
        <f>IF($X333="","",INDEX(Assessment!$J:$J,$X333))</f>
        <v/>
      </c>
      <c r="H333" s="10" t="str">
        <f>IF($X333="","",INDEX(Assessment!$L:$L,$X333))</f>
        <v/>
      </c>
      <c r="I333" s="10" t="str">
        <f>IF($X333="","",INDEX(Assessment!$N:$N,$X333))</f>
        <v/>
      </c>
      <c r="X333" t="str">
        <f>IF(317&lt;=$B$6,SMALL($Y$2:$Y$593,317),IF(317&lt;=$B$6+$B$7,SMALL($Z$2:$Z$593,317-$B$6),""))</f>
        <v/>
      </c>
      <c r="Y333" t="str">
        <f>IF(Assessment!$G333="Critical",ROW(Assessment!$G333),"")</f>
        <v/>
      </c>
      <c r="Z333" t="str">
        <f>IF(Assessment!$G333="High",ROW(Assessment!$G333),"")</f>
        <v/>
      </c>
    </row>
    <row r="334" spans="1:26" x14ac:dyDescent="0.25">
      <c r="A334" s="10" t="str">
        <f>IF($X334="","",318)</f>
        <v/>
      </c>
      <c r="B334" s="10" t="str">
        <f>IF($X334="","",INDEX(Assessment!$A:$A,$X334))</f>
        <v/>
      </c>
      <c r="C334" s="10" t="str">
        <f>IF($X334="","",INDEX(Assessment!$B:$B,$X334))</f>
        <v/>
      </c>
      <c r="D334" s="10" t="str">
        <f>IF($X334="","",INDEX(Assessment!$C:$C,$X334))</f>
        <v/>
      </c>
      <c r="E334" s="10" t="str">
        <f>IF($X334="","",INDEX(Assessment!$F:$F,$X334))</f>
        <v/>
      </c>
      <c r="F334" s="10" t="str">
        <f>IF($X334="","",INDEX(Assessment!$G:$G,$X334))</f>
        <v/>
      </c>
      <c r="G334" s="10" t="str">
        <f>IF($X334="","",INDEX(Assessment!$J:$J,$X334))</f>
        <v/>
      </c>
      <c r="H334" s="10" t="str">
        <f>IF($X334="","",INDEX(Assessment!$L:$L,$X334))</f>
        <v/>
      </c>
      <c r="I334" s="10" t="str">
        <f>IF($X334="","",INDEX(Assessment!$N:$N,$X334))</f>
        <v/>
      </c>
      <c r="X334" t="str">
        <f>IF(318&lt;=$B$6,SMALL($Y$2:$Y$593,318),IF(318&lt;=$B$6+$B$7,SMALL($Z$2:$Z$593,318-$B$6),""))</f>
        <v/>
      </c>
      <c r="Y334" t="str">
        <f>IF(Assessment!$G334="Critical",ROW(Assessment!$G334),"")</f>
        <v/>
      </c>
      <c r="Z334" t="str">
        <f>IF(Assessment!$G334="High",ROW(Assessment!$G334),"")</f>
        <v/>
      </c>
    </row>
    <row r="335" spans="1:26" x14ac:dyDescent="0.25">
      <c r="A335" s="10" t="str">
        <f>IF($X335="","",319)</f>
        <v/>
      </c>
      <c r="B335" s="10" t="str">
        <f>IF($X335="","",INDEX(Assessment!$A:$A,$X335))</f>
        <v/>
      </c>
      <c r="C335" s="10" t="str">
        <f>IF($X335="","",INDEX(Assessment!$B:$B,$X335))</f>
        <v/>
      </c>
      <c r="D335" s="10" t="str">
        <f>IF($X335="","",INDEX(Assessment!$C:$C,$X335))</f>
        <v/>
      </c>
      <c r="E335" s="10" t="str">
        <f>IF($X335="","",INDEX(Assessment!$F:$F,$X335))</f>
        <v/>
      </c>
      <c r="F335" s="10" t="str">
        <f>IF($X335="","",INDEX(Assessment!$G:$G,$X335))</f>
        <v/>
      </c>
      <c r="G335" s="10" t="str">
        <f>IF($X335="","",INDEX(Assessment!$J:$J,$X335))</f>
        <v/>
      </c>
      <c r="H335" s="10" t="str">
        <f>IF($X335="","",INDEX(Assessment!$L:$L,$X335))</f>
        <v/>
      </c>
      <c r="I335" s="10" t="str">
        <f>IF($X335="","",INDEX(Assessment!$N:$N,$X335))</f>
        <v/>
      </c>
      <c r="X335" t="str">
        <f>IF(319&lt;=$B$6,SMALL($Y$2:$Y$593,319),IF(319&lt;=$B$6+$B$7,SMALL($Z$2:$Z$593,319-$B$6),""))</f>
        <v/>
      </c>
      <c r="Y335" t="str">
        <f>IF(Assessment!$G335="Critical",ROW(Assessment!$G335),"")</f>
        <v/>
      </c>
      <c r="Z335" t="str">
        <f>IF(Assessment!$G335="High",ROW(Assessment!$G335),"")</f>
        <v/>
      </c>
    </row>
    <row r="336" spans="1:26" x14ac:dyDescent="0.25">
      <c r="A336" s="10" t="str">
        <f>IF($X336="","",320)</f>
        <v/>
      </c>
      <c r="B336" s="10" t="str">
        <f>IF($X336="","",INDEX(Assessment!$A:$A,$X336))</f>
        <v/>
      </c>
      <c r="C336" s="10" t="str">
        <f>IF($X336="","",INDEX(Assessment!$B:$B,$X336))</f>
        <v/>
      </c>
      <c r="D336" s="10" t="str">
        <f>IF($X336="","",INDEX(Assessment!$C:$C,$X336))</f>
        <v/>
      </c>
      <c r="E336" s="10" t="str">
        <f>IF($X336="","",INDEX(Assessment!$F:$F,$X336))</f>
        <v/>
      </c>
      <c r="F336" s="10" t="str">
        <f>IF($X336="","",INDEX(Assessment!$G:$G,$X336))</f>
        <v/>
      </c>
      <c r="G336" s="10" t="str">
        <f>IF($X336="","",INDEX(Assessment!$J:$J,$X336))</f>
        <v/>
      </c>
      <c r="H336" s="10" t="str">
        <f>IF($X336="","",INDEX(Assessment!$L:$L,$X336))</f>
        <v/>
      </c>
      <c r="I336" s="10" t="str">
        <f>IF($X336="","",INDEX(Assessment!$N:$N,$X336))</f>
        <v/>
      </c>
      <c r="X336" t="str">
        <f>IF(320&lt;=$B$6,SMALL($Y$2:$Y$593,320),IF(320&lt;=$B$6+$B$7,SMALL($Z$2:$Z$593,320-$B$6),""))</f>
        <v/>
      </c>
      <c r="Y336" t="str">
        <f>IF(Assessment!$G336="Critical",ROW(Assessment!$G336),"")</f>
        <v/>
      </c>
      <c r="Z336" t="str">
        <f>IF(Assessment!$G336="High",ROW(Assessment!$G336),"")</f>
        <v/>
      </c>
    </row>
    <row r="337" spans="1:26" x14ac:dyDescent="0.25">
      <c r="A337" s="10" t="str">
        <f>IF($X337="","",321)</f>
        <v/>
      </c>
      <c r="B337" s="10" t="str">
        <f>IF($X337="","",INDEX(Assessment!$A:$A,$X337))</f>
        <v/>
      </c>
      <c r="C337" s="10" t="str">
        <f>IF($X337="","",INDEX(Assessment!$B:$B,$X337))</f>
        <v/>
      </c>
      <c r="D337" s="10" t="str">
        <f>IF($X337="","",INDEX(Assessment!$C:$C,$X337))</f>
        <v/>
      </c>
      <c r="E337" s="10" t="str">
        <f>IF($X337="","",INDEX(Assessment!$F:$F,$X337))</f>
        <v/>
      </c>
      <c r="F337" s="10" t="str">
        <f>IF($X337="","",INDEX(Assessment!$G:$G,$X337))</f>
        <v/>
      </c>
      <c r="G337" s="10" t="str">
        <f>IF($X337="","",INDEX(Assessment!$J:$J,$X337))</f>
        <v/>
      </c>
      <c r="H337" s="10" t="str">
        <f>IF($X337="","",INDEX(Assessment!$L:$L,$X337))</f>
        <v/>
      </c>
      <c r="I337" s="10" t="str">
        <f>IF($X337="","",INDEX(Assessment!$N:$N,$X337))</f>
        <v/>
      </c>
      <c r="X337" t="str">
        <f>IF(321&lt;=$B$6,SMALL($Y$2:$Y$593,321),IF(321&lt;=$B$6+$B$7,SMALL($Z$2:$Z$593,321-$B$6),""))</f>
        <v/>
      </c>
      <c r="Y337" t="str">
        <f>IF(Assessment!$G337="Critical",ROW(Assessment!$G337),"")</f>
        <v/>
      </c>
      <c r="Z337" t="str">
        <f>IF(Assessment!$G337="High",ROW(Assessment!$G337),"")</f>
        <v/>
      </c>
    </row>
    <row r="338" spans="1:26" x14ac:dyDescent="0.25">
      <c r="A338" s="10" t="str">
        <f>IF($X338="","",322)</f>
        <v/>
      </c>
      <c r="B338" s="10" t="str">
        <f>IF($X338="","",INDEX(Assessment!$A:$A,$X338))</f>
        <v/>
      </c>
      <c r="C338" s="10" t="str">
        <f>IF($X338="","",INDEX(Assessment!$B:$B,$X338))</f>
        <v/>
      </c>
      <c r="D338" s="10" t="str">
        <f>IF($X338="","",INDEX(Assessment!$C:$C,$X338))</f>
        <v/>
      </c>
      <c r="E338" s="10" t="str">
        <f>IF($X338="","",INDEX(Assessment!$F:$F,$X338))</f>
        <v/>
      </c>
      <c r="F338" s="10" t="str">
        <f>IF($X338="","",INDEX(Assessment!$G:$G,$X338))</f>
        <v/>
      </c>
      <c r="G338" s="10" t="str">
        <f>IF($X338="","",INDEX(Assessment!$J:$J,$X338))</f>
        <v/>
      </c>
      <c r="H338" s="10" t="str">
        <f>IF($X338="","",INDEX(Assessment!$L:$L,$X338))</f>
        <v/>
      </c>
      <c r="I338" s="10" t="str">
        <f>IF($X338="","",INDEX(Assessment!$N:$N,$X338))</f>
        <v/>
      </c>
      <c r="X338" t="str">
        <f>IF(322&lt;=$B$6,SMALL($Y$2:$Y$593,322),IF(322&lt;=$B$6+$B$7,SMALL($Z$2:$Z$593,322-$B$6),""))</f>
        <v/>
      </c>
      <c r="Y338" t="str">
        <f>IF(Assessment!$G338="Critical",ROW(Assessment!$G338),"")</f>
        <v/>
      </c>
      <c r="Z338" t="str">
        <f>IF(Assessment!$G338="High",ROW(Assessment!$G338),"")</f>
        <v/>
      </c>
    </row>
    <row r="339" spans="1:26" x14ac:dyDescent="0.25">
      <c r="A339" s="10" t="str">
        <f>IF($X339="","",323)</f>
        <v/>
      </c>
      <c r="B339" s="10" t="str">
        <f>IF($X339="","",INDEX(Assessment!$A:$A,$X339))</f>
        <v/>
      </c>
      <c r="C339" s="10" t="str">
        <f>IF($X339="","",INDEX(Assessment!$B:$B,$X339))</f>
        <v/>
      </c>
      <c r="D339" s="10" t="str">
        <f>IF($X339="","",INDEX(Assessment!$C:$C,$X339))</f>
        <v/>
      </c>
      <c r="E339" s="10" t="str">
        <f>IF($X339="","",INDEX(Assessment!$F:$F,$X339))</f>
        <v/>
      </c>
      <c r="F339" s="10" t="str">
        <f>IF($X339="","",INDEX(Assessment!$G:$G,$X339))</f>
        <v/>
      </c>
      <c r="G339" s="10" t="str">
        <f>IF($X339="","",INDEX(Assessment!$J:$J,$X339))</f>
        <v/>
      </c>
      <c r="H339" s="10" t="str">
        <f>IF($X339="","",INDEX(Assessment!$L:$L,$X339))</f>
        <v/>
      </c>
      <c r="I339" s="10" t="str">
        <f>IF($X339="","",INDEX(Assessment!$N:$N,$X339))</f>
        <v/>
      </c>
      <c r="X339" t="str">
        <f>IF(323&lt;=$B$6,SMALL($Y$2:$Y$593,323),IF(323&lt;=$B$6+$B$7,SMALL($Z$2:$Z$593,323-$B$6),""))</f>
        <v/>
      </c>
      <c r="Y339" t="str">
        <f>IF(Assessment!$G339="Critical",ROW(Assessment!$G339),"")</f>
        <v/>
      </c>
      <c r="Z339" t="str">
        <f>IF(Assessment!$G339="High",ROW(Assessment!$G339),"")</f>
        <v/>
      </c>
    </row>
    <row r="340" spans="1:26" x14ac:dyDescent="0.25">
      <c r="A340" s="10" t="str">
        <f>IF($X340="","",324)</f>
        <v/>
      </c>
      <c r="B340" s="10" t="str">
        <f>IF($X340="","",INDEX(Assessment!$A:$A,$X340))</f>
        <v/>
      </c>
      <c r="C340" s="10" t="str">
        <f>IF($X340="","",INDEX(Assessment!$B:$B,$X340))</f>
        <v/>
      </c>
      <c r="D340" s="10" t="str">
        <f>IF($X340="","",INDEX(Assessment!$C:$C,$X340))</f>
        <v/>
      </c>
      <c r="E340" s="10" t="str">
        <f>IF($X340="","",INDEX(Assessment!$F:$F,$X340))</f>
        <v/>
      </c>
      <c r="F340" s="10" t="str">
        <f>IF($X340="","",INDEX(Assessment!$G:$G,$X340))</f>
        <v/>
      </c>
      <c r="G340" s="10" t="str">
        <f>IF($X340="","",INDEX(Assessment!$J:$J,$X340))</f>
        <v/>
      </c>
      <c r="H340" s="10" t="str">
        <f>IF($X340="","",INDEX(Assessment!$L:$L,$X340))</f>
        <v/>
      </c>
      <c r="I340" s="10" t="str">
        <f>IF($X340="","",INDEX(Assessment!$N:$N,$X340))</f>
        <v/>
      </c>
      <c r="X340" t="str">
        <f>IF(324&lt;=$B$6,SMALL($Y$2:$Y$593,324),IF(324&lt;=$B$6+$B$7,SMALL($Z$2:$Z$593,324-$B$6),""))</f>
        <v/>
      </c>
      <c r="Y340" t="str">
        <f>IF(Assessment!$G340="Critical",ROW(Assessment!$G340),"")</f>
        <v/>
      </c>
      <c r="Z340" t="str">
        <f>IF(Assessment!$G340="High",ROW(Assessment!$G340),"")</f>
        <v/>
      </c>
    </row>
    <row r="341" spans="1:26" x14ac:dyDescent="0.25">
      <c r="A341" s="10" t="str">
        <f>IF($X341="","",325)</f>
        <v/>
      </c>
      <c r="B341" s="10" t="str">
        <f>IF($X341="","",INDEX(Assessment!$A:$A,$X341))</f>
        <v/>
      </c>
      <c r="C341" s="10" t="str">
        <f>IF($X341="","",INDEX(Assessment!$B:$B,$X341))</f>
        <v/>
      </c>
      <c r="D341" s="10" t="str">
        <f>IF($X341="","",INDEX(Assessment!$C:$C,$X341))</f>
        <v/>
      </c>
      <c r="E341" s="10" t="str">
        <f>IF($X341="","",INDEX(Assessment!$F:$F,$X341))</f>
        <v/>
      </c>
      <c r="F341" s="10" t="str">
        <f>IF($X341="","",INDEX(Assessment!$G:$G,$X341))</f>
        <v/>
      </c>
      <c r="G341" s="10" t="str">
        <f>IF($X341="","",INDEX(Assessment!$J:$J,$X341))</f>
        <v/>
      </c>
      <c r="H341" s="10" t="str">
        <f>IF($X341="","",INDEX(Assessment!$L:$L,$X341))</f>
        <v/>
      </c>
      <c r="I341" s="10" t="str">
        <f>IF($X341="","",INDEX(Assessment!$N:$N,$X341))</f>
        <v/>
      </c>
      <c r="X341" t="str">
        <f>IF(325&lt;=$B$6,SMALL($Y$2:$Y$593,325),IF(325&lt;=$B$6+$B$7,SMALL($Z$2:$Z$593,325-$B$6),""))</f>
        <v/>
      </c>
      <c r="Y341" t="str">
        <f>IF(Assessment!$G341="Critical",ROW(Assessment!$G341),"")</f>
        <v/>
      </c>
      <c r="Z341" t="str">
        <f>IF(Assessment!$G341="High",ROW(Assessment!$G341),"")</f>
        <v/>
      </c>
    </row>
    <row r="342" spans="1:26" x14ac:dyDescent="0.25">
      <c r="A342" s="10" t="str">
        <f>IF($X342="","",326)</f>
        <v/>
      </c>
      <c r="B342" s="10" t="str">
        <f>IF($X342="","",INDEX(Assessment!$A:$A,$X342))</f>
        <v/>
      </c>
      <c r="C342" s="10" t="str">
        <f>IF($X342="","",INDEX(Assessment!$B:$B,$X342))</f>
        <v/>
      </c>
      <c r="D342" s="10" t="str">
        <f>IF($X342="","",INDEX(Assessment!$C:$C,$X342))</f>
        <v/>
      </c>
      <c r="E342" s="10" t="str">
        <f>IF($X342="","",INDEX(Assessment!$F:$F,$X342))</f>
        <v/>
      </c>
      <c r="F342" s="10" t="str">
        <f>IF($X342="","",INDEX(Assessment!$G:$G,$X342))</f>
        <v/>
      </c>
      <c r="G342" s="10" t="str">
        <f>IF($X342="","",INDEX(Assessment!$J:$J,$X342))</f>
        <v/>
      </c>
      <c r="H342" s="10" t="str">
        <f>IF($X342="","",INDEX(Assessment!$L:$L,$X342))</f>
        <v/>
      </c>
      <c r="I342" s="10" t="str">
        <f>IF($X342="","",INDEX(Assessment!$N:$N,$X342))</f>
        <v/>
      </c>
      <c r="X342" t="str">
        <f>IF(326&lt;=$B$6,SMALL($Y$2:$Y$593,326),IF(326&lt;=$B$6+$B$7,SMALL($Z$2:$Z$593,326-$B$6),""))</f>
        <v/>
      </c>
      <c r="Y342" t="str">
        <f>IF(Assessment!$G342="Critical",ROW(Assessment!$G342),"")</f>
        <v/>
      </c>
      <c r="Z342" t="str">
        <f>IF(Assessment!$G342="High",ROW(Assessment!$G342),"")</f>
        <v/>
      </c>
    </row>
    <row r="343" spans="1:26" x14ac:dyDescent="0.25">
      <c r="A343" s="10" t="str">
        <f>IF($X343="","",327)</f>
        <v/>
      </c>
      <c r="B343" s="10" t="str">
        <f>IF($X343="","",INDEX(Assessment!$A:$A,$X343))</f>
        <v/>
      </c>
      <c r="C343" s="10" t="str">
        <f>IF($X343="","",INDEX(Assessment!$B:$B,$X343))</f>
        <v/>
      </c>
      <c r="D343" s="10" t="str">
        <f>IF($X343="","",INDEX(Assessment!$C:$C,$X343))</f>
        <v/>
      </c>
      <c r="E343" s="10" t="str">
        <f>IF($X343="","",INDEX(Assessment!$F:$F,$X343))</f>
        <v/>
      </c>
      <c r="F343" s="10" t="str">
        <f>IF($X343="","",INDEX(Assessment!$G:$G,$X343))</f>
        <v/>
      </c>
      <c r="G343" s="10" t="str">
        <f>IF($X343="","",INDEX(Assessment!$J:$J,$X343))</f>
        <v/>
      </c>
      <c r="H343" s="10" t="str">
        <f>IF($X343="","",INDEX(Assessment!$L:$L,$X343))</f>
        <v/>
      </c>
      <c r="I343" s="10" t="str">
        <f>IF($X343="","",INDEX(Assessment!$N:$N,$X343))</f>
        <v/>
      </c>
      <c r="X343" t="str">
        <f>IF(327&lt;=$B$6,SMALL($Y$2:$Y$593,327),IF(327&lt;=$B$6+$B$7,SMALL($Z$2:$Z$593,327-$B$6),""))</f>
        <v/>
      </c>
      <c r="Y343" t="str">
        <f>IF(Assessment!$G343="Critical",ROW(Assessment!$G343),"")</f>
        <v/>
      </c>
      <c r="Z343" t="str">
        <f>IF(Assessment!$G343="High",ROW(Assessment!$G343),"")</f>
        <v/>
      </c>
    </row>
    <row r="344" spans="1:26" x14ac:dyDescent="0.25">
      <c r="A344" s="10" t="str">
        <f>IF($X344="","",328)</f>
        <v/>
      </c>
      <c r="B344" s="10" t="str">
        <f>IF($X344="","",INDEX(Assessment!$A:$A,$X344))</f>
        <v/>
      </c>
      <c r="C344" s="10" t="str">
        <f>IF($X344="","",INDEX(Assessment!$B:$B,$X344))</f>
        <v/>
      </c>
      <c r="D344" s="10" t="str">
        <f>IF($X344="","",INDEX(Assessment!$C:$C,$X344))</f>
        <v/>
      </c>
      <c r="E344" s="10" t="str">
        <f>IF($X344="","",INDEX(Assessment!$F:$F,$X344))</f>
        <v/>
      </c>
      <c r="F344" s="10" t="str">
        <f>IF($X344="","",INDEX(Assessment!$G:$G,$X344))</f>
        <v/>
      </c>
      <c r="G344" s="10" t="str">
        <f>IF($X344="","",INDEX(Assessment!$J:$J,$X344))</f>
        <v/>
      </c>
      <c r="H344" s="10" t="str">
        <f>IF($X344="","",INDEX(Assessment!$L:$L,$X344))</f>
        <v/>
      </c>
      <c r="I344" s="10" t="str">
        <f>IF($X344="","",INDEX(Assessment!$N:$N,$X344))</f>
        <v/>
      </c>
      <c r="X344" t="str">
        <f>IF(328&lt;=$B$6,SMALL($Y$2:$Y$593,328),IF(328&lt;=$B$6+$B$7,SMALL($Z$2:$Z$593,328-$B$6),""))</f>
        <v/>
      </c>
      <c r="Y344" t="str">
        <f>IF(Assessment!$G344="Critical",ROW(Assessment!$G344),"")</f>
        <v/>
      </c>
      <c r="Z344" t="str">
        <f>IF(Assessment!$G344="High",ROW(Assessment!$G344),"")</f>
        <v/>
      </c>
    </row>
    <row r="345" spans="1:26" x14ac:dyDescent="0.25">
      <c r="A345" s="10" t="str">
        <f>IF($X345="","",329)</f>
        <v/>
      </c>
      <c r="B345" s="10" t="str">
        <f>IF($X345="","",INDEX(Assessment!$A:$A,$X345))</f>
        <v/>
      </c>
      <c r="C345" s="10" t="str">
        <f>IF($X345="","",INDEX(Assessment!$B:$B,$X345))</f>
        <v/>
      </c>
      <c r="D345" s="10" t="str">
        <f>IF($X345="","",INDEX(Assessment!$C:$C,$X345))</f>
        <v/>
      </c>
      <c r="E345" s="10" t="str">
        <f>IF($X345="","",INDEX(Assessment!$F:$F,$X345))</f>
        <v/>
      </c>
      <c r="F345" s="10" t="str">
        <f>IF($X345="","",INDEX(Assessment!$G:$G,$X345))</f>
        <v/>
      </c>
      <c r="G345" s="10" t="str">
        <f>IF($X345="","",INDEX(Assessment!$J:$J,$X345))</f>
        <v/>
      </c>
      <c r="H345" s="10" t="str">
        <f>IF($X345="","",INDEX(Assessment!$L:$L,$X345))</f>
        <v/>
      </c>
      <c r="I345" s="10" t="str">
        <f>IF($X345="","",INDEX(Assessment!$N:$N,$X345))</f>
        <v/>
      </c>
      <c r="X345" t="str">
        <f>IF(329&lt;=$B$6,SMALL($Y$2:$Y$593,329),IF(329&lt;=$B$6+$B$7,SMALL($Z$2:$Z$593,329-$B$6),""))</f>
        <v/>
      </c>
      <c r="Y345" t="str">
        <f>IF(Assessment!$G345="Critical",ROW(Assessment!$G345),"")</f>
        <v/>
      </c>
      <c r="Z345" t="str">
        <f>IF(Assessment!$G345="High",ROW(Assessment!$G345),"")</f>
        <v/>
      </c>
    </row>
    <row r="346" spans="1:26" x14ac:dyDescent="0.25">
      <c r="A346" s="10" t="str">
        <f>IF($X346="","",330)</f>
        <v/>
      </c>
      <c r="B346" s="10" t="str">
        <f>IF($X346="","",INDEX(Assessment!$A:$A,$X346))</f>
        <v/>
      </c>
      <c r="C346" s="10" t="str">
        <f>IF($X346="","",INDEX(Assessment!$B:$B,$X346))</f>
        <v/>
      </c>
      <c r="D346" s="10" t="str">
        <f>IF($X346="","",INDEX(Assessment!$C:$C,$X346))</f>
        <v/>
      </c>
      <c r="E346" s="10" t="str">
        <f>IF($X346="","",INDEX(Assessment!$F:$F,$X346))</f>
        <v/>
      </c>
      <c r="F346" s="10" t="str">
        <f>IF($X346="","",INDEX(Assessment!$G:$G,$X346))</f>
        <v/>
      </c>
      <c r="G346" s="10" t="str">
        <f>IF($X346="","",INDEX(Assessment!$J:$J,$X346))</f>
        <v/>
      </c>
      <c r="H346" s="10" t="str">
        <f>IF($X346="","",INDEX(Assessment!$L:$L,$X346))</f>
        <v/>
      </c>
      <c r="I346" s="10" t="str">
        <f>IF($X346="","",INDEX(Assessment!$N:$N,$X346))</f>
        <v/>
      </c>
      <c r="X346" t="str">
        <f>IF(330&lt;=$B$6,SMALL($Y$2:$Y$593,330),IF(330&lt;=$B$6+$B$7,SMALL($Z$2:$Z$593,330-$B$6),""))</f>
        <v/>
      </c>
      <c r="Y346" t="str">
        <f>IF(Assessment!$G346="Critical",ROW(Assessment!$G346),"")</f>
        <v/>
      </c>
      <c r="Z346" t="str">
        <f>IF(Assessment!$G346="High",ROW(Assessment!$G346),"")</f>
        <v/>
      </c>
    </row>
    <row r="347" spans="1:26" x14ac:dyDescent="0.25">
      <c r="A347" s="10" t="str">
        <f>IF($X347="","",331)</f>
        <v/>
      </c>
      <c r="B347" s="10" t="str">
        <f>IF($X347="","",INDEX(Assessment!$A:$A,$X347))</f>
        <v/>
      </c>
      <c r="C347" s="10" t="str">
        <f>IF($X347="","",INDEX(Assessment!$B:$B,$X347))</f>
        <v/>
      </c>
      <c r="D347" s="10" t="str">
        <f>IF($X347="","",INDEX(Assessment!$C:$C,$X347))</f>
        <v/>
      </c>
      <c r="E347" s="10" t="str">
        <f>IF($X347="","",INDEX(Assessment!$F:$F,$X347))</f>
        <v/>
      </c>
      <c r="F347" s="10" t="str">
        <f>IF($X347="","",INDEX(Assessment!$G:$G,$X347))</f>
        <v/>
      </c>
      <c r="G347" s="10" t="str">
        <f>IF($X347="","",INDEX(Assessment!$J:$J,$X347))</f>
        <v/>
      </c>
      <c r="H347" s="10" t="str">
        <f>IF($X347="","",INDEX(Assessment!$L:$L,$X347))</f>
        <v/>
      </c>
      <c r="I347" s="10" t="str">
        <f>IF($X347="","",INDEX(Assessment!$N:$N,$X347))</f>
        <v/>
      </c>
      <c r="X347" t="str">
        <f>IF(331&lt;=$B$6,SMALL($Y$2:$Y$593,331),IF(331&lt;=$B$6+$B$7,SMALL($Z$2:$Z$593,331-$B$6),""))</f>
        <v/>
      </c>
      <c r="Y347" t="str">
        <f>IF(Assessment!$G347="Critical",ROW(Assessment!$G347),"")</f>
        <v/>
      </c>
      <c r="Z347" t="str">
        <f>IF(Assessment!$G347="High",ROW(Assessment!$G347),"")</f>
        <v/>
      </c>
    </row>
    <row r="348" spans="1:26" x14ac:dyDescent="0.25">
      <c r="A348" s="10" t="str">
        <f>IF($X348="","",332)</f>
        <v/>
      </c>
      <c r="B348" s="10" t="str">
        <f>IF($X348="","",INDEX(Assessment!$A:$A,$X348))</f>
        <v/>
      </c>
      <c r="C348" s="10" t="str">
        <f>IF($X348="","",INDEX(Assessment!$B:$B,$X348))</f>
        <v/>
      </c>
      <c r="D348" s="10" t="str">
        <f>IF($X348="","",INDEX(Assessment!$C:$C,$X348))</f>
        <v/>
      </c>
      <c r="E348" s="10" t="str">
        <f>IF($X348="","",INDEX(Assessment!$F:$F,$X348))</f>
        <v/>
      </c>
      <c r="F348" s="10" t="str">
        <f>IF($X348="","",INDEX(Assessment!$G:$G,$X348))</f>
        <v/>
      </c>
      <c r="G348" s="10" t="str">
        <f>IF($X348="","",INDEX(Assessment!$J:$J,$X348))</f>
        <v/>
      </c>
      <c r="H348" s="10" t="str">
        <f>IF($X348="","",INDEX(Assessment!$L:$L,$X348))</f>
        <v/>
      </c>
      <c r="I348" s="10" t="str">
        <f>IF($X348="","",INDEX(Assessment!$N:$N,$X348))</f>
        <v/>
      </c>
      <c r="X348" t="str">
        <f>IF(332&lt;=$B$6,SMALL($Y$2:$Y$593,332),IF(332&lt;=$B$6+$B$7,SMALL($Z$2:$Z$593,332-$B$6),""))</f>
        <v/>
      </c>
      <c r="Y348" t="str">
        <f>IF(Assessment!$G348="Critical",ROW(Assessment!$G348),"")</f>
        <v/>
      </c>
      <c r="Z348" t="str">
        <f>IF(Assessment!$G348="High",ROW(Assessment!$G348),"")</f>
        <v/>
      </c>
    </row>
    <row r="349" spans="1:26" x14ac:dyDescent="0.25">
      <c r="A349" s="10" t="str">
        <f>IF($X349="","",333)</f>
        <v/>
      </c>
      <c r="B349" s="10" t="str">
        <f>IF($X349="","",INDEX(Assessment!$A:$A,$X349))</f>
        <v/>
      </c>
      <c r="C349" s="10" t="str">
        <f>IF($X349="","",INDEX(Assessment!$B:$B,$X349))</f>
        <v/>
      </c>
      <c r="D349" s="10" t="str">
        <f>IF($X349="","",INDEX(Assessment!$C:$C,$X349))</f>
        <v/>
      </c>
      <c r="E349" s="10" t="str">
        <f>IF($X349="","",INDEX(Assessment!$F:$F,$X349))</f>
        <v/>
      </c>
      <c r="F349" s="10" t="str">
        <f>IF($X349="","",INDEX(Assessment!$G:$G,$X349))</f>
        <v/>
      </c>
      <c r="G349" s="10" t="str">
        <f>IF($X349="","",INDEX(Assessment!$J:$J,$X349))</f>
        <v/>
      </c>
      <c r="H349" s="10" t="str">
        <f>IF($X349="","",INDEX(Assessment!$L:$L,$X349))</f>
        <v/>
      </c>
      <c r="I349" s="10" t="str">
        <f>IF($X349="","",INDEX(Assessment!$N:$N,$X349))</f>
        <v/>
      </c>
      <c r="X349" t="str">
        <f>IF(333&lt;=$B$6,SMALL($Y$2:$Y$593,333),IF(333&lt;=$B$6+$B$7,SMALL($Z$2:$Z$593,333-$B$6),""))</f>
        <v/>
      </c>
      <c r="Y349" t="str">
        <f>IF(Assessment!$G349="Critical",ROW(Assessment!$G349),"")</f>
        <v/>
      </c>
      <c r="Z349" t="str">
        <f>IF(Assessment!$G349="High",ROW(Assessment!$G349),"")</f>
        <v/>
      </c>
    </row>
    <row r="350" spans="1:26" x14ac:dyDescent="0.25">
      <c r="A350" s="10" t="str">
        <f>IF($X350="","",334)</f>
        <v/>
      </c>
      <c r="B350" s="10" t="str">
        <f>IF($X350="","",INDEX(Assessment!$A:$A,$X350))</f>
        <v/>
      </c>
      <c r="C350" s="10" t="str">
        <f>IF($X350="","",INDEX(Assessment!$B:$B,$X350))</f>
        <v/>
      </c>
      <c r="D350" s="10" t="str">
        <f>IF($X350="","",INDEX(Assessment!$C:$C,$X350))</f>
        <v/>
      </c>
      <c r="E350" s="10" t="str">
        <f>IF($X350="","",INDEX(Assessment!$F:$F,$X350))</f>
        <v/>
      </c>
      <c r="F350" s="10" t="str">
        <f>IF($X350="","",INDEX(Assessment!$G:$G,$X350))</f>
        <v/>
      </c>
      <c r="G350" s="10" t="str">
        <f>IF($X350="","",INDEX(Assessment!$J:$J,$X350))</f>
        <v/>
      </c>
      <c r="H350" s="10" t="str">
        <f>IF($X350="","",INDEX(Assessment!$L:$L,$X350))</f>
        <v/>
      </c>
      <c r="I350" s="10" t="str">
        <f>IF($X350="","",INDEX(Assessment!$N:$N,$X350))</f>
        <v/>
      </c>
      <c r="X350" t="str">
        <f>IF(334&lt;=$B$6,SMALL($Y$2:$Y$593,334),IF(334&lt;=$B$6+$B$7,SMALL($Z$2:$Z$593,334-$B$6),""))</f>
        <v/>
      </c>
      <c r="Y350" t="str">
        <f>IF(Assessment!$G350="Critical",ROW(Assessment!$G350),"")</f>
        <v/>
      </c>
      <c r="Z350" t="str">
        <f>IF(Assessment!$G350="High",ROW(Assessment!$G350),"")</f>
        <v/>
      </c>
    </row>
    <row r="351" spans="1:26" x14ac:dyDescent="0.25">
      <c r="A351" s="10" t="str">
        <f>IF($X351="","",335)</f>
        <v/>
      </c>
      <c r="B351" s="10" t="str">
        <f>IF($X351="","",INDEX(Assessment!$A:$A,$X351))</f>
        <v/>
      </c>
      <c r="C351" s="10" t="str">
        <f>IF($X351="","",INDEX(Assessment!$B:$B,$X351))</f>
        <v/>
      </c>
      <c r="D351" s="10" t="str">
        <f>IF($X351="","",INDEX(Assessment!$C:$C,$X351))</f>
        <v/>
      </c>
      <c r="E351" s="10" t="str">
        <f>IF($X351="","",INDEX(Assessment!$F:$F,$X351))</f>
        <v/>
      </c>
      <c r="F351" s="10" t="str">
        <f>IF($X351="","",INDEX(Assessment!$G:$G,$X351))</f>
        <v/>
      </c>
      <c r="G351" s="10" t="str">
        <f>IF($X351="","",INDEX(Assessment!$J:$J,$X351))</f>
        <v/>
      </c>
      <c r="H351" s="10" t="str">
        <f>IF($X351="","",INDEX(Assessment!$L:$L,$X351))</f>
        <v/>
      </c>
      <c r="I351" s="10" t="str">
        <f>IF($X351="","",INDEX(Assessment!$N:$N,$X351))</f>
        <v/>
      </c>
      <c r="X351" t="str">
        <f>IF(335&lt;=$B$6,SMALL($Y$2:$Y$593,335),IF(335&lt;=$B$6+$B$7,SMALL($Z$2:$Z$593,335-$B$6),""))</f>
        <v/>
      </c>
      <c r="Y351" t="str">
        <f>IF(Assessment!$G351="Critical",ROW(Assessment!$G351),"")</f>
        <v/>
      </c>
      <c r="Z351" t="str">
        <f>IF(Assessment!$G351="High",ROW(Assessment!$G351),"")</f>
        <v/>
      </c>
    </row>
    <row r="352" spans="1:26" x14ac:dyDescent="0.25">
      <c r="A352" s="10" t="str">
        <f>IF($X352="","",336)</f>
        <v/>
      </c>
      <c r="B352" s="10" t="str">
        <f>IF($X352="","",INDEX(Assessment!$A:$A,$X352))</f>
        <v/>
      </c>
      <c r="C352" s="10" t="str">
        <f>IF($X352="","",INDEX(Assessment!$B:$B,$X352))</f>
        <v/>
      </c>
      <c r="D352" s="10" t="str">
        <f>IF($X352="","",INDEX(Assessment!$C:$C,$X352))</f>
        <v/>
      </c>
      <c r="E352" s="10" t="str">
        <f>IF($X352="","",INDEX(Assessment!$F:$F,$X352))</f>
        <v/>
      </c>
      <c r="F352" s="10" t="str">
        <f>IF($X352="","",INDEX(Assessment!$G:$G,$X352))</f>
        <v/>
      </c>
      <c r="G352" s="10" t="str">
        <f>IF($X352="","",INDEX(Assessment!$J:$J,$X352))</f>
        <v/>
      </c>
      <c r="H352" s="10" t="str">
        <f>IF($X352="","",INDEX(Assessment!$L:$L,$X352))</f>
        <v/>
      </c>
      <c r="I352" s="10" t="str">
        <f>IF($X352="","",INDEX(Assessment!$N:$N,$X352))</f>
        <v/>
      </c>
      <c r="X352" t="str">
        <f>IF(336&lt;=$B$6,SMALL($Y$2:$Y$593,336),IF(336&lt;=$B$6+$B$7,SMALL($Z$2:$Z$593,336-$B$6),""))</f>
        <v/>
      </c>
      <c r="Y352" t="str">
        <f>IF(Assessment!$G352="Critical",ROW(Assessment!$G352),"")</f>
        <v/>
      </c>
      <c r="Z352" t="str">
        <f>IF(Assessment!$G352="High",ROW(Assessment!$G352),"")</f>
        <v/>
      </c>
    </row>
    <row r="353" spans="1:26" x14ac:dyDescent="0.25">
      <c r="A353" s="10" t="str">
        <f>IF($X353="","",337)</f>
        <v/>
      </c>
      <c r="B353" s="10" t="str">
        <f>IF($X353="","",INDEX(Assessment!$A:$A,$X353))</f>
        <v/>
      </c>
      <c r="C353" s="10" t="str">
        <f>IF($X353="","",INDEX(Assessment!$B:$B,$X353))</f>
        <v/>
      </c>
      <c r="D353" s="10" t="str">
        <f>IF($X353="","",INDEX(Assessment!$C:$C,$X353))</f>
        <v/>
      </c>
      <c r="E353" s="10" t="str">
        <f>IF($X353="","",INDEX(Assessment!$F:$F,$X353))</f>
        <v/>
      </c>
      <c r="F353" s="10" t="str">
        <f>IF($X353="","",INDEX(Assessment!$G:$G,$X353))</f>
        <v/>
      </c>
      <c r="G353" s="10" t="str">
        <f>IF($X353="","",INDEX(Assessment!$J:$J,$X353))</f>
        <v/>
      </c>
      <c r="H353" s="10" t="str">
        <f>IF($X353="","",INDEX(Assessment!$L:$L,$X353))</f>
        <v/>
      </c>
      <c r="I353" s="10" t="str">
        <f>IF($X353="","",INDEX(Assessment!$N:$N,$X353))</f>
        <v/>
      </c>
      <c r="X353" t="str">
        <f>IF(337&lt;=$B$6,SMALL($Y$2:$Y$593,337),IF(337&lt;=$B$6+$B$7,SMALL($Z$2:$Z$593,337-$B$6),""))</f>
        <v/>
      </c>
      <c r="Y353" t="str">
        <f>IF(Assessment!$G353="Critical",ROW(Assessment!$G353),"")</f>
        <v/>
      </c>
      <c r="Z353" t="str">
        <f>IF(Assessment!$G353="High",ROW(Assessment!$G353),"")</f>
        <v/>
      </c>
    </row>
    <row r="354" spans="1:26" x14ac:dyDescent="0.25">
      <c r="A354" s="10" t="str">
        <f>IF($X354="","",338)</f>
        <v/>
      </c>
      <c r="B354" s="10" t="str">
        <f>IF($X354="","",INDEX(Assessment!$A:$A,$X354))</f>
        <v/>
      </c>
      <c r="C354" s="10" t="str">
        <f>IF($X354="","",INDEX(Assessment!$B:$B,$X354))</f>
        <v/>
      </c>
      <c r="D354" s="10" t="str">
        <f>IF($X354="","",INDEX(Assessment!$C:$C,$X354))</f>
        <v/>
      </c>
      <c r="E354" s="10" t="str">
        <f>IF($X354="","",INDEX(Assessment!$F:$F,$X354))</f>
        <v/>
      </c>
      <c r="F354" s="10" t="str">
        <f>IF($X354="","",INDEX(Assessment!$G:$G,$X354))</f>
        <v/>
      </c>
      <c r="G354" s="10" t="str">
        <f>IF($X354="","",INDEX(Assessment!$J:$J,$X354))</f>
        <v/>
      </c>
      <c r="H354" s="10" t="str">
        <f>IF($X354="","",INDEX(Assessment!$L:$L,$X354))</f>
        <v/>
      </c>
      <c r="I354" s="10" t="str">
        <f>IF($X354="","",INDEX(Assessment!$N:$N,$X354))</f>
        <v/>
      </c>
      <c r="X354" t="str">
        <f>IF(338&lt;=$B$6,SMALL($Y$2:$Y$593,338),IF(338&lt;=$B$6+$B$7,SMALL($Z$2:$Z$593,338-$B$6),""))</f>
        <v/>
      </c>
      <c r="Y354" t="str">
        <f>IF(Assessment!$G354="Critical",ROW(Assessment!$G354),"")</f>
        <v/>
      </c>
      <c r="Z354" t="str">
        <f>IF(Assessment!$G354="High",ROW(Assessment!$G354),"")</f>
        <v/>
      </c>
    </row>
    <row r="355" spans="1:26" x14ac:dyDescent="0.25">
      <c r="A355" s="10" t="str">
        <f>IF($X355="","",339)</f>
        <v/>
      </c>
      <c r="B355" s="10" t="str">
        <f>IF($X355="","",INDEX(Assessment!$A:$A,$X355))</f>
        <v/>
      </c>
      <c r="C355" s="10" t="str">
        <f>IF($X355="","",INDEX(Assessment!$B:$B,$X355))</f>
        <v/>
      </c>
      <c r="D355" s="10" t="str">
        <f>IF($X355="","",INDEX(Assessment!$C:$C,$X355))</f>
        <v/>
      </c>
      <c r="E355" s="10" t="str">
        <f>IF($X355="","",INDEX(Assessment!$F:$F,$X355))</f>
        <v/>
      </c>
      <c r="F355" s="10" t="str">
        <f>IF($X355="","",INDEX(Assessment!$G:$G,$X355))</f>
        <v/>
      </c>
      <c r="G355" s="10" t="str">
        <f>IF($X355="","",INDEX(Assessment!$J:$J,$X355))</f>
        <v/>
      </c>
      <c r="H355" s="10" t="str">
        <f>IF($X355="","",INDEX(Assessment!$L:$L,$X355))</f>
        <v/>
      </c>
      <c r="I355" s="10" t="str">
        <f>IF($X355="","",INDEX(Assessment!$N:$N,$X355))</f>
        <v/>
      </c>
      <c r="X355" t="str">
        <f>IF(339&lt;=$B$6,SMALL($Y$2:$Y$593,339),IF(339&lt;=$B$6+$B$7,SMALL($Z$2:$Z$593,339-$B$6),""))</f>
        <v/>
      </c>
      <c r="Y355" t="str">
        <f>IF(Assessment!$G355="Critical",ROW(Assessment!$G355),"")</f>
        <v/>
      </c>
      <c r="Z355" t="str">
        <f>IF(Assessment!$G355="High",ROW(Assessment!$G355),"")</f>
        <v/>
      </c>
    </row>
    <row r="356" spans="1:26" x14ac:dyDescent="0.25">
      <c r="A356" s="10" t="str">
        <f>IF($X356="","",340)</f>
        <v/>
      </c>
      <c r="B356" s="10" t="str">
        <f>IF($X356="","",INDEX(Assessment!$A:$A,$X356))</f>
        <v/>
      </c>
      <c r="C356" s="10" t="str">
        <f>IF($X356="","",INDEX(Assessment!$B:$B,$X356))</f>
        <v/>
      </c>
      <c r="D356" s="10" t="str">
        <f>IF($X356="","",INDEX(Assessment!$C:$C,$X356))</f>
        <v/>
      </c>
      <c r="E356" s="10" t="str">
        <f>IF($X356="","",INDEX(Assessment!$F:$F,$X356))</f>
        <v/>
      </c>
      <c r="F356" s="10" t="str">
        <f>IF($X356="","",INDEX(Assessment!$G:$G,$X356))</f>
        <v/>
      </c>
      <c r="G356" s="10" t="str">
        <f>IF($X356="","",INDEX(Assessment!$J:$J,$X356))</f>
        <v/>
      </c>
      <c r="H356" s="10" t="str">
        <f>IF($X356="","",INDEX(Assessment!$L:$L,$X356))</f>
        <v/>
      </c>
      <c r="I356" s="10" t="str">
        <f>IF($X356="","",INDEX(Assessment!$N:$N,$X356))</f>
        <v/>
      </c>
      <c r="X356" t="str">
        <f>IF(340&lt;=$B$6,SMALL($Y$2:$Y$593,340),IF(340&lt;=$B$6+$B$7,SMALL($Z$2:$Z$593,340-$B$6),""))</f>
        <v/>
      </c>
      <c r="Y356" t="str">
        <f>IF(Assessment!$G356="Critical",ROW(Assessment!$G356),"")</f>
        <v/>
      </c>
      <c r="Z356" t="str">
        <f>IF(Assessment!$G356="High",ROW(Assessment!$G356),"")</f>
        <v/>
      </c>
    </row>
    <row r="357" spans="1:26" x14ac:dyDescent="0.25">
      <c r="A357" s="10" t="str">
        <f>IF($X357="","",341)</f>
        <v/>
      </c>
      <c r="B357" s="10" t="str">
        <f>IF($X357="","",INDEX(Assessment!$A:$A,$X357))</f>
        <v/>
      </c>
      <c r="C357" s="10" t="str">
        <f>IF($X357="","",INDEX(Assessment!$B:$B,$X357))</f>
        <v/>
      </c>
      <c r="D357" s="10" t="str">
        <f>IF($X357="","",INDEX(Assessment!$C:$C,$X357))</f>
        <v/>
      </c>
      <c r="E357" s="10" t="str">
        <f>IF($X357="","",INDEX(Assessment!$F:$F,$X357))</f>
        <v/>
      </c>
      <c r="F357" s="10" t="str">
        <f>IF($X357="","",INDEX(Assessment!$G:$G,$X357))</f>
        <v/>
      </c>
      <c r="G357" s="10" t="str">
        <f>IF($X357="","",INDEX(Assessment!$J:$J,$X357))</f>
        <v/>
      </c>
      <c r="H357" s="10" t="str">
        <f>IF($X357="","",INDEX(Assessment!$L:$L,$X357))</f>
        <v/>
      </c>
      <c r="I357" s="10" t="str">
        <f>IF($X357="","",INDEX(Assessment!$N:$N,$X357))</f>
        <v/>
      </c>
      <c r="X357" t="str">
        <f>IF(341&lt;=$B$6,SMALL($Y$2:$Y$593,341),IF(341&lt;=$B$6+$B$7,SMALL($Z$2:$Z$593,341-$B$6),""))</f>
        <v/>
      </c>
      <c r="Y357" t="str">
        <f>IF(Assessment!$G357="Critical",ROW(Assessment!$G357),"")</f>
        <v/>
      </c>
      <c r="Z357" t="str">
        <f>IF(Assessment!$G357="High",ROW(Assessment!$G357),"")</f>
        <v/>
      </c>
    </row>
    <row r="358" spans="1:26" x14ac:dyDescent="0.25">
      <c r="A358" s="10" t="str">
        <f>IF($X358="","",342)</f>
        <v/>
      </c>
      <c r="B358" s="10" t="str">
        <f>IF($X358="","",INDEX(Assessment!$A:$A,$X358))</f>
        <v/>
      </c>
      <c r="C358" s="10" t="str">
        <f>IF($X358="","",INDEX(Assessment!$B:$B,$X358))</f>
        <v/>
      </c>
      <c r="D358" s="10" t="str">
        <f>IF($X358="","",INDEX(Assessment!$C:$C,$X358))</f>
        <v/>
      </c>
      <c r="E358" s="10" t="str">
        <f>IF($X358="","",INDEX(Assessment!$F:$F,$X358))</f>
        <v/>
      </c>
      <c r="F358" s="10" t="str">
        <f>IF($X358="","",INDEX(Assessment!$G:$G,$X358))</f>
        <v/>
      </c>
      <c r="G358" s="10" t="str">
        <f>IF($X358="","",INDEX(Assessment!$J:$J,$X358))</f>
        <v/>
      </c>
      <c r="H358" s="10" t="str">
        <f>IF($X358="","",INDEX(Assessment!$L:$L,$X358))</f>
        <v/>
      </c>
      <c r="I358" s="10" t="str">
        <f>IF($X358="","",INDEX(Assessment!$N:$N,$X358))</f>
        <v/>
      </c>
      <c r="X358" t="str">
        <f>IF(342&lt;=$B$6,SMALL($Y$2:$Y$593,342),IF(342&lt;=$B$6+$B$7,SMALL($Z$2:$Z$593,342-$B$6),""))</f>
        <v/>
      </c>
      <c r="Y358" t="str">
        <f>IF(Assessment!$G358="Critical",ROW(Assessment!$G358),"")</f>
        <v/>
      </c>
      <c r="Z358" t="str">
        <f>IF(Assessment!$G358="High",ROW(Assessment!$G358),"")</f>
        <v/>
      </c>
    </row>
    <row r="359" spans="1:26" x14ac:dyDescent="0.25">
      <c r="A359" s="10" t="str">
        <f>IF($X359="","",343)</f>
        <v/>
      </c>
      <c r="B359" s="10" t="str">
        <f>IF($X359="","",INDEX(Assessment!$A:$A,$X359))</f>
        <v/>
      </c>
      <c r="C359" s="10" t="str">
        <f>IF($X359="","",INDEX(Assessment!$B:$B,$X359))</f>
        <v/>
      </c>
      <c r="D359" s="10" t="str">
        <f>IF($X359="","",INDEX(Assessment!$C:$C,$X359))</f>
        <v/>
      </c>
      <c r="E359" s="10" t="str">
        <f>IF($X359="","",INDEX(Assessment!$F:$F,$X359))</f>
        <v/>
      </c>
      <c r="F359" s="10" t="str">
        <f>IF($X359="","",INDEX(Assessment!$G:$G,$X359))</f>
        <v/>
      </c>
      <c r="G359" s="10" t="str">
        <f>IF($X359="","",INDEX(Assessment!$J:$J,$X359))</f>
        <v/>
      </c>
      <c r="H359" s="10" t="str">
        <f>IF($X359="","",INDEX(Assessment!$L:$L,$X359))</f>
        <v/>
      </c>
      <c r="I359" s="10" t="str">
        <f>IF($X359="","",INDEX(Assessment!$N:$N,$X359))</f>
        <v/>
      </c>
      <c r="X359" t="str">
        <f>IF(343&lt;=$B$6,SMALL($Y$2:$Y$593,343),IF(343&lt;=$B$6+$B$7,SMALL($Z$2:$Z$593,343-$B$6),""))</f>
        <v/>
      </c>
      <c r="Y359" t="str">
        <f>IF(Assessment!$G359="Critical",ROW(Assessment!$G359),"")</f>
        <v/>
      </c>
      <c r="Z359" t="str">
        <f>IF(Assessment!$G359="High",ROW(Assessment!$G359),"")</f>
        <v/>
      </c>
    </row>
    <row r="360" spans="1:26" x14ac:dyDescent="0.25">
      <c r="A360" s="10" t="str">
        <f>IF($X360="","",344)</f>
        <v/>
      </c>
      <c r="B360" s="10" t="str">
        <f>IF($X360="","",INDEX(Assessment!$A:$A,$X360))</f>
        <v/>
      </c>
      <c r="C360" s="10" t="str">
        <f>IF($X360="","",INDEX(Assessment!$B:$B,$X360))</f>
        <v/>
      </c>
      <c r="D360" s="10" t="str">
        <f>IF($X360="","",INDEX(Assessment!$C:$C,$X360))</f>
        <v/>
      </c>
      <c r="E360" s="10" t="str">
        <f>IF($X360="","",INDEX(Assessment!$F:$F,$X360))</f>
        <v/>
      </c>
      <c r="F360" s="10" t="str">
        <f>IF($X360="","",INDEX(Assessment!$G:$G,$X360))</f>
        <v/>
      </c>
      <c r="G360" s="10" t="str">
        <f>IF($X360="","",INDEX(Assessment!$J:$J,$X360))</f>
        <v/>
      </c>
      <c r="H360" s="10" t="str">
        <f>IF($X360="","",INDEX(Assessment!$L:$L,$X360))</f>
        <v/>
      </c>
      <c r="I360" s="10" t="str">
        <f>IF($X360="","",INDEX(Assessment!$N:$N,$X360))</f>
        <v/>
      </c>
      <c r="X360" t="str">
        <f>IF(344&lt;=$B$6,SMALL($Y$2:$Y$593,344),IF(344&lt;=$B$6+$B$7,SMALL($Z$2:$Z$593,344-$B$6),""))</f>
        <v/>
      </c>
      <c r="Y360" t="str">
        <f>IF(Assessment!$G360="Critical",ROW(Assessment!$G360),"")</f>
        <v/>
      </c>
      <c r="Z360" t="str">
        <f>IF(Assessment!$G360="High",ROW(Assessment!$G360),"")</f>
        <v/>
      </c>
    </row>
    <row r="361" spans="1:26" x14ac:dyDescent="0.25">
      <c r="A361" s="10" t="str">
        <f>IF($X361="","",345)</f>
        <v/>
      </c>
      <c r="B361" s="10" t="str">
        <f>IF($X361="","",INDEX(Assessment!$A:$A,$X361))</f>
        <v/>
      </c>
      <c r="C361" s="10" t="str">
        <f>IF($X361="","",INDEX(Assessment!$B:$B,$X361))</f>
        <v/>
      </c>
      <c r="D361" s="10" t="str">
        <f>IF($X361="","",INDEX(Assessment!$C:$C,$X361))</f>
        <v/>
      </c>
      <c r="E361" s="10" t="str">
        <f>IF($X361="","",INDEX(Assessment!$F:$F,$X361))</f>
        <v/>
      </c>
      <c r="F361" s="10" t="str">
        <f>IF($X361="","",INDEX(Assessment!$G:$G,$X361))</f>
        <v/>
      </c>
      <c r="G361" s="10" t="str">
        <f>IF($X361="","",INDEX(Assessment!$J:$J,$X361))</f>
        <v/>
      </c>
      <c r="H361" s="10" t="str">
        <f>IF($X361="","",INDEX(Assessment!$L:$L,$X361))</f>
        <v/>
      </c>
      <c r="I361" s="10" t="str">
        <f>IF($X361="","",INDEX(Assessment!$N:$N,$X361))</f>
        <v/>
      </c>
      <c r="X361" t="str">
        <f>IF(345&lt;=$B$6,SMALL($Y$2:$Y$593,345),IF(345&lt;=$B$6+$B$7,SMALL($Z$2:$Z$593,345-$B$6),""))</f>
        <v/>
      </c>
      <c r="Y361" t="str">
        <f>IF(Assessment!$G361="Critical",ROW(Assessment!$G361),"")</f>
        <v/>
      </c>
      <c r="Z361" t="str">
        <f>IF(Assessment!$G361="High",ROW(Assessment!$G361),"")</f>
        <v/>
      </c>
    </row>
    <row r="362" spans="1:26" x14ac:dyDescent="0.25">
      <c r="A362" s="10" t="str">
        <f>IF($X362="","",346)</f>
        <v/>
      </c>
      <c r="B362" s="10" t="str">
        <f>IF($X362="","",INDEX(Assessment!$A:$A,$X362))</f>
        <v/>
      </c>
      <c r="C362" s="10" t="str">
        <f>IF($X362="","",INDEX(Assessment!$B:$B,$X362))</f>
        <v/>
      </c>
      <c r="D362" s="10" t="str">
        <f>IF($X362="","",INDEX(Assessment!$C:$C,$X362))</f>
        <v/>
      </c>
      <c r="E362" s="10" t="str">
        <f>IF($X362="","",INDEX(Assessment!$F:$F,$X362))</f>
        <v/>
      </c>
      <c r="F362" s="10" t="str">
        <f>IF($X362="","",INDEX(Assessment!$G:$G,$X362))</f>
        <v/>
      </c>
      <c r="G362" s="10" t="str">
        <f>IF($X362="","",INDEX(Assessment!$J:$J,$X362))</f>
        <v/>
      </c>
      <c r="H362" s="10" t="str">
        <f>IF($X362="","",INDEX(Assessment!$L:$L,$X362))</f>
        <v/>
      </c>
      <c r="I362" s="10" t="str">
        <f>IF($X362="","",INDEX(Assessment!$N:$N,$X362))</f>
        <v/>
      </c>
      <c r="X362" t="str">
        <f>IF(346&lt;=$B$6,SMALL($Y$2:$Y$593,346),IF(346&lt;=$B$6+$B$7,SMALL($Z$2:$Z$593,346-$B$6),""))</f>
        <v/>
      </c>
      <c r="Y362" t="str">
        <f>IF(Assessment!$G362="Critical",ROW(Assessment!$G362),"")</f>
        <v/>
      </c>
      <c r="Z362" t="str">
        <f>IF(Assessment!$G362="High",ROW(Assessment!$G362),"")</f>
        <v/>
      </c>
    </row>
    <row r="363" spans="1:26" x14ac:dyDescent="0.25">
      <c r="A363" s="10" t="str">
        <f>IF($X363="","",347)</f>
        <v/>
      </c>
      <c r="B363" s="10" t="str">
        <f>IF($X363="","",INDEX(Assessment!$A:$A,$X363))</f>
        <v/>
      </c>
      <c r="C363" s="10" t="str">
        <f>IF($X363="","",INDEX(Assessment!$B:$B,$X363))</f>
        <v/>
      </c>
      <c r="D363" s="10" t="str">
        <f>IF($X363="","",INDEX(Assessment!$C:$C,$X363))</f>
        <v/>
      </c>
      <c r="E363" s="10" t="str">
        <f>IF($X363="","",INDEX(Assessment!$F:$F,$X363))</f>
        <v/>
      </c>
      <c r="F363" s="10" t="str">
        <f>IF($X363="","",INDEX(Assessment!$G:$G,$X363))</f>
        <v/>
      </c>
      <c r="G363" s="10" t="str">
        <f>IF($X363="","",INDEX(Assessment!$J:$J,$X363))</f>
        <v/>
      </c>
      <c r="H363" s="10" t="str">
        <f>IF($X363="","",INDEX(Assessment!$L:$L,$X363))</f>
        <v/>
      </c>
      <c r="I363" s="10" t="str">
        <f>IF($X363="","",INDEX(Assessment!$N:$N,$X363))</f>
        <v/>
      </c>
      <c r="X363" t="str">
        <f>IF(347&lt;=$B$6,SMALL($Y$2:$Y$593,347),IF(347&lt;=$B$6+$B$7,SMALL($Z$2:$Z$593,347-$B$6),""))</f>
        <v/>
      </c>
      <c r="Y363" t="str">
        <f>IF(Assessment!$G363="Critical",ROW(Assessment!$G363),"")</f>
        <v/>
      </c>
      <c r="Z363">
        <f>IF(Assessment!$G363="High",ROW(Assessment!$G363),"")</f>
        <v>363</v>
      </c>
    </row>
    <row r="364" spans="1:26" x14ac:dyDescent="0.25">
      <c r="A364" s="10" t="str">
        <f>IF($X364="","",348)</f>
        <v/>
      </c>
      <c r="B364" s="10" t="str">
        <f>IF($X364="","",INDEX(Assessment!$A:$A,$X364))</f>
        <v/>
      </c>
      <c r="C364" s="10" t="str">
        <f>IF($X364="","",INDEX(Assessment!$B:$B,$X364))</f>
        <v/>
      </c>
      <c r="D364" s="10" t="str">
        <f>IF($X364="","",INDEX(Assessment!$C:$C,$X364))</f>
        <v/>
      </c>
      <c r="E364" s="10" t="str">
        <f>IF($X364="","",INDEX(Assessment!$F:$F,$X364))</f>
        <v/>
      </c>
      <c r="F364" s="10" t="str">
        <f>IF($X364="","",INDEX(Assessment!$G:$G,$X364))</f>
        <v/>
      </c>
      <c r="G364" s="10" t="str">
        <f>IF($X364="","",INDEX(Assessment!$J:$J,$X364))</f>
        <v/>
      </c>
      <c r="H364" s="10" t="str">
        <f>IF($X364="","",INDEX(Assessment!$L:$L,$X364))</f>
        <v/>
      </c>
      <c r="I364" s="10" t="str">
        <f>IF($X364="","",INDEX(Assessment!$N:$N,$X364))</f>
        <v/>
      </c>
      <c r="X364" t="str">
        <f>IF(348&lt;=$B$6,SMALL($Y$2:$Y$593,348),IF(348&lt;=$B$6+$B$7,SMALL($Z$2:$Z$593,348-$B$6),""))</f>
        <v/>
      </c>
      <c r="Y364" t="str">
        <f>IF(Assessment!$G364="Critical",ROW(Assessment!$G364),"")</f>
        <v/>
      </c>
      <c r="Z364" t="str">
        <f>IF(Assessment!$G364="High",ROW(Assessment!$G364),"")</f>
        <v/>
      </c>
    </row>
    <row r="365" spans="1:26" x14ac:dyDescent="0.25">
      <c r="A365" s="10" t="str">
        <f>IF($X365="","",349)</f>
        <v/>
      </c>
      <c r="B365" s="10" t="str">
        <f>IF($X365="","",INDEX(Assessment!$A:$A,$X365))</f>
        <v/>
      </c>
      <c r="C365" s="10" t="str">
        <f>IF($X365="","",INDEX(Assessment!$B:$B,$X365))</f>
        <v/>
      </c>
      <c r="D365" s="10" t="str">
        <f>IF($X365="","",INDEX(Assessment!$C:$C,$X365))</f>
        <v/>
      </c>
      <c r="E365" s="10" t="str">
        <f>IF($X365="","",INDEX(Assessment!$F:$F,$X365))</f>
        <v/>
      </c>
      <c r="F365" s="10" t="str">
        <f>IF($X365="","",INDEX(Assessment!$G:$G,$X365))</f>
        <v/>
      </c>
      <c r="G365" s="10" t="str">
        <f>IF($X365="","",INDEX(Assessment!$J:$J,$X365))</f>
        <v/>
      </c>
      <c r="H365" s="10" t="str">
        <f>IF($X365="","",INDEX(Assessment!$L:$L,$X365))</f>
        <v/>
      </c>
      <c r="I365" s="10" t="str">
        <f>IF($X365="","",INDEX(Assessment!$N:$N,$X365))</f>
        <v/>
      </c>
      <c r="X365" t="str">
        <f>IF(349&lt;=$B$6,SMALL($Y$2:$Y$593,349),IF(349&lt;=$B$6+$B$7,SMALL($Z$2:$Z$593,349-$B$6),""))</f>
        <v/>
      </c>
      <c r="Y365" t="str">
        <f>IF(Assessment!$G365="Critical",ROW(Assessment!$G365),"")</f>
        <v/>
      </c>
      <c r="Z365" t="str">
        <f>IF(Assessment!$G365="High",ROW(Assessment!$G365),"")</f>
        <v/>
      </c>
    </row>
    <row r="366" spans="1:26" x14ac:dyDescent="0.25">
      <c r="A366" s="10" t="str">
        <f>IF($X366="","",350)</f>
        <v/>
      </c>
      <c r="B366" s="10" t="str">
        <f>IF($X366="","",INDEX(Assessment!$A:$A,$X366))</f>
        <v/>
      </c>
      <c r="C366" s="10" t="str">
        <f>IF($X366="","",INDEX(Assessment!$B:$B,$X366))</f>
        <v/>
      </c>
      <c r="D366" s="10" t="str">
        <f>IF($X366="","",INDEX(Assessment!$C:$C,$X366))</f>
        <v/>
      </c>
      <c r="E366" s="10" t="str">
        <f>IF($X366="","",INDEX(Assessment!$F:$F,$X366))</f>
        <v/>
      </c>
      <c r="F366" s="10" t="str">
        <f>IF($X366="","",INDEX(Assessment!$G:$G,$X366))</f>
        <v/>
      </c>
      <c r="G366" s="10" t="str">
        <f>IF($X366="","",INDEX(Assessment!$J:$J,$X366))</f>
        <v/>
      </c>
      <c r="H366" s="10" t="str">
        <f>IF($X366="","",INDEX(Assessment!$L:$L,$X366))</f>
        <v/>
      </c>
      <c r="I366" s="10" t="str">
        <f>IF($X366="","",INDEX(Assessment!$N:$N,$X366))</f>
        <v/>
      </c>
      <c r="X366" t="str">
        <f>IF(350&lt;=$B$6,SMALL($Y$2:$Y$593,350),IF(350&lt;=$B$6+$B$7,SMALL($Z$2:$Z$593,350-$B$6),""))</f>
        <v/>
      </c>
      <c r="Y366" t="str">
        <f>IF(Assessment!$G366="Critical",ROW(Assessment!$G366),"")</f>
        <v/>
      </c>
      <c r="Z366" t="str">
        <f>IF(Assessment!$G366="High",ROW(Assessment!$G366),"")</f>
        <v/>
      </c>
    </row>
    <row r="367" spans="1:26" x14ac:dyDescent="0.25">
      <c r="A367" s="10" t="str">
        <f>IF($X367="","",351)</f>
        <v/>
      </c>
      <c r="B367" s="10" t="str">
        <f>IF($X367="","",INDEX(Assessment!$A:$A,$X367))</f>
        <v/>
      </c>
      <c r="C367" s="10" t="str">
        <f>IF($X367="","",INDEX(Assessment!$B:$B,$X367))</f>
        <v/>
      </c>
      <c r="D367" s="10" t="str">
        <f>IF($X367="","",INDEX(Assessment!$C:$C,$X367))</f>
        <v/>
      </c>
      <c r="E367" s="10" t="str">
        <f>IF($X367="","",INDEX(Assessment!$F:$F,$X367))</f>
        <v/>
      </c>
      <c r="F367" s="10" t="str">
        <f>IF($X367="","",INDEX(Assessment!$G:$G,$X367))</f>
        <v/>
      </c>
      <c r="G367" s="10" t="str">
        <f>IF($X367="","",INDEX(Assessment!$J:$J,$X367))</f>
        <v/>
      </c>
      <c r="H367" s="10" t="str">
        <f>IF($X367="","",INDEX(Assessment!$L:$L,$X367))</f>
        <v/>
      </c>
      <c r="I367" s="10" t="str">
        <f>IF($X367="","",INDEX(Assessment!$N:$N,$X367))</f>
        <v/>
      </c>
      <c r="X367" t="str">
        <f>IF(351&lt;=$B$6,SMALL($Y$2:$Y$593,351),IF(351&lt;=$B$6+$B$7,SMALL($Z$2:$Z$593,351-$B$6),""))</f>
        <v/>
      </c>
      <c r="Y367" t="str">
        <f>IF(Assessment!$G367="Critical",ROW(Assessment!$G367),"")</f>
        <v/>
      </c>
      <c r="Z367" t="str">
        <f>IF(Assessment!$G367="High",ROW(Assessment!$G367),"")</f>
        <v/>
      </c>
    </row>
    <row r="368" spans="1:26" x14ac:dyDescent="0.25">
      <c r="A368" s="10" t="str">
        <f>IF($X368="","",352)</f>
        <v/>
      </c>
      <c r="B368" s="10" t="str">
        <f>IF($X368="","",INDEX(Assessment!$A:$A,$X368))</f>
        <v/>
      </c>
      <c r="C368" s="10" t="str">
        <f>IF($X368="","",INDEX(Assessment!$B:$B,$X368))</f>
        <v/>
      </c>
      <c r="D368" s="10" t="str">
        <f>IF($X368="","",INDEX(Assessment!$C:$C,$X368))</f>
        <v/>
      </c>
      <c r="E368" s="10" t="str">
        <f>IF($X368="","",INDEX(Assessment!$F:$F,$X368))</f>
        <v/>
      </c>
      <c r="F368" s="10" t="str">
        <f>IF($X368="","",INDEX(Assessment!$G:$G,$X368))</f>
        <v/>
      </c>
      <c r="G368" s="10" t="str">
        <f>IF($X368="","",INDEX(Assessment!$J:$J,$X368))</f>
        <v/>
      </c>
      <c r="H368" s="10" t="str">
        <f>IF($X368="","",INDEX(Assessment!$L:$L,$X368))</f>
        <v/>
      </c>
      <c r="I368" s="10" t="str">
        <f>IF($X368="","",INDEX(Assessment!$N:$N,$X368))</f>
        <v/>
      </c>
      <c r="X368" t="str">
        <f>IF(352&lt;=$B$6,SMALL($Y$2:$Y$593,352),IF(352&lt;=$B$6+$B$7,SMALL($Z$2:$Z$593,352-$B$6),""))</f>
        <v/>
      </c>
      <c r="Y368" t="str">
        <f>IF(Assessment!$G368="Critical",ROW(Assessment!$G368),"")</f>
        <v/>
      </c>
      <c r="Z368" t="str">
        <f>IF(Assessment!$G368="High",ROW(Assessment!$G368),"")</f>
        <v/>
      </c>
    </row>
    <row r="369" spans="1:26" x14ac:dyDescent="0.25">
      <c r="A369" s="10" t="str">
        <f>IF($X369="","",353)</f>
        <v/>
      </c>
      <c r="B369" s="10" t="str">
        <f>IF($X369="","",INDEX(Assessment!$A:$A,$X369))</f>
        <v/>
      </c>
      <c r="C369" s="10" t="str">
        <f>IF($X369="","",INDEX(Assessment!$B:$B,$X369))</f>
        <v/>
      </c>
      <c r="D369" s="10" t="str">
        <f>IF($X369="","",INDEX(Assessment!$C:$C,$X369))</f>
        <v/>
      </c>
      <c r="E369" s="10" t="str">
        <f>IF($X369="","",INDEX(Assessment!$F:$F,$X369))</f>
        <v/>
      </c>
      <c r="F369" s="10" t="str">
        <f>IF($X369="","",INDEX(Assessment!$G:$G,$X369))</f>
        <v/>
      </c>
      <c r="G369" s="10" t="str">
        <f>IF($X369="","",INDEX(Assessment!$J:$J,$X369))</f>
        <v/>
      </c>
      <c r="H369" s="10" t="str">
        <f>IF($X369="","",INDEX(Assessment!$L:$L,$X369))</f>
        <v/>
      </c>
      <c r="I369" s="10" t="str">
        <f>IF($X369="","",INDEX(Assessment!$N:$N,$X369))</f>
        <v/>
      </c>
      <c r="X369" t="str">
        <f>IF(353&lt;=$B$6,SMALL($Y$2:$Y$593,353),IF(353&lt;=$B$6+$B$7,SMALL($Z$2:$Z$593,353-$B$6),""))</f>
        <v/>
      </c>
      <c r="Y369" t="str">
        <f>IF(Assessment!$G369="Critical",ROW(Assessment!$G369),"")</f>
        <v/>
      </c>
      <c r="Z369" t="str">
        <f>IF(Assessment!$G369="High",ROW(Assessment!$G369),"")</f>
        <v/>
      </c>
    </row>
    <row r="370" spans="1:26" x14ac:dyDescent="0.25">
      <c r="A370" s="10" t="str">
        <f>IF($X370="","",354)</f>
        <v/>
      </c>
      <c r="B370" s="10" t="str">
        <f>IF($X370="","",INDEX(Assessment!$A:$A,$X370))</f>
        <v/>
      </c>
      <c r="C370" s="10" t="str">
        <f>IF($X370="","",INDEX(Assessment!$B:$B,$X370))</f>
        <v/>
      </c>
      <c r="D370" s="10" t="str">
        <f>IF($X370="","",INDEX(Assessment!$C:$C,$X370))</f>
        <v/>
      </c>
      <c r="E370" s="10" t="str">
        <f>IF($X370="","",INDEX(Assessment!$F:$F,$X370))</f>
        <v/>
      </c>
      <c r="F370" s="10" t="str">
        <f>IF($X370="","",INDEX(Assessment!$G:$G,$X370))</f>
        <v/>
      </c>
      <c r="G370" s="10" t="str">
        <f>IF($X370="","",INDEX(Assessment!$J:$J,$X370))</f>
        <v/>
      </c>
      <c r="H370" s="10" t="str">
        <f>IF($X370="","",INDEX(Assessment!$L:$L,$X370))</f>
        <v/>
      </c>
      <c r="I370" s="10" t="str">
        <f>IF($X370="","",INDEX(Assessment!$N:$N,$X370))</f>
        <v/>
      </c>
      <c r="X370" t="str">
        <f>IF(354&lt;=$B$6,SMALL($Y$2:$Y$593,354),IF(354&lt;=$B$6+$B$7,SMALL($Z$2:$Z$593,354-$B$6),""))</f>
        <v/>
      </c>
      <c r="Y370" t="str">
        <f>IF(Assessment!$G370="Critical",ROW(Assessment!$G370),"")</f>
        <v/>
      </c>
      <c r="Z370" t="str">
        <f>IF(Assessment!$G370="High",ROW(Assessment!$G370),"")</f>
        <v/>
      </c>
    </row>
    <row r="371" spans="1:26" x14ac:dyDescent="0.25">
      <c r="A371" s="10" t="str">
        <f>IF($X371="","",355)</f>
        <v/>
      </c>
      <c r="B371" s="10" t="str">
        <f>IF($X371="","",INDEX(Assessment!$A:$A,$X371))</f>
        <v/>
      </c>
      <c r="C371" s="10" t="str">
        <f>IF($X371="","",INDEX(Assessment!$B:$B,$X371))</f>
        <v/>
      </c>
      <c r="D371" s="10" t="str">
        <f>IF($X371="","",INDEX(Assessment!$C:$C,$X371))</f>
        <v/>
      </c>
      <c r="E371" s="10" t="str">
        <f>IF($X371="","",INDEX(Assessment!$F:$F,$X371))</f>
        <v/>
      </c>
      <c r="F371" s="10" t="str">
        <f>IF($X371="","",INDEX(Assessment!$G:$G,$X371))</f>
        <v/>
      </c>
      <c r="G371" s="10" t="str">
        <f>IF($X371="","",INDEX(Assessment!$J:$J,$X371))</f>
        <v/>
      </c>
      <c r="H371" s="10" t="str">
        <f>IF($X371="","",INDEX(Assessment!$L:$L,$X371))</f>
        <v/>
      </c>
      <c r="I371" s="10" t="str">
        <f>IF($X371="","",INDEX(Assessment!$N:$N,$X371))</f>
        <v/>
      </c>
      <c r="X371" t="str">
        <f>IF(355&lt;=$B$6,SMALL($Y$2:$Y$593,355),IF(355&lt;=$B$6+$B$7,SMALL($Z$2:$Z$593,355-$B$6),""))</f>
        <v/>
      </c>
      <c r="Y371" t="str">
        <f>IF(Assessment!$G371="Critical",ROW(Assessment!$G371),"")</f>
        <v/>
      </c>
      <c r="Z371" t="str">
        <f>IF(Assessment!$G371="High",ROW(Assessment!$G371),"")</f>
        <v/>
      </c>
    </row>
    <row r="372" spans="1:26" x14ac:dyDescent="0.25">
      <c r="A372" s="10" t="str">
        <f>IF($X372="","",356)</f>
        <v/>
      </c>
      <c r="B372" s="10" t="str">
        <f>IF($X372="","",INDEX(Assessment!$A:$A,$X372))</f>
        <v/>
      </c>
      <c r="C372" s="10" t="str">
        <f>IF($X372="","",INDEX(Assessment!$B:$B,$X372))</f>
        <v/>
      </c>
      <c r="D372" s="10" t="str">
        <f>IF($X372="","",INDEX(Assessment!$C:$C,$X372))</f>
        <v/>
      </c>
      <c r="E372" s="10" t="str">
        <f>IF($X372="","",INDEX(Assessment!$F:$F,$X372))</f>
        <v/>
      </c>
      <c r="F372" s="10" t="str">
        <f>IF($X372="","",INDEX(Assessment!$G:$G,$X372))</f>
        <v/>
      </c>
      <c r="G372" s="10" t="str">
        <f>IF($X372="","",INDEX(Assessment!$J:$J,$X372))</f>
        <v/>
      </c>
      <c r="H372" s="10" t="str">
        <f>IF($X372="","",INDEX(Assessment!$L:$L,$X372))</f>
        <v/>
      </c>
      <c r="I372" s="10" t="str">
        <f>IF($X372="","",INDEX(Assessment!$N:$N,$X372))</f>
        <v/>
      </c>
      <c r="X372" t="str">
        <f>IF(356&lt;=$B$6,SMALL($Y$2:$Y$593,356),IF(356&lt;=$B$6+$B$7,SMALL($Z$2:$Z$593,356-$B$6),""))</f>
        <v/>
      </c>
      <c r="Y372" t="str">
        <f>IF(Assessment!$G372="Critical",ROW(Assessment!$G372),"")</f>
        <v/>
      </c>
      <c r="Z372" t="str">
        <f>IF(Assessment!$G372="High",ROW(Assessment!$G372),"")</f>
        <v/>
      </c>
    </row>
    <row r="373" spans="1:26" x14ac:dyDescent="0.25">
      <c r="A373" s="10" t="str">
        <f>IF($X373="","",357)</f>
        <v/>
      </c>
      <c r="B373" s="10" t="str">
        <f>IF($X373="","",INDEX(Assessment!$A:$A,$X373))</f>
        <v/>
      </c>
      <c r="C373" s="10" t="str">
        <f>IF($X373="","",INDEX(Assessment!$B:$B,$X373))</f>
        <v/>
      </c>
      <c r="D373" s="10" t="str">
        <f>IF($X373="","",INDEX(Assessment!$C:$C,$X373))</f>
        <v/>
      </c>
      <c r="E373" s="10" t="str">
        <f>IF($X373="","",INDEX(Assessment!$F:$F,$X373))</f>
        <v/>
      </c>
      <c r="F373" s="10" t="str">
        <f>IF($X373="","",INDEX(Assessment!$G:$G,$X373))</f>
        <v/>
      </c>
      <c r="G373" s="10" t="str">
        <f>IF($X373="","",INDEX(Assessment!$J:$J,$X373))</f>
        <v/>
      </c>
      <c r="H373" s="10" t="str">
        <f>IF($X373="","",INDEX(Assessment!$L:$L,$X373))</f>
        <v/>
      </c>
      <c r="I373" s="10" t="str">
        <f>IF($X373="","",INDEX(Assessment!$N:$N,$X373))</f>
        <v/>
      </c>
      <c r="X373" t="str">
        <f>IF(357&lt;=$B$6,SMALL($Y$2:$Y$593,357),IF(357&lt;=$B$6+$B$7,SMALL($Z$2:$Z$593,357-$B$6),""))</f>
        <v/>
      </c>
      <c r="Y373" t="str">
        <f>IF(Assessment!$G373="Critical",ROW(Assessment!$G373),"")</f>
        <v/>
      </c>
      <c r="Z373" t="str">
        <f>IF(Assessment!$G373="High",ROW(Assessment!$G373),"")</f>
        <v/>
      </c>
    </row>
    <row r="374" spans="1:26" x14ac:dyDescent="0.25">
      <c r="A374" s="10" t="str">
        <f>IF($X374="","",358)</f>
        <v/>
      </c>
      <c r="B374" s="10" t="str">
        <f>IF($X374="","",INDEX(Assessment!$A:$A,$X374))</f>
        <v/>
      </c>
      <c r="C374" s="10" t="str">
        <f>IF($X374="","",INDEX(Assessment!$B:$B,$X374))</f>
        <v/>
      </c>
      <c r="D374" s="10" t="str">
        <f>IF($X374="","",INDEX(Assessment!$C:$C,$X374))</f>
        <v/>
      </c>
      <c r="E374" s="10" t="str">
        <f>IF($X374="","",INDEX(Assessment!$F:$F,$X374))</f>
        <v/>
      </c>
      <c r="F374" s="10" t="str">
        <f>IF($X374="","",INDEX(Assessment!$G:$G,$X374))</f>
        <v/>
      </c>
      <c r="G374" s="10" t="str">
        <f>IF($X374="","",INDEX(Assessment!$J:$J,$X374))</f>
        <v/>
      </c>
      <c r="H374" s="10" t="str">
        <f>IF($X374="","",INDEX(Assessment!$L:$L,$X374))</f>
        <v/>
      </c>
      <c r="I374" s="10" t="str">
        <f>IF($X374="","",INDEX(Assessment!$N:$N,$X374))</f>
        <v/>
      </c>
      <c r="X374" t="str">
        <f>IF(358&lt;=$B$6,SMALL($Y$2:$Y$593,358),IF(358&lt;=$B$6+$B$7,SMALL($Z$2:$Z$593,358-$B$6),""))</f>
        <v/>
      </c>
      <c r="Y374" t="str">
        <f>IF(Assessment!$G374="Critical",ROW(Assessment!$G374),"")</f>
        <v/>
      </c>
      <c r="Z374" t="str">
        <f>IF(Assessment!$G374="High",ROW(Assessment!$G374),"")</f>
        <v/>
      </c>
    </row>
    <row r="375" spans="1:26" x14ac:dyDescent="0.25">
      <c r="A375" s="10" t="str">
        <f>IF($X375="","",359)</f>
        <v/>
      </c>
      <c r="B375" s="10" t="str">
        <f>IF($X375="","",INDEX(Assessment!$A:$A,$X375))</f>
        <v/>
      </c>
      <c r="C375" s="10" t="str">
        <f>IF($X375="","",INDEX(Assessment!$B:$B,$X375))</f>
        <v/>
      </c>
      <c r="D375" s="10" t="str">
        <f>IF($X375="","",INDEX(Assessment!$C:$C,$X375))</f>
        <v/>
      </c>
      <c r="E375" s="10" t="str">
        <f>IF($X375="","",INDEX(Assessment!$F:$F,$X375))</f>
        <v/>
      </c>
      <c r="F375" s="10" t="str">
        <f>IF($X375="","",INDEX(Assessment!$G:$G,$X375))</f>
        <v/>
      </c>
      <c r="G375" s="10" t="str">
        <f>IF($X375="","",INDEX(Assessment!$J:$J,$X375))</f>
        <v/>
      </c>
      <c r="H375" s="10" t="str">
        <f>IF($X375="","",INDEX(Assessment!$L:$L,$X375))</f>
        <v/>
      </c>
      <c r="I375" s="10" t="str">
        <f>IF($X375="","",INDEX(Assessment!$N:$N,$X375))</f>
        <v/>
      </c>
      <c r="X375" t="str">
        <f>IF(359&lt;=$B$6,SMALL($Y$2:$Y$593,359),IF(359&lt;=$B$6+$B$7,SMALL($Z$2:$Z$593,359-$B$6),""))</f>
        <v/>
      </c>
      <c r="Y375" t="str">
        <f>IF(Assessment!$G375="Critical",ROW(Assessment!$G375),"")</f>
        <v/>
      </c>
      <c r="Z375" t="str">
        <f>IF(Assessment!$G375="High",ROW(Assessment!$G375),"")</f>
        <v/>
      </c>
    </row>
    <row r="376" spans="1:26" x14ac:dyDescent="0.25">
      <c r="A376" s="10" t="str">
        <f>IF($X376="","",360)</f>
        <v/>
      </c>
      <c r="B376" s="10" t="str">
        <f>IF($X376="","",INDEX(Assessment!$A:$A,$X376))</f>
        <v/>
      </c>
      <c r="C376" s="10" t="str">
        <f>IF($X376="","",INDEX(Assessment!$B:$B,$X376))</f>
        <v/>
      </c>
      <c r="D376" s="10" t="str">
        <f>IF($X376="","",INDEX(Assessment!$C:$C,$X376))</f>
        <v/>
      </c>
      <c r="E376" s="10" t="str">
        <f>IF($X376="","",INDEX(Assessment!$F:$F,$X376))</f>
        <v/>
      </c>
      <c r="F376" s="10" t="str">
        <f>IF($X376="","",INDEX(Assessment!$G:$G,$X376))</f>
        <v/>
      </c>
      <c r="G376" s="10" t="str">
        <f>IF($X376="","",INDEX(Assessment!$J:$J,$X376))</f>
        <v/>
      </c>
      <c r="H376" s="10" t="str">
        <f>IF($X376="","",INDEX(Assessment!$L:$L,$X376))</f>
        <v/>
      </c>
      <c r="I376" s="10" t="str">
        <f>IF($X376="","",INDEX(Assessment!$N:$N,$X376))</f>
        <v/>
      </c>
      <c r="X376" t="str">
        <f>IF(360&lt;=$B$6,SMALL($Y$2:$Y$593,360),IF(360&lt;=$B$6+$B$7,SMALL($Z$2:$Z$593,360-$B$6),""))</f>
        <v/>
      </c>
      <c r="Y376" t="str">
        <f>IF(Assessment!$G376="Critical",ROW(Assessment!$G376),"")</f>
        <v/>
      </c>
      <c r="Z376" t="str">
        <f>IF(Assessment!$G376="High",ROW(Assessment!$G376),"")</f>
        <v/>
      </c>
    </row>
    <row r="377" spans="1:26" x14ac:dyDescent="0.25">
      <c r="A377" s="10" t="str">
        <f>IF($X377="","",361)</f>
        <v/>
      </c>
      <c r="B377" s="10" t="str">
        <f>IF($X377="","",INDEX(Assessment!$A:$A,$X377))</f>
        <v/>
      </c>
      <c r="C377" s="10" t="str">
        <f>IF($X377="","",INDEX(Assessment!$B:$B,$X377))</f>
        <v/>
      </c>
      <c r="D377" s="10" t="str">
        <f>IF($X377="","",INDEX(Assessment!$C:$C,$X377))</f>
        <v/>
      </c>
      <c r="E377" s="10" t="str">
        <f>IF($X377="","",INDEX(Assessment!$F:$F,$X377))</f>
        <v/>
      </c>
      <c r="F377" s="10" t="str">
        <f>IF($X377="","",INDEX(Assessment!$G:$G,$X377))</f>
        <v/>
      </c>
      <c r="G377" s="10" t="str">
        <f>IF($X377="","",INDEX(Assessment!$J:$J,$X377))</f>
        <v/>
      </c>
      <c r="H377" s="10" t="str">
        <f>IF($X377="","",INDEX(Assessment!$L:$L,$X377))</f>
        <v/>
      </c>
      <c r="I377" s="10" t="str">
        <f>IF($X377="","",INDEX(Assessment!$N:$N,$X377))</f>
        <v/>
      </c>
      <c r="X377" t="str">
        <f>IF(361&lt;=$B$6,SMALL($Y$2:$Y$593,361),IF(361&lt;=$B$6+$B$7,SMALL($Z$2:$Z$593,361-$B$6),""))</f>
        <v/>
      </c>
      <c r="Y377" t="str">
        <f>IF(Assessment!$G377="Critical",ROW(Assessment!$G377),"")</f>
        <v/>
      </c>
      <c r="Z377" t="str">
        <f>IF(Assessment!$G377="High",ROW(Assessment!$G377),"")</f>
        <v/>
      </c>
    </row>
    <row r="378" spans="1:26" x14ac:dyDescent="0.25">
      <c r="A378" s="10" t="str">
        <f>IF($X378="","",362)</f>
        <v/>
      </c>
      <c r="B378" s="10" t="str">
        <f>IF($X378="","",INDEX(Assessment!$A:$A,$X378))</f>
        <v/>
      </c>
      <c r="C378" s="10" t="str">
        <f>IF($X378="","",INDEX(Assessment!$B:$B,$X378))</f>
        <v/>
      </c>
      <c r="D378" s="10" t="str">
        <f>IF($X378="","",INDEX(Assessment!$C:$C,$X378))</f>
        <v/>
      </c>
      <c r="E378" s="10" t="str">
        <f>IF($X378="","",INDEX(Assessment!$F:$F,$X378))</f>
        <v/>
      </c>
      <c r="F378" s="10" t="str">
        <f>IF($X378="","",INDEX(Assessment!$G:$G,$X378))</f>
        <v/>
      </c>
      <c r="G378" s="10" t="str">
        <f>IF($X378="","",INDEX(Assessment!$J:$J,$X378))</f>
        <v/>
      </c>
      <c r="H378" s="10" t="str">
        <f>IF($X378="","",INDEX(Assessment!$L:$L,$X378))</f>
        <v/>
      </c>
      <c r="I378" s="10" t="str">
        <f>IF($X378="","",INDEX(Assessment!$N:$N,$X378))</f>
        <v/>
      </c>
      <c r="X378" t="str">
        <f>IF(362&lt;=$B$6,SMALL($Y$2:$Y$593,362),IF(362&lt;=$B$6+$B$7,SMALL($Z$2:$Z$593,362-$B$6),""))</f>
        <v/>
      </c>
      <c r="Y378" t="str">
        <f>IF(Assessment!$G378="Critical",ROW(Assessment!$G378),"")</f>
        <v/>
      </c>
      <c r="Z378" t="str">
        <f>IF(Assessment!$G378="High",ROW(Assessment!$G378),"")</f>
        <v/>
      </c>
    </row>
    <row r="379" spans="1:26" x14ac:dyDescent="0.25">
      <c r="A379" s="10" t="str">
        <f>IF($X379="","",363)</f>
        <v/>
      </c>
      <c r="B379" s="10" t="str">
        <f>IF($X379="","",INDEX(Assessment!$A:$A,$X379))</f>
        <v/>
      </c>
      <c r="C379" s="10" t="str">
        <f>IF($X379="","",INDEX(Assessment!$B:$B,$X379))</f>
        <v/>
      </c>
      <c r="D379" s="10" t="str">
        <f>IF($X379="","",INDEX(Assessment!$C:$C,$X379))</f>
        <v/>
      </c>
      <c r="E379" s="10" t="str">
        <f>IF($X379="","",INDEX(Assessment!$F:$F,$X379))</f>
        <v/>
      </c>
      <c r="F379" s="10" t="str">
        <f>IF($X379="","",INDEX(Assessment!$G:$G,$X379))</f>
        <v/>
      </c>
      <c r="G379" s="10" t="str">
        <f>IF($X379="","",INDEX(Assessment!$J:$J,$X379))</f>
        <v/>
      </c>
      <c r="H379" s="10" t="str">
        <f>IF($X379="","",INDEX(Assessment!$L:$L,$X379))</f>
        <v/>
      </c>
      <c r="I379" s="10" t="str">
        <f>IF($X379="","",INDEX(Assessment!$N:$N,$X379))</f>
        <v/>
      </c>
      <c r="X379" t="str">
        <f>IF(363&lt;=$B$6,SMALL($Y$2:$Y$593,363),IF(363&lt;=$B$6+$B$7,SMALL($Z$2:$Z$593,363-$B$6),""))</f>
        <v/>
      </c>
      <c r="Y379" t="str">
        <f>IF(Assessment!$G379="Critical",ROW(Assessment!$G379),"")</f>
        <v/>
      </c>
      <c r="Z379" t="str">
        <f>IF(Assessment!$G379="High",ROW(Assessment!$G379),"")</f>
        <v/>
      </c>
    </row>
    <row r="380" spans="1:26" x14ac:dyDescent="0.25">
      <c r="A380" s="10" t="str">
        <f>IF($X380="","",364)</f>
        <v/>
      </c>
      <c r="B380" s="10" t="str">
        <f>IF($X380="","",INDEX(Assessment!$A:$A,$X380))</f>
        <v/>
      </c>
      <c r="C380" s="10" t="str">
        <f>IF($X380="","",INDEX(Assessment!$B:$B,$X380))</f>
        <v/>
      </c>
      <c r="D380" s="10" t="str">
        <f>IF($X380="","",INDEX(Assessment!$C:$C,$X380))</f>
        <v/>
      </c>
      <c r="E380" s="10" t="str">
        <f>IF($X380="","",INDEX(Assessment!$F:$F,$X380))</f>
        <v/>
      </c>
      <c r="F380" s="10" t="str">
        <f>IF($X380="","",INDEX(Assessment!$G:$G,$X380))</f>
        <v/>
      </c>
      <c r="G380" s="10" t="str">
        <f>IF($X380="","",INDEX(Assessment!$J:$J,$X380))</f>
        <v/>
      </c>
      <c r="H380" s="10" t="str">
        <f>IF($X380="","",INDEX(Assessment!$L:$L,$X380))</f>
        <v/>
      </c>
      <c r="I380" s="10" t="str">
        <f>IF($X380="","",INDEX(Assessment!$N:$N,$X380))</f>
        <v/>
      </c>
      <c r="X380" t="str">
        <f>IF(364&lt;=$B$6,SMALL($Y$2:$Y$593,364),IF(364&lt;=$B$6+$B$7,SMALL($Z$2:$Z$593,364-$B$6),""))</f>
        <v/>
      </c>
      <c r="Y380" t="str">
        <f>IF(Assessment!$G380="Critical",ROW(Assessment!$G380),"")</f>
        <v/>
      </c>
      <c r="Z380" t="str">
        <f>IF(Assessment!$G380="High",ROW(Assessment!$G380),"")</f>
        <v/>
      </c>
    </row>
    <row r="381" spans="1:26" x14ac:dyDescent="0.25">
      <c r="A381" s="10" t="str">
        <f>IF($X381="","",365)</f>
        <v/>
      </c>
      <c r="B381" s="10" t="str">
        <f>IF($X381="","",INDEX(Assessment!$A:$A,$X381))</f>
        <v/>
      </c>
      <c r="C381" s="10" t="str">
        <f>IF($X381="","",INDEX(Assessment!$B:$B,$X381))</f>
        <v/>
      </c>
      <c r="D381" s="10" t="str">
        <f>IF($X381="","",INDEX(Assessment!$C:$C,$X381))</f>
        <v/>
      </c>
      <c r="E381" s="10" t="str">
        <f>IF($X381="","",INDEX(Assessment!$F:$F,$X381))</f>
        <v/>
      </c>
      <c r="F381" s="10" t="str">
        <f>IF($X381="","",INDEX(Assessment!$G:$G,$X381))</f>
        <v/>
      </c>
      <c r="G381" s="10" t="str">
        <f>IF($X381="","",INDEX(Assessment!$J:$J,$X381))</f>
        <v/>
      </c>
      <c r="H381" s="10" t="str">
        <f>IF($X381="","",INDEX(Assessment!$L:$L,$X381))</f>
        <v/>
      </c>
      <c r="I381" s="10" t="str">
        <f>IF($X381="","",INDEX(Assessment!$N:$N,$X381))</f>
        <v/>
      </c>
      <c r="X381" t="str">
        <f>IF(365&lt;=$B$6,SMALL($Y$2:$Y$593,365),IF(365&lt;=$B$6+$B$7,SMALL($Z$2:$Z$593,365-$B$6),""))</f>
        <v/>
      </c>
      <c r="Y381" t="str">
        <f>IF(Assessment!$G381="Critical",ROW(Assessment!$G381),"")</f>
        <v/>
      </c>
      <c r="Z381" t="str">
        <f>IF(Assessment!$G381="High",ROW(Assessment!$G381),"")</f>
        <v/>
      </c>
    </row>
    <row r="382" spans="1:26" x14ac:dyDescent="0.25">
      <c r="A382" s="10" t="str">
        <f>IF($X382="","",366)</f>
        <v/>
      </c>
      <c r="B382" s="10" t="str">
        <f>IF($X382="","",INDEX(Assessment!$A:$A,$X382))</f>
        <v/>
      </c>
      <c r="C382" s="10" t="str">
        <f>IF($X382="","",INDEX(Assessment!$B:$B,$X382))</f>
        <v/>
      </c>
      <c r="D382" s="10" t="str">
        <f>IF($X382="","",INDEX(Assessment!$C:$C,$X382))</f>
        <v/>
      </c>
      <c r="E382" s="10" t="str">
        <f>IF($X382="","",INDEX(Assessment!$F:$F,$X382))</f>
        <v/>
      </c>
      <c r="F382" s="10" t="str">
        <f>IF($X382="","",INDEX(Assessment!$G:$G,$X382))</f>
        <v/>
      </c>
      <c r="G382" s="10" t="str">
        <f>IF($X382="","",INDEX(Assessment!$J:$J,$X382))</f>
        <v/>
      </c>
      <c r="H382" s="10" t="str">
        <f>IF($X382="","",INDEX(Assessment!$L:$L,$X382))</f>
        <v/>
      </c>
      <c r="I382" s="10" t="str">
        <f>IF($X382="","",INDEX(Assessment!$N:$N,$X382))</f>
        <v/>
      </c>
      <c r="X382" t="str">
        <f>IF(366&lt;=$B$6,SMALL($Y$2:$Y$593,366),IF(366&lt;=$B$6+$B$7,SMALL($Z$2:$Z$593,366-$B$6),""))</f>
        <v/>
      </c>
      <c r="Y382" t="str">
        <f>IF(Assessment!$G382="Critical",ROW(Assessment!$G382),"")</f>
        <v/>
      </c>
      <c r="Z382" t="str">
        <f>IF(Assessment!$G382="High",ROW(Assessment!$G382),"")</f>
        <v/>
      </c>
    </row>
    <row r="383" spans="1:26" x14ac:dyDescent="0.25">
      <c r="A383" s="10" t="str">
        <f>IF($X383="","",367)</f>
        <v/>
      </c>
      <c r="B383" s="10" t="str">
        <f>IF($X383="","",INDEX(Assessment!$A:$A,$X383))</f>
        <v/>
      </c>
      <c r="C383" s="10" t="str">
        <f>IF($X383="","",INDEX(Assessment!$B:$B,$X383))</f>
        <v/>
      </c>
      <c r="D383" s="10" t="str">
        <f>IF($X383="","",INDEX(Assessment!$C:$C,$X383))</f>
        <v/>
      </c>
      <c r="E383" s="10" t="str">
        <f>IF($X383="","",INDEX(Assessment!$F:$F,$X383))</f>
        <v/>
      </c>
      <c r="F383" s="10" t="str">
        <f>IF($X383="","",INDEX(Assessment!$G:$G,$X383))</f>
        <v/>
      </c>
      <c r="G383" s="10" t="str">
        <f>IF($X383="","",INDEX(Assessment!$J:$J,$X383))</f>
        <v/>
      </c>
      <c r="H383" s="10" t="str">
        <f>IF($X383="","",INDEX(Assessment!$L:$L,$X383))</f>
        <v/>
      </c>
      <c r="I383" s="10" t="str">
        <f>IF($X383="","",INDEX(Assessment!$N:$N,$X383))</f>
        <v/>
      </c>
      <c r="X383" t="str">
        <f>IF(367&lt;=$B$6,SMALL($Y$2:$Y$593,367),IF(367&lt;=$B$6+$B$7,SMALL($Z$2:$Z$593,367-$B$6),""))</f>
        <v/>
      </c>
      <c r="Y383" t="str">
        <f>IF(Assessment!$G383="Critical",ROW(Assessment!$G383),"")</f>
        <v/>
      </c>
      <c r="Z383" t="str">
        <f>IF(Assessment!$G383="High",ROW(Assessment!$G383),"")</f>
        <v/>
      </c>
    </row>
    <row r="384" spans="1:26" x14ac:dyDescent="0.25">
      <c r="A384" s="10" t="str">
        <f>IF($X384="","",368)</f>
        <v/>
      </c>
      <c r="B384" s="10" t="str">
        <f>IF($X384="","",INDEX(Assessment!$A:$A,$X384))</f>
        <v/>
      </c>
      <c r="C384" s="10" t="str">
        <f>IF($X384="","",INDEX(Assessment!$B:$B,$X384))</f>
        <v/>
      </c>
      <c r="D384" s="10" t="str">
        <f>IF($X384="","",INDEX(Assessment!$C:$C,$X384))</f>
        <v/>
      </c>
      <c r="E384" s="10" t="str">
        <f>IF($X384="","",INDEX(Assessment!$F:$F,$X384))</f>
        <v/>
      </c>
      <c r="F384" s="10" t="str">
        <f>IF($X384="","",INDEX(Assessment!$G:$G,$X384))</f>
        <v/>
      </c>
      <c r="G384" s="10" t="str">
        <f>IF($X384="","",INDEX(Assessment!$J:$J,$X384))</f>
        <v/>
      </c>
      <c r="H384" s="10" t="str">
        <f>IF($X384="","",INDEX(Assessment!$L:$L,$X384))</f>
        <v/>
      </c>
      <c r="I384" s="10" t="str">
        <f>IF($X384="","",INDEX(Assessment!$N:$N,$X384))</f>
        <v/>
      </c>
      <c r="X384" t="str">
        <f>IF(368&lt;=$B$6,SMALL($Y$2:$Y$593,368),IF(368&lt;=$B$6+$B$7,SMALL($Z$2:$Z$593,368-$B$6),""))</f>
        <v/>
      </c>
      <c r="Y384" t="str">
        <f>IF(Assessment!$G384="Critical",ROW(Assessment!$G384),"")</f>
        <v/>
      </c>
      <c r="Z384" t="str">
        <f>IF(Assessment!$G384="High",ROW(Assessment!$G384),"")</f>
        <v/>
      </c>
    </row>
    <row r="385" spans="1:26" x14ac:dyDescent="0.25">
      <c r="A385" s="10" t="str">
        <f>IF($X385="","",369)</f>
        <v/>
      </c>
      <c r="B385" s="10" t="str">
        <f>IF($X385="","",INDEX(Assessment!$A:$A,$X385))</f>
        <v/>
      </c>
      <c r="C385" s="10" t="str">
        <f>IF($X385="","",INDEX(Assessment!$B:$B,$X385))</f>
        <v/>
      </c>
      <c r="D385" s="10" t="str">
        <f>IF($X385="","",INDEX(Assessment!$C:$C,$X385))</f>
        <v/>
      </c>
      <c r="E385" s="10" t="str">
        <f>IF($X385="","",INDEX(Assessment!$F:$F,$X385))</f>
        <v/>
      </c>
      <c r="F385" s="10" t="str">
        <f>IF($X385="","",INDEX(Assessment!$G:$G,$X385))</f>
        <v/>
      </c>
      <c r="G385" s="10" t="str">
        <f>IF($X385="","",INDEX(Assessment!$J:$J,$X385))</f>
        <v/>
      </c>
      <c r="H385" s="10" t="str">
        <f>IF($X385="","",INDEX(Assessment!$L:$L,$X385))</f>
        <v/>
      </c>
      <c r="I385" s="10" t="str">
        <f>IF($X385="","",INDEX(Assessment!$N:$N,$X385))</f>
        <v/>
      </c>
      <c r="X385" t="str">
        <f>IF(369&lt;=$B$6,SMALL($Y$2:$Y$593,369),IF(369&lt;=$B$6+$B$7,SMALL($Z$2:$Z$593,369-$B$6),""))</f>
        <v/>
      </c>
      <c r="Y385" t="str">
        <f>IF(Assessment!$G385="Critical",ROW(Assessment!$G385),"")</f>
        <v/>
      </c>
      <c r="Z385" t="str">
        <f>IF(Assessment!$G385="High",ROW(Assessment!$G385),"")</f>
        <v/>
      </c>
    </row>
    <row r="386" spans="1:26" x14ac:dyDescent="0.25">
      <c r="A386" s="10" t="str">
        <f>IF($X386="","",370)</f>
        <v/>
      </c>
      <c r="B386" s="10" t="str">
        <f>IF($X386="","",INDEX(Assessment!$A:$A,$X386))</f>
        <v/>
      </c>
      <c r="C386" s="10" t="str">
        <f>IF($X386="","",INDEX(Assessment!$B:$B,$X386))</f>
        <v/>
      </c>
      <c r="D386" s="10" t="str">
        <f>IF($X386="","",INDEX(Assessment!$C:$C,$X386))</f>
        <v/>
      </c>
      <c r="E386" s="10" t="str">
        <f>IF($X386="","",INDEX(Assessment!$F:$F,$X386))</f>
        <v/>
      </c>
      <c r="F386" s="10" t="str">
        <f>IF($X386="","",INDEX(Assessment!$G:$G,$X386))</f>
        <v/>
      </c>
      <c r="G386" s="10" t="str">
        <f>IF($X386="","",INDEX(Assessment!$J:$J,$X386))</f>
        <v/>
      </c>
      <c r="H386" s="10" t="str">
        <f>IF($X386="","",INDEX(Assessment!$L:$L,$X386))</f>
        <v/>
      </c>
      <c r="I386" s="10" t="str">
        <f>IF($X386="","",INDEX(Assessment!$N:$N,$X386))</f>
        <v/>
      </c>
      <c r="X386" t="str">
        <f>IF(370&lt;=$B$6,SMALL($Y$2:$Y$593,370),IF(370&lt;=$B$6+$B$7,SMALL($Z$2:$Z$593,370-$B$6),""))</f>
        <v/>
      </c>
      <c r="Y386" t="str">
        <f>IF(Assessment!$G386="Critical",ROW(Assessment!$G386),"")</f>
        <v/>
      </c>
      <c r="Z386" t="str">
        <f>IF(Assessment!$G386="High",ROW(Assessment!$G386),"")</f>
        <v/>
      </c>
    </row>
    <row r="387" spans="1:26" x14ac:dyDescent="0.25">
      <c r="A387" s="10" t="str">
        <f>IF($X387="","",371)</f>
        <v/>
      </c>
      <c r="B387" s="10" t="str">
        <f>IF($X387="","",INDEX(Assessment!$A:$A,$X387))</f>
        <v/>
      </c>
      <c r="C387" s="10" t="str">
        <f>IF($X387="","",INDEX(Assessment!$B:$B,$X387))</f>
        <v/>
      </c>
      <c r="D387" s="10" t="str">
        <f>IF($X387="","",INDEX(Assessment!$C:$C,$X387))</f>
        <v/>
      </c>
      <c r="E387" s="10" t="str">
        <f>IF($X387="","",INDEX(Assessment!$F:$F,$X387))</f>
        <v/>
      </c>
      <c r="F387" s="10" t="str">
        <f>IF($X387="","",INDEX(Assessment!$G:$G,$X387))</f>
        <v/>
      </c>
      <c r="G387" s="10" t="str">
        <f>IF($X387="","",INDEX(Assessment!$J:$J,$X387))</f>
        <v/>
      </c>
      <c r="H387" s="10" t="str">
        <f>IF($X387="","",INDEX(Assessment!$L:$L,$X387))</f>
        <v/>
      </c>
      <c r="I387" s="10" t="str">
        <f>IF($X387="","",INDEX(Assessment!$N:$N,$X387))</f>
        <v/>
      </c>
      <c r="X387" t="str">
        <f>IF(371&lt;=$B$6,SMALL($Y$2:$Y$593,371),IF(371&lt;=$B$6+$B$7,SMALL($Z$2:$Z$593,371-$B$6),""))</f>
        <v/>
      </c>
      <c r="Y387" t="str">
        <f>IF(Assessment!$G387="Critical",ROW(Assessment!$G387),"")</f>
        <v/>
      </c>
      <c r="Z387" t="str">
        <f>IF(Assessment!$G387="High",ROW(Assessment!$G387),"")</f>
        <v/>
      </c>
    </row>
    <row r="388" spans="1:26" x14ac:dyDescent="0.25">
      <c r="A388" s="10" t="str">
        <f>IF($X388="","",372)</f>
        <v/>
      </c>
      <c r="B388" s="10" t="str">
        <f>IF($X388="","",INDEX(Assessment!$A:$A,$X388))</f>
        <v/>
      </c>
      <c r="C388" s="10" t="str">
        <f>IF($X388="","",INDEX(Assessment!$B:$B,$X388))</f>
        <v/>
      </c>
      <c r="D388" s="10" t="str">
        <f>IF($X388="","",INDEX(Assessment!$C:$C,$X388))</f>
        <v/>
      </c>
      <c r="E388" s="10" t="str">
        <f>IF($X388="","",INDEX(Assessment!$F:$F,$X388))</f>
        <v/>
      </c>
      <c r="F388" s="10" t="str">
        <f>IF($X388="","",INDEX(Assessment!$G:$G,$X388))</f>
        <v/>
      </c>
      <c r="G388" s="10" t="str">
        <f>IF($X388="","",INDEX(Assessment!$J:$J,$X388))</f>
        <v/>
      </c>
      <c r="H388" s="10" t="str">
        <f>IF($X388="","",INDEX(Assessment!$L:$L,$X388))</f>
        <v/>
      </c>
      <c r="I388" s="10" t="str">
        <f>IF($X388="","",INDEX(Assessment!$N:$N,$X388))</f>
        <v/>
      </c>
      <c r="X388" t="str">
        <f>IF(372&lt;=$B$6,SMALL($Y$2:$Y$593,372),IF(372&lt;=$B$6+$B$7,SMALL($Z$2:$Z$593,372-$B$6),""))</f>
        <v/>
      </c>
      <c r="Y388" t="str">
        <f>IF(Assessment!$G388="Critical",ROW(Assessment!$G388),"")</f>
        <v/>
      </c>
      <c r="Z388" t="str">
        <f>IF(Assessment!$G388="High",ROW(Assessment!$G388),"")</f>
        <v/>
      </c>
    </row>
    <row r="389" spans="1:26" x14ac:dyDescent="0.25">
      <c r="A389" s="10" t="str">
        <f>IF($X389="","",373)</f>
        <v/>
      </c>
      <c r="B389" s="10" t="str">
        <f>IF($X389="","",INDEX(Assessment!$A:$A,$X389))</f>
        <v/>
      </c>
      <c r="C389" s="10" t="str">
        <f>IF($X389="","",INDEX(Assessment!$B:$B,$X389))</f>
        <v/>
      </c>
      <c r="D389" s="10" t="str">
        <f>IF($X389="","",INDEX(Assessment!$C:$C,$X389))</f>
        <v/>
      </c>
      <c r="E389" s="10" t="str">
        <f>IF($X389="","",INDEX(Assessment!$F:$F,$X389))</f>
        <v/>
      </c>
      <c r="F389" s="10" t="str">
        <f>IF($X389="","",INDEX(Assessment!$G:$G,$X389))</f>
        <v/>
      </c>
      <c r="G389" s="10" t="str">
        <f>IF($X389="","",INDEX(Assessment!$J:$J,$X389))</f>
        <v/>
      </c>
      <c r="H389" s="10" t="str">
        <f>IF($X389="","",INDEX(Assessment!$L:$L,$X389))</f>
        <v/>
      </c>
      <c r="I389" s="10" t="str">
        <f>IF($X389="","",INDEX(Assessment!$N:$N,$X389))</f>
        <v/>
      </c>
      <c r="X389" t="str">
        <f>IF(373&lt;=$B$6,SMALL($Y$2:$Y$593,373),IF(373&lt;=$B$6+$B$7,SMALL($Z$2:$Z$593,373-$B$6),""))</f>
        <v/>
      </c>
      <c r="Y389" t="str">
        <f>IF(Assessment!$G389="Critical",ROW(Assessment!$G389),"")</f>
        <v/>
      </c>
      <c r="Z389" t="str">
        <f>IF(Assessment!$G389="High",ROW(Assessment!$G389),"")</f>
        <v/>
      </c>
    </row>
    <row r="390" spans="1:26" x14ac:dyDescent="0.25">
      <c r="A390" s="10" t="str">
        <f>IF($X390="","",374)</f>
        <v/>
      </c>
      <c r="B390" s="10" t="str">
        <f>IF($X390="","",INDEX(Assessment!$A:$A,$X390))</f>
        <v/>
      </c>
      <c r="C390" s="10" t="str">
        <f>IF($X390="","",INDEX(Assessment!$B:$B,$X390))</f>
        <v/>
      </c>
      <c r="D390" s="10" t="str">
        <f>IF($X390="","",INDEX(Assessment!$C:$C,$X390))</f>
        <v/>
      </c>
      <c r="E390" s="10" t="str">
        <f>IF($X390="","",INDEX(Assessment!$F:$F,$X390))</f>
        <v/>
      </c>
      <c r="F390" s="10" t="str">
        <f>IF($X390="","",INDEX(Assessment!$G:$G,$X390))</f>
        <v/>
      </c>
      <c r="G390" s="10" t="str">
        <f>IF($X390="","",INDEX(Assessment!$J:$J,$X390))</f>
        <v/>
      </c>
      <c r="H390" s="10" t="str">
        <f>IF($X390="","",INDEX(Assessment!$L:$L,$X390))</f>
        <v/>
      </c>
      <c r="I390" s="10" t="str">
        <f>IF($X390="","",INDEX(Assessment!$N:$N,$X390))</f>
        <v/>
      </c>
      <c r="X390" t="str">
        <f>IF(374&lt;=$B$6,SMALL($Y$2:$Y$593,374),IF(374&lt;=$B$6+$B$7,SMALL($Z$2:$Z$593,374-$B$6),""))</f>
        <v/>
      </c>
      <c r="Y390" t="str">
        <f>IF(Assessment!$G390="Critical",ROW(Assessment!$G390),"")</f>
        <v/>
      </c>
      <c r="Z390" t="str">
        <f>IF(Assessment!$G390="High",ROW(Assessment!$G390),"")</f>
        <v/>
      </c>
    </row>
    <row r="391" spans="1:26" x14ac:dyDescent="0.25">
      <c r="A391" s="10" t="str">
        <f>IF($X391="","",375)</f>
        <v/>
      </c>
      <c r="B391" s="10" t="str">
        <f>IF($X391="","",INDEX(Assessment!$A:$A,$X391))</f>
        <v/>
      </c>
      <c r="C391" s="10" t="str">
        <f>IF($X391="","",INDEX(Assessment!$B:$B,$X391))</f>
        <v/>
      </c>
      <c r="D391" s="10" t="str">
        <f>IF($X391="","",INDEX(Assessment!$C:$C,$X391))</f>
        <v/>
      </c>
      <c r="E391" s="10" t="str">
        <f>IF($X391="","",INDEX(Assessment!$F:$F,$X391))</f>
        <v/>
      </c>
      <c r="F391" s="10" t="str">
        <f>IF($X391="","",INDEX(Assessment!$G:$G,$X391))</f>
        <v/>
      </c>
      <c r="G391" s="10" t="str">
        <f>IF($X391="","",INDEX(Assessment!$J:$J,$X391))</f>
        <v/>
      </c>
      <c r="H391" s="10" t="str">
        <f>IF($X391="","",INDEX(Assessment!$L:$L,$X391))</f>
        <v/>
      </c>
      <c r="I391" s="10" t="str">
        <f>IF($X391="","",INDEX(Assessment!$N:$N,$X391))</f>
        <v/>
      </c>
      <c r="X391" t="str">
        <f>IF(375&lt;=$B$6,SMALL($Y$2:$Y$593,375),IF(375&lt;=$B$6+$B$7,SMALL($Z$2:$Z$593,375-$B$6),""))</f>
        <v/>
      </c>
      <c r="Y391" t="str">
        <f>IF(Assessment!$G391="Critical",ROW(Assessment!$G391),"")</f>
        <v/>
      </c>
      <c r="Z391" t="str">
        <f>IF(Assessment!$G391="High",ROW(Assessment!$G391),"")</f>
        <v/>
      </c>
    </row>
    <row r="392" spans="1:26" x14ac:dyDescent="0.25">
      <c r="A392" s="10" t="str">
        <f>IF($X392="","",376)</f>
        <v/>
      </c>
      <c r="B392" s="10" t="str">
        <f>IF($X392="","",INDEX(Assessment!$A:$A,$X392))</f>
        <v/>
      </c>
      <c r="C392" s="10" t="str">
        <f>IF($X392="","",INDEX(Assessment!$B:$B,$X392))</f>
        <v/>
      </c>
      <c r="D392" s="10" t="str">
        <f>IF($X392="","",INDEX(Assessment!$C:$C,$X392))</f>
        <v/>
      </c>
      <c r="E392" s="10" t="str">
        <f>IF($X392="","",INDEX(Assessment!$F:$F,$X392))</f>
        <v/>
      </c>
      <c r="F392" s="10" t="str">
        <f>IF($X392="","",INDEX(Assessment!$G:$G,$X392))</f>
        <v/>
      </c>
      <c r="G392" s="10" t="str">
        <f>IF($X392="","",INDEX(Assessment!$J:$J,$X392))</f>
        <v/>
      </c>
      <c r="H392" s="10" t="str">
        <f>IF($X392="","",INDEX(Assessment!$L:$L,$X392))</f>
        <v/>
      </c>
      <c r="I392" s="10" t="str">
        <f>IF($X392="","",INDEX(Assessment!$N:$N,$X392))</f>
        <v/>
      </c>
      <c r="X392" t="str">
        <f>IF(376&lt;=$B$6,SMALL($Y$2:$Y$593,376),IF(376&lt;=$B$6+$B$7,SMALL($Z$2:$Z$593,376-$B$6),""))</f>
        <v/>
      </c>
      <c r="Y392" t="str">
        <f>IF(Assessment!$G392="Critical",ROW(Assessment!$G392),"")</f>
        <v/>
      </c>
      <c r="Z392" t="str">
        <f>IF(Assessment!$G392="High",ROW(Assessment!$G392),"")</f>
        <v/>
      </c>
    </row>
    <row r="393" spans="1:26" x14ac:dyDescent="0.25">
      <c r="A393" s="10" t="str">
        <f>IF($X393="","",377)</f>
        <v/>
      </c>
      <c r="B393" s="10" t="str">
        <f>IF($X393="","",INDEX(Assessment!$A:$A,$X393))</f>
        <v/>
      </c>
      <c r="C393" s="10" t="str">
        <f>IF($X393="","",INDEX(Assessment!$B:$B,$X393))</f>
        <v/>
      </c>
      <c r="D393" s="10" t="str">
        <f>IF($X393="","",INDEX(Assessment!$C:$C,$X393))</f>
        <v/>
      </c>
      <c r="E393" s="10" t="str">
        <f>IF($X393="","",INDEX(Assessment!$F:$F,$X393))</f>
        <v/>
      </c>
      <c r="F393" s="10" t="str">
        <f>IF($X393="","",INDEX(Assessment!$G:$G,$X393))</f>
        <v/>
      </c>
      <c r="G393" s="10" t="str">
        <f>IF($X393="","",INDEX(Assessment!$J:$J,$X393))</f>
        <v/>
      </c>
      <c r="H393" s="10" t="str">
        <f>IF($X393="","",INDEX(Assessment!$L:$L,$X393))</f>
        <v/>
      </c>
      <c r="I393" s="10" t="str">
        <f>IF($X393="","",INDEX(Assessment!$N:$N,$X393))</f>
        <v/>
      </c>
      <c r="X393" t="str">
        <f>IF(377&lt;=$B$6,SMALL($Y$2:$Y$593,377),IF(377&lt;=$B$6+$B$7,SMALL($Z$2:$Z$593,377-$B$6),""))</f>
        <v/>
      </c>
      <c r="Y393" t="str">
        <f>IF(Assessment!$G393="Critical",ROW(Assessment!$G393),"")</f>
        <v/>
      </c>
      <c r="Z393" t="str">
        <f>IF(Assessment!$G393="High",ROW(Assessment!$G393),"")</f>
        <v/>
      </c>
    </row>
    <row r="394" spans="1:26" x14ac:dyDescent="0.25">
      <c r="A394" s="10" t="str">
        <f>IF($X394="","",378)</f>
        <v/>
      </c>
      <c r="B394" s="10" t="str">
        <f>IF($X394="","",INDEX(Assessment!$A:$A,$X394))</f>
        <v/>
      </c>
      <c r="C394" s="10" t="str">
        <f>IF($X394="","",INDEX(Assessment!$B:$B,$X394))</f>
        <v/>
      </c>
      <c r="D394" s="10" t="str">
        <f>IF($X394="","",INDEX(Assessment!$C:$C,$X394))</f>
        <v/>
      </c>
      <c r="E394" s="10" t="str">
        <f>IF($X394="","",INDEX(Assessment!$F:$F,$X394))</f>
        <v/>
      </c>
      <c r="F394" s="10" t="str">
        <f>IF($X394="","",INDEX(Assessment!$G:$G,$X394))</f>
        <v/>
      </c>
      <c r="G394" s="10" t="str">
        <f>IF($X394="","",INDEX(Assessment!$J:$J,$X394))</f>
        <v/>
      </c>
      <c r="H394" s="10" t="str">
        <f>IF($X394="","",INDEX(Assessment!$L:$L,$X394))</f>
        <v/>
      </c>
      <c r="I394" s="10" t="str">
        <f>IF($X394="","",INDEX(Assessment!$N:$N,$X394))</f>
        <v/>
      </c>
      <c r="X394" t="str">
        <f>IF(378&lt;=$B$6,SMALL($Y$2:$Y$593,378),IF(378&lt;=$B$6+$B$7,SMALL($Z$2:$Z$593,378-$B$6),""))</f>
        <v/>
      </c>
      <c r="Y394" t="str">
        <f>IF(Assessment!$G394="Critical",ROW(Assessment!$G394),"")</f>
        <v/>
      </c>
      <c r="Z394" t="str">
        <f>IF(Assessment!$G394="High",ROW(Assessment!$G394),"")</f>
        <v/>
      </c>
    </row>
    <row r="395" spans="1:26" x14ac:dyDescent="0.25">
      <c r="A395" s="10" t="str">
        <f>IF($X395="","",379)</f>
        <v/>
      </c>
      <c r="B395" s="10" t="str">
        <f>IF($X395="","",INDEX(Assessment!$A:$A,$X395))</f>
        <v/>
      </c>
      <c r="C395" s="10" t="str">
        <f>IF($X395="","",INDEX(Assessment!$B:$B,$X395))</f>
        <v/>
      </c>
      <c r="D395" s="10" t="str">
        <f>IF($X395="","",INDEX(Assessment!$C:$C,$X395))</f>
        <v/>
      </c>
      <c r="E395" s="10" t="str">
        <f>IF($X395="","",INDEX(Assessment!$F:$F,$X395))</f>
        <v/>
      </c>
      <c r="F395" s="10" t="str">
        <f>IF($X395="","",INDEX(Assessment!$G:$G,$X395))</f>
        <v/>
      </c>
      <c r="G395" s="10" t="str">
        <f>IF($X395="","",INDEX(Assessment!$J:$J,$X395))</f>
        <v/>
      </c>
      <c r="H395" s="10" t="str">
        <f>IF($X395="","",INDEX(Assessment!$L:$L,$X395))</f>
        <v/>
      </c>
      <c r="I395" s="10" t="str">
        <f>IF($X395="","",INDEX(Assessment!$N:$N,$X395))</f>
        <v/>
      </c>
      <c r="X395" t="str">
        <f>IF(379&lt;=$B$6,SMALL($Y$2:$Y$593,379),IF(379&lt;=$B$6+$B$7,SMALL($Z$2:$Z$593,379-$B$6),""))</f>
        <v/>
      </c>
      <c r="Y395" t="str">
        <f>IF(Assessment!$G395="Critical",ROW(Assessment!$G395),"")</f>
        <v/>
      </c>
      <c r="Z395">
        <f>IF(Assessment!$G395="High",ROW(Assessment!$G395),"")</f>
        <v>395</v>
      </c>
    </row>
    <row r="396" spans="1:26" x14ac:dyDescent="0.25">
      <c r="A396" s="10" t="str">
        <f>IF($X396="","",380)</f>
        <v/>
      </c>
      <c r="B396" s="10" t="str">
        <f>IF($X396="","",INDEX(Assessment!$A:$A,$X396))</f>
        <v/>
      </c>
      <c r="C396" s="10" t="str">
        <f>IF($X396="","",INDEX(Assessment!$B:$B,$X396))</f>
        <v/>
      </c>
      <c r="D396" s="10" t="str">
        <f>IF($X396="","",INDEX(Assessment!$C:$C,$X396))</f>
        <v/>
      </c>
      <c r="E396" s="10" t="str">
        <f>IF($X396="","",INDEX(Assessment!$F:$F,$X396))</f>
        <v/>
      </c>
      <c r="F396" s="10" t="str">
        <f>IF($X396="","",INDEX(Assessment!$G:$G,$X396))</f>
        <v/>
      </c>
      <c r="G396" s="10" t="str">
        <f>IF($X396="","",INDEX(Assessment!$J:$J,$X396))</f>
        <v/>
      </c>
      <c r="H396" s="10" t="str">
        <f>IF($X396="","",INDEX(Assessment!$L:$L,$X396))</f>
        <v/>
      </c>
      <c r="I396" s="10" t="str">
        <f>IF($X396="","",INDEX(Assessment!$N:$N,$X396))</f>
        <v/>
      </c>
      <c r="X396" t="str">
        <f>IF(380&lt;=$B$6,SMALL($Y$2:$Y$593,380),IF(380&lt;=$B$6+$B$7,SMALL($Z$2:$Z$593,380-$B$6),""))</f>
        <v/>
      </c>
      <c r="Y396" t="str">
        <f>IF(Assessment!$G396="Critical",ROW(Assessment!$G396),"")</f>
        <v/>
      </c>
      <c r="Z396" t="str">
        <f>IF(Assessment!$G396="High",ROW(Assessment!$G396),"")</f>
        <v/>
      </c>
    </row>
    <row r="397" spans="1:26" x14ac:dyDescent="0.25">
      <c r="A397" s="10" t="str">
        <f>IF($X397="","",381)</f>
        <v/>
      </c>
      <c r="B397" s="10" t="str">
        <f>IF($X397="","",INDEX(Assessment!$A:$A,$X397))</f>
        <v/>
      </c>
      <c r="C397" s="10" t="str">
        <f>IF($X397="","",INDEX(Assessment!$B:$B,$X397))</f>
        <v/>
      </c>
      <c r="D397" s="10" t="str">
        <f>IF($X397="","",INDEX(Assessment!$C:$C,$X397))</f>
        <v/>
      </c>
      <c r="E397" s="10" t="str">
        <f>IF($X397="","",INDEX(Assessment!$F:$F,$X397))</f>
        <v/>
      </c>
      <c r="F397" s="10" t="str">
        <f>IF($X397="","",INDEX(Assessment!$G:$G,$X397))</f>
        <v/>
      </c>
      <c r="G397" s="10" t="str">
        <f>IF($X397="","",INDEX(Assessment!$J:$J,$X397))</f>
        <v/>
      </c>
      <c r="H397" s="10" t="str">
        <f>IF($X397="","",INDEX(Assessment!$L:$L,$X397))</f>
        <v/>
      </c>
      <c r="I397" s="10" t="str">
        <f>IF($X397="","",INDEX(Assessment!$N:$N,$X397))</f>
        <v/>
      </c>
      <c r="X397" t="str">
        <f>IF(381&lt;=$B$6,SMALL($Y$2:$Y$593,381),IF(381&lt;=$B$6+$B$7,SMALL($Z$2:$Z$593,381-$B$6),""))</f>
        <v/>
      </c>
      <c r="Y397" t="str">
        <f>IF(Assessment!$G397="Critical",ROW(Assessment!$G397),"")</f>
        <v/>
      </c>
      <c r="Z397" t="str">
        <f>IF(Assessment!$G397="High",ROW(Assessment!$G397),"")</f>
        <v/>
      </c>
    </row>
    <row r="398" spans="1:26" x14ac:dyDescent="0.25">
      <c r="A398" s="10" t="str">
        <f>IF($X398="","",382)</f>
        <v/>
      </c>
      <c r="B398" s="10" t="str">
        <f>IF($X398="","",INDEX(Assessment!$A:$A,$X398))</f>
        <v/>
      </c>
      <c r="C398" s="10" t="str">
        <f>IF($X398="","",INDEX(Assessment!$B:$B,$X398))</f>
        <v/>
      </c>
      <c r="D398" s="10" t="str">
        <f>IF($X398="","",INDEX(Assessment!$C:$C,$X398))</f>
        <v/>
      </c>
      <c r="E398" s="10" t="str">
        <f>IF($X398="","",INDEX(Assessment!$F:$F,$X398))</f>
        <v/>
      </c>
      <c r="F398" s="10" t="str">
        <f>IF($X398="","",INDEX(Assessment!$G:$G,$X398))</f>
        <v/>
      </c>
      <c r="G398" s="10" t="str">
        <f>IF($X398="","",INDEX(Assessment!$J:$J,$X398))</f>
        <v/>
      </c>
      <c r="H398" s="10" t="str">
        <f>IF($X398="","",INDEX(Assessment!$L:$L,$X398))</f>
        <v/>
      </c>
      <c r="I398" s="10" t="str">
        <f>IF($X398="","",INDEX(Assessment!$N:$N,$X398))</f>
        <v/>
      </c>
      <c r="X398" t="str">
        <f>IF(382&lt;=$B$6,SMALL($Y$2:$Y$593,382),IF(382&lt;=$B$6+$B$7,SMALL($Z$2:$Z$593,382-$B$6),""))</f>
        <v/>
      </c>
      <c r="Y398" t="str">
        <f>IF(Assessment!$G398="Critical",ROW(Assessment!$G398),"")</f>
        <v/>
      </c>
      <c r="Z398" t="str">
        <f>IF(Assessment!$G398="High",ROW(Assessment!$G398),"")</f>
        <v/>
      </c>
    </row>
    <row r="399" spans="1:26" x14ac:dyDescent="0.25">
      <c r="A399" s="10" t="str">
        <f>IF($X399="","",383)</f>
        <v/>
      </c>
      <c r="B399" s="10" t="str">
        <f>IF($X399="","",INDEX(Assessment!$A:$A,$X399))</f>
        <v/>
      </c>
      <c r="C399" s="10" t="str">
        <f>IF($X399="","",INDEX(Assessment!$B:$B,$X399))</f>
        <v/>
      </c>
      <c r="D399" s="10" t="str">
        <f>IF($X399="","",INDEX(Assessment!$C:$C,$X399))</f>
        <v/>
      </c>
      <c r="E399" s="10" t="str">
        <f>IF($X399="","",INDEX(Assessment!$F:$F,$X399))</f>
        <v/>
      </c>
      <c r="F399" s="10" t="str">
        <f>IF($X399="","",INDEX(Assessment!$G:$G,$X399))</f>
        <v/>
      </c>
      <c r="G399" s="10" t="str">
        <f>IF($X399="","",INDEX(Assessment!$J:$J,$X399))</f>
        <v/>
      </c>
      <c r="H399" s="10" t="str">
        <f>IF($X399="","",INDEX(Assessment!$L:$L,$X399))</f>
        <v/>
      </c>
      <c r="I399" s="10" t="str">
        <f>IF($X399="","",INDEX(Assessment!$N:$N,$X399))</f>
        <v/>
      </c>
      <c r="X399" t="str">
        <f>IF(383&lt;=$B$6,SMALL($Y$2:$Y$593,383),IF(383&lt;=$B$6+$B$7,SMALL($Z$2:$Z$593,383-$B$6),""))</f>
        <v/>
      </c>
      <c r="Y399" t="str">
        <f>IF(Assessment!$G399="Critical",ROW(Assessment!$G399),"")</f>
        <v/>
      </c>
      <c r="Z399" t="str">
        <f>IF(Assessment!$G399="High",ROW(Assessment!$G399),"")</f>
        <v/>
      </c>
    </row>
    <row r="400" spans="1:26" x14ac:dyDescent="0.25">
      <c r="A400" s="10" t="str">
        <f>IF($X400="","",384)</f>
        <v/>
      </c>
      <c r="B400" s="10" t="str">
        <f>IF($X400="","",INDEX(Assessment!$A:$A,$X400))</f>
        <v/>
      </c>
      <c r="C400" s="10" t="str">
        <f>IF($X400="","",INDEX(Assessment!$B:$B,$X400))</f>
        <v/>
      </c>
      <c r="D400" s="10" t="str">
        <f>IF($X400="","",INDEX(Assessment!$C:$C,$X400))</f>
        <v/>
      </c>
      <c r="E400" s="10" t="str">
        <f>IF($X400="","",INDEX(Assessment!$F:$F,$X400))</f>
        <v/>
      </c>
      <c r="F400" s="10" t="str">
        <f>IF($X400="","",INDEX(Assessment!$G:$G,$X400))</f>
        <v/>
      </c>
      <c r="G400" s="10" t="str">
        <f>IF($X400="","",INDEX(Assessment!$J:$J,$X400))</f>
        <v/>
      </c>
      <c r="H400" s="10" t="str">
        <f>IF($X400="","",INDEX(Assessment!$L:$L,$X400))</f>
        <v/>
      </c>
      <c r="I400" s="10" t="str">
        <f>IF($X400="","",INDEX(Assessment!$N:$N,$X400))</f>
        <v/>
      </c>
      <c r="X400" t="str">
        <f>IF(384&lt;=$B$6,SMALL($Y$2:$Y$593,384),IF(384&lt;=$B$6+$B$7,SMALL($Z$2:$Z$593,384-$B$6),""))</f>
        <v/>
      </c>
      <c r="Y400" t="str">
        <f>IF(Assessment!$G400="Critical",ROW(Assessment!$G400),"")</f>
        <v/>
      </c>
      <c r="Z400" t="str">
        <f>IF(Assessment!$G400="High",ROW(Assessment!$G400),"")</f>
        <v/>
      </c>
    </row>
    <row r="401" spans="1:26" x14ac:dyDescent="0.25">
      <c r="A401" s="10" t="str">
        <f>IF($X401="","",385)</f>
        <v/>
      </c>
      <c r="B401" s="10" t="str">
        <f>IF($X401="","",INDEX(Assessment!$A:$A,$X401))</f>
        <v/>
      </c>
      <c r="C401" s="10" t="str">
        <f>IF($X401="","",INDEX(Assessment!$B:$B,$X401))</f>
        <v/>
      </c>
      <c r="D401" s="10" t="str">
        <f>IF($X401="","",INDEX(Assessment!$C:$C,$X401))</f>
        <v/>
      </c>
      <c r="E401" s="10" t="str">
        <f>IF($X401="","",INDEX(Assessment!$F:$F,$X401))</f>
        <v/>
      </c>
      <c r="F401" s="10" t="str">
        <f>IF($X401="","",INDEX(Assessment!$G:$G,$X401))</f>
        <v/>
      </c>
      <c r="G401" s="10" t="str">
        <f>IF($X401="","",INDEX(Assessment!$J:$J,$X401))</f>
        <v/>
      </c>
      <c r="H401" s="10" t="str">
        <f>IF($X401="","",INDEX(Assessment!$L:$L,$X401))</f>
        <v/>
      </c>
      <c r="I401" s="10" t="str">
        <f>IF($X401="","",INDEX(Assessment!$N:$N,$X401))</f>
        <v/>
      </c>
      <c r="X401" t="str">
        <f>IF(385&lt;=$B$6,SMALL($Y$2:$Y$593,385),IF(385&lt;=$B$6+$B$7,SMALL($Z$2:$Z$593,385-$B$6),""))</f>
        <v/>
      </c>
      <c r="Y401" t="str">
        <f>IF(Assessment!$G401="Critical",ROW(Assessment!$G401),"")</f>
        <v/>
      </c>
      <c r="Z401" t="str">
        <f>IF(Assessment!$G401="High",ROW(Assessment!$G401),"")</f>
        <v/>
      </c>
    </row>
    <row r="402" spans="1:26" x14ac:dyDescent="0.25">
      <c r="A402" s="10" t="str">
        <f>IF($X402="","",386)</f>
        <v/>
      </c>
      <c r="B402" s="10" t="str">
        <f>IF($X402="","",INDEX(Assessment!$A:$A,$X402))</f>
        <v/>
      </c>
      <c r="C402" s="10" t="str">
        <f>IF($X402="","",INDEX(Assessment!$B:$B,$X402))</f>
        <v/>
      </c>
      <c r="D402" s="10" t="str">
        <f>IF($X402="","",INDEX(Assessment!$C:$C,$X402))</f>
        <v/>
      </c>
      <c r="E402" s="10" t="str">
        <f>IF($X402="","",INDEX(Assessment!$F:$F,$X402))</f>
        <v/>
      </c>
      <c r="F402" s="10" t="str">
        <f>IF($X402="","",INDEX(Assessment!$G:$G,$X402))</f>
        <v/>
      </c>
      <c r="G402" s="10" t="str">
        <f>IF($X402="","",INDEX(Assessment!$J:$J,$X402))</f>
        <v/>
      </c>
      <c r="H402" s="10" t="str">
        <f>IF($X402="","",INDEX(Assessment!$L:$L,$X402))</f>
        <v/>
      </c>
      <c r="I402" s="10" t="str">
        <f>IF($X402="","",INDEX(Assessment!$N:$N,$X402))</f>
        <v/>
      </c>
      <c r="X402" t="str">
        <f>IF(386&lt;=$B$6,SMALL($Y$2:$Y$593,386),IF(386&lt;=$B$6+$B$7,SMALL($Z$2:$Z$593,386-$B$6),""))</f>
        <v/>
      </c>
      <c r="Y402" t="str">
        <f>IF(Assessment!$G402="Critical",ROW(Assessment!$G402),"")</f>
        <v/>
      </c>
      <c r="Z402" t="str">
        <f>IF(Assessment!$G402="High",ROW(Assessment!$G402),"")</f>
        <v/>
      </c>
    </row>
    <row r="403" spans="1:26" x14ac:dyDescent="0.25">
      <c r="A403" s="10" t="str">
        <f>IF($X403="","",387)</f>
        <v/>
      </c>
      <c r="B403" s="10" t="str">
        <f>IF($X403="","",INDEX(Assessment!$A:$A,$X403))</f>
        <v/>
      </c>
      <c r="C403" s="10" t="str">
        <f>IF($X403="","",INDEX(Assessment!$B:$B,$X403))</f>
        <v/>
      </c>
      <c r="D403" s="10" t="str">
        <f>IF($X403="","",INDEX(Assessment!$C:$C,$X403))</f>
        <v/>
      </c>
      <c r="E403" s="10" t="str">
        <f>IF($X403="","",INDEX(Assessment!$F:$F,$X403))</f>
        <v/>
      </c>
      <c r="F403" s="10" t="str">
        <f>IF($X403="","",INDEX(Assessment!$G:$G,$X403))</f>
        <v/>
      </c>
      <c r="G403" s="10" t="str">
        <f>IF($X403="","",INDEX(Assessment!$J:$J,$X403))</f>
        <v/>
      </c>
      <c r="H403" s="10" t="str">
        <f>IF($X403="","",INDEX(Assessment!$L:$L,$X403))</f>
        <v/>
      </c>
      <c r="I403" s="10" t="str">
        <f>IF($X403="","",INDEX(Assessment!$N:$N,$X403))</f>
        <v/>
      </c>
      <c r="X403" t="str">
        <f>IF(387&lt;=$B$6,SMALL($Y$2:$Y$593,387),IF(387&lt;=$B$6+$B$7,SMALL($Z$2:$Z$593,387-$B$6),""))</f>
        <v/>
      </c>
      <c r="Y403" t="str">
        <f>IF(Assessment!$G403="Critical",ROW(Assessment!$G403),"")</f>
        <v/>
      </c>
      <c r="Z403" t="str">
        <f>IF(Assessment!$G403="High",ROW(Assessment!$G403),"")</f>
        <v/>
      </c>
    </row>
    <row r="404" spans="1:26" x14ac:dyDescent="0.25">
      <c r="A404" s="10" t="str">
        <f>IF($X404="","",388)</f>
        <v/>
      </c>
      <c r="B404" s="10" t="str">
        <f>IF($X404="","",INDEX(Assessment!$A:$A,$X404))</f>
        <v/>
      </c>
      <c r="C404" s="10" t="str">
        <f>IF($X404="","",INDEX(Assessment!$B:$B,$X404))</f>
        <v/>
      </c>
      <c r="D404" s="10" t="str">
        <f>IF($X404="","",INDEX(Assessment!$C:$C,$X404))</f>
        <v/>
      </c>
      <c r="E404" s="10" t="str">
        <f>IF($X404="","",INDEX(Assessment!$F:$F,$X404))</f>
        <v/>
      </c>
      <c r="F404" s="10" t="str">
        <f>IF($X404="","",INDEX(Assessment!$G:$G,$X404))</f>
        <v/>
      </c>
      <c r="G404" s="10" t="str">
        <f>IF($X404="","",INDEX(Assessment!$J:$J,$X404))</f>
        <v/>
      </c>
      <c r="H404" s="10" t="str">
        <f>IF($X404="","",INDEX(Assessment!$L:$L,$X404))</f>
        <v/>
      </c>
      <c r="I404" s="10" t="str">
        <f>IF($X404="","",INDEX(Assessment!$N:$N,$X404))</f>
        <v/>
      </c>
      <c r="X404" t="str">
        <f>IF(388&lt;=$B$6,SMALL($Y$2:$Y$593,388),IF(388&lt;=$B$6+$B$7,SMALL($Z$2:$Z$593,388-$B$6),""))</f>
        <v/>
      </c>
      <c r="Y404" t="str">
        <f>IF(Assessment!$G404="Critical",ROW(Assessment!$G404),"")</f>
        <v/>
      </c>
      <c r="Z404" t="str">
        <f>IF(Assessment!$G404="High",ROW(Assessment!$G404),"")</f>
        <v/>
      </c>
    </row>
    <row r="405" spans="1:26" x14ac:dyDescent="0.25">
      <c r="A405" s="10" t="str">
        <f>IF($X405="","",389)</f>
        <v/>
      </c>
      <c r="B405" s="10" t="str">
        <f>IF($X405="","",INDEX(Assessment!$A:$A,$X405))</f>
        <v/>
      </c>
      <c r="C405" s="10" t="str">
        <f>IF($X405="","",INDEX(Assessment!$B:$B,$X405))</f>
        <v/>
      </c>
      <c r="D405" s="10" t="str">
        <f>IF($X405="","",INDEX(Assessment!$C:$C,$X405))</f>
        <v/>
      </c>
      <c r="E405" s="10" t="str">
        <f>IF($X405="","",INDEX(Assessment!$F:$F,$X405))</f>
        <v/>
      </c>
      <c r="F405" s="10" t="str">
        <f>IF($X405="","",INDEX(Assessment!$G:$G,$X405))</f>
        <v/>
      </c>
      <c r="G405" s="10" t="str">
        <f>IF($X405="","",INDEX(Assessment!$J:$J,$X405))</f>
        <v/>
      </c>
      <c r="H405" s="10" t="str">
        <f>IF($X405="","",INDEX(Assessment!$L:$L,$X405))</f>
        <v/>
      </c>
      <c r="I405" s="10" t="str">
        <f>IF($X405="","",INDEX(Assessment!$N:$N,$X405))</f>
        <v/>
      </c>
      <c r="X405" t="str">
        <f>IF(389&lt;=$B$6,SMALL($Y$2:$Y$593,389),IF(389&lt;=$B$6+$B$7,SMALL($Z$2:$Z$593,389-$B$6),""))</f>
        <v/>
      </c>
      <c r="Y405" t="str">
        <f>IF(Assessment!$G405="Critical",ROW(Assessment!$G405),"")</f>
        <v/>
      </c>
      <c r="Z405" t="str">
        <f>IF(Assessment!$G405="High",ROW(Assessment!$G405),"")</f>
        <v/>
      </c>
    </row>
    <row r="406" spans="1:26" x14ac:dyDescent="0.25">
      <c r="A406" s="10" t="str">
        <f>IF($X406="","",390)</f>
        <v/>
      </c>
      <c r="B406" s="10" t="str">
        <f>IF($X406="","",INDEX(Assessment!$A:$A,$X406))</f>
        <v/>
      </c>
      <c r="C406" s="10" t="str">
        <f>IF($X406="","",INDEX(Assessment!$B:$B,$X406))</f>
        <v/>
      </c>
      <c r="D406" s="10" t="str">
        <f>IF($X406="","",INDEX(Assessment!$C:$C,$X406))</f>
        <v/>
      </c>
      <c r="E406" s="10" t="str">
        <f>IF($X406="","",INDEX(Assessment!$F:$F,$X406))</f>
        <v/>
      </c>
      <c r="F406" s="10" t="str">
        <f>IF($X406="","",INDEX(Assessment!$G:$G,$X406))</f>
        <v/>
      </c>
      <c r="G406" s="10" t="str">
        <f>IF($X406="","",INDEX(Assessment!$J:$J,$X406))</f>
        <v/>
      </c>
      <c r="H406" s="10" t="str">
        <f>IF($X406="","",INDEX(Assessment!$L:$L,$X406))</f>
        <v/>
      </c>
      <c r="I406" s="10" t="str">
        <f>IF($X406="","",INDEX(Assessment!$N:$N,$X406))</f>
        <v/>
      </c>
      <c r="X406" t="str">
        <f>IF(390&lt;=$B$6,SMALL($Y$2:$Y$593,390),IF(390&lt;=$B$6+$B$7,SMALL($Z$2:$Z$593,390-$B$6),""))</f>
        <v/>
      </c>
      <c r="Y406" t="str">
        <f>IF(Assessment!$G406="Critical",ROW(Assessment!$G406),"")</f>
        <v/>
      </c>
      <c r="Z406" t="str">
        <f>IF(Assessment!$G406="High",ROW(Assessment!$G406),"")</f>
        <v/>
      </c>
    </row>
    <row r="407" spans="1:26" x14ac:dyDescent="0.25">
      <c r="A407" s="10" t="str">
        <f>IF($X407="","",391)</f>
        <v/>
      </c>
      <c r="B407" s="10" t="str">
        <f>IF($X407="","",INDEX(Assessment!$A:$A,$X407))</f>
        <v/>
      </c>
      <c r="C407" s="10" t="str">
        <f>IF($X407="","",INDEX(Assessment!$B:$B,$X407))</f>
        <v/>
      </c>
      <c r="D407" s="10" t="str">
        <f>IF($X407="","",INDEX(Assessment!$C:$C,$X407))</f>
        <v/>
      </c>
      <c r="E407" s="10" t="str">
        <f>IF($X407="","",INDEX(Assessment!$F:$F,$X407))</f>
        <v/>
      </c>
      <c r="F407" s="10" t="str">
        <f>IF($X407="","",INDEX(Assessment!$G:$G,$X407))</f>
        <v/>
      </c>
      <c r="G407" s="10" t="str">
        <f>IF($X407="","",INDEX(Assessment!$J:$J,$X407))</f>
        <v/>
      </c>
      <c r="H407" s="10" t="str">
        <f>IF($X407="","",INDEX(Assessment!$L:$L,$X407))</f>
        <v/>
      </c>
      <c r="I407" s="10" t="str">
        <f>IF($X407="","",INDEX(Assessment!$N:$N,$X407))</f>
        <v/>
      </c>
      <c r="X407" t="str">
        <f>IF(391&lt;=$B$6,SMALL($Y$2:$Y$593,391),IF(391&lt;=$B$6+$B$7,SMALL($Z$2:$Z$593,391-$B$6),""))</f>
        <v/>
      </c>
      <c r="Y407" t="str">
        <f>IF(Assessment!$G407="Critical",ROW(Assessment!$G407),"")</f>
        <v/>
      </c>
      <c r="Z407" t="str">
        <f>IF(Assessment!$G407="High",ROW(Assessment!$G407),"")</f>
        <v/>
      </c>
    </row>
    <row r="408" spans="1:26" x14ac:dyDescent="0.25">
      <c r="A408" s="10" t="str">
        <f>IF($X408="","",392)</f>
        <v/>
      </c>
      <c r="B408" s="10" t="str">
        <f>IF($X408="","",INDEX(Assessment!$A:$A,$X408))</f>
        <v/>
      </c>
      <c r="C408" s="10" t="str">
        <f>IF($X408="","",INDEX(Assessment!$B:$B,$X408))</f>
        <v/>
      </c>
      <c r="D408" s="10" t="str">
        <f>IF($X408="","",INDEX(Assessment!$C:$C,$X408))</f>
        <v/>
      </c>
      <c r="E408" s="10" t="str">
        <f>IF($X408="","",INDEX(Assessment!$F:$F,$X408))</f>
        <v/>
      </c>
      <c r="F408" s="10" t="str">
        <f>IF($X408="","",INDEX(Assessment!$G:$G,$X408))</f>
        <v/>
      </c>
      <c r="G408" s="10" t="str">
        <f>IF($X408="","",INDEX(Assessment!$J:$J,$X408))</f>
        <v/>
      </c>
      <c r="H408" s="10" t="str">
        <f>IF($X408="","",INDEX(Assessment!$L:$L,$X408))</f>
        <v/>
      </c>
      <c r="I408" s="10" t="str">
        <f>IF($X408="","",INDEX(Assessment!$N:$N,$X408))</f>
        <v/>
      </c>
      <c r="X408" t="str">
        <f>IF(392&lt;=$B$6,SMALL($Y$2:$Y$593,392),IF(392&lt;=$B$6+$B$7,SMALL($Z$2:$Z$593,392-$B$6),""))</f>
        <v/>
      </c>
      <c r="Y408" t="str">
        <f>IF(Assessment!$G408="Critical",ROW(Assessment!$G408),"")</f>
        <v/>
      </c>
      <c r="Z408" t="str">
        <f>IF(Assessment!$G408="High",ROW(Assessment!$G408),"")</f>
        <v/>
      </c>
    </row>
    <row r="409" spans="1:26" x14ac:dyDescent="0.25">
      <c r="A409" s="10" t="str">
        <f>IF($X409="","",393)</f>
        <v/>
      </c>
      <c r="B409" s="10" t="str">
        <f>IF($X409="","",INDEX(Assessment!$A:$A,$X409))</f>
        <v/>
      </c>
      <c r="C409" s="10" t="str">
        <f>IF($X409="","",INDEX(Assessment!$B:$B,$X409))</f>
        <v/>
      </c>
      <c r="D409" s="10" t="str">
        <f>IF($X409="","",INDEX(Assessment!$C:$C,$X409))</f>
        <v/>
      </c>
      <c r="E409" s="10" t="str">
        <f>IF($X409="","",INDEX(Assessment!$F:$F,$X409))</f>
        <v/>
      </c>
      <c r="F409" s="10" t="str">
        <f>IF($X409="","",INDEX(Assessment!$G:$G,$X409))</f>
        <v/>
      </c>
      <c r="G409" s="10" t="str">
        <f>IF($X409="","",INDEX(Assessment!$J:$J,$X409))</f>
        <v/>
      </c>
      <c r="H409" s="10" t="str">
        <f>IF($X409="","",INDEX(Assessment!$L:$L,$X409))</f>
        <v/>
      </c>
      <c r="I409" s="10" t="str">
        <f>IF($X409="","",INDEX(Assessment!$N:$N,$X409))</f>
        <v/>
      </c>
      <c r="X409" t="str">
        <f>IF(393&lt;=$B$6,SMALL($Y$2:$Y$593,393),IF(393&lt;=$B$6+$B$7,SMALL($Z$2:$Z$593,393-$B$6),""))</f>
        <v/>
      </c>
      <c r="Y409" t="str">
        <f>IF(Assessment!$G409="Critical",ROW(Assessment!$G409),"")</f>
        <v/>
      </c>
      <c r="Z409" t="str">
        <f>IF(Assessment!$G409="High",ROW(Assessment!$G409),"")</f>
        <v/>
      </c>
    </row>
    <row r="410" spans="1:26" x14ac:dyDescent="0.25">
      <c r="A410" s="10" t="str">
        <f>IF($X410="","",394)</f>
        <v/>
      </c>
      <c r="B410" s="10" t="str">
        <f>IF($X410="","",INDEX(Assessment!$A:$A,$X410))</f>
        <v/>
      </c>
      <c r="C410" s="10" t="str">
        <f>IF($X410="","",INDEX(Assessment!$B:$B,$X410))</f>
        <v/>
      </c>
      <c r="D410" s="10" t="str">
        <f>IF($X410="","",INDEX(Assessment!$C:$C,$X410))</f>
        <v/>
      </c>
      <c r="E410" s="10" t="str">
        <f>IF($X410="","",INDEX(Assessment!$F:$F,$X410))</f>
        <v/>
      </c>
      <c r="F410" s="10" t="str">
        <f>IF($X410="","",INDEX(Assessment!$G:$G,$X410))</f>
        <v/>
      </c>
      <c r="G410" s="10" t="str">
        <f>IF($X410="","",INDEX(Assessment!$J:$J,$X410))</f>
        <v/>
      </c>
      <c r="H410" s="10" t="str">
        <f>IF($X410="","",INDEX(Assessment!$L:$L,$X410))</f>
        <v/>
      </c>
      <c r="I410" s="10" t="str">
        <f>IF($X410="","",INDEX(Assessment!$N:$N,$X410))</f>
        <v/>
      </c>
      <c r="X410" t="str">
        <f>IF(394&lt;=$B$6,SMALL($Y$2:$Y$593,394),IF(394&lt;=$B$6+$B$7,SMALL($Z$2:$Z$593,394-$B$6),""))</f>
        <v/>
      </c>
      <c r="Y410" t="str">
        <f>IF(Assessment!$G410="Critical",ROW(Assessment!$G410),"")</f>
        <v/>
      </c>
      <c r="Z410" t="str">
        <f>IF(Assessment!$G410="High",ROW(Assessment!$G410),"")</f>
        <v/>
      </c>
    </row>
    <row r="411" spans="1:26" x14ac:dyDescent="0.25">
      <c r="A411" s="10" t="str">
        <f>IF($X411="","",395)</f>
        <v/>
      </c>
      <c r="B411" s="10" t="str">
        <f>IF($X411="","",INDEX(Assessment!$A:$A,$X411))</f>
        <v/>
      </c>
      <c r="C411" s="10" t="str">
        <f>IF($X411="","",INDEX(Assessment!$B:$B,$X411))</f>
        <v/>
      </c>
      <c r="D411" s="10" t="str">
        <f>IF($X411="","",INDEX(Assessment!$C:$C,$X411))</f>
        <v/>
      </c>
      <c r="E411" s="10" t="str">
        <f>IF($X411="","",INDEX(Assessment!$F:$F,$X411))</f>
        <v/>
      </c>
      <c r="F411" s="10" t="str">
        <f>IF($X411="","",INDEX(Assessment!$G:$G,$X411))</f>
        <v/>
      </c>
      <c r="G411" s="10" t="str">
        <f>IF($X411="","",INDEX(Assessment!$J:$J,$X411))</f>
        <v/>
      </c>
      <c r="H411" s="10" t="str">
        <f>IF($X411="","",INDEX(Assessment!$L:$L,$X411))</f>
        <v/>
      </c>
      <c r="I411" s="10" t="str">
        <f>IF($X411="","",INDEX(Assessment!$N:$N,$X411))</f>
        <v/>
      </c>
      <c r="X411" t="str">
        <f>IF(395&lt;=$B$6,SMALL($Y$2:$Y$593,395),IF(395&lt;=$B$6+$B$7,SMALL($Z$2:$Z$593,395-$B$6),""))</f>
        <v/>
      </c>
      <c r="Y411" t="str">
        <f>IF(Assessment!$G411="Critical",ROW(Assessment!$G411),"")</f>
        <v/>
      </c>
      <c r="Z411" t="str">
        <f>IF(Assessment!$G411="High",ROW(Assessment!$G411),"")</f>
        <v/>
      </c>
    </row>
    <row r="412" spans="1:26" x14ac:dyDescent="0.25">
      <c r="A412" s="10" t="str">
        <f>IF($X412="","",396)</f>
        <v/>
      </c>
      <c r="B412" s="10" t="str">
        <f>IF($X412="","",INDEX(Assessment!$A:$A,$X412))</f>
        <v/>
      </c>
      <c r="C412" s="10" t="str">
        <f>IF($X412="","",INDEX(Assessment!$B:$B,$X412))</f>
        <v/>
      </c>
      <c r="D412" s="10" t="str">
        <f>IF($X412="","",INDEX(Assessment!$C:$C,$X412))</f>
        <v/>
      </c>
      <c r="E412" s="10" t="str">
        <f>IF($X412="","",INDEX(Assessment!$F:$F,$X412))</f>
        <v/>
      </c>
      <c r="F412" s="10" t="str">
        <f>IF($X412="","",INDEX(Assessment!$G:$G,$X412))</f>
        <v/>
      </c>
      <c r="G412" s="10" t="str">
        <f>IF($X412="","",INDEX(Assessment!$J:$J,$X412))</f>
        <v/>
      </c>
      <c r="H412" s="10" t="str">
        <f>IF($X412="","",INDEX(Assessment!$L:$L,$X412))</f>
        <v/>
      </c>
      <c r="I412" s="10" t="str">
        <f>IF($X412="","",INDEX(Assessment!$N:$N,$X412))</f>
        <v/>
      </c>
      <c r="X412" t="str">
        <f>IF(396&lt;=$B$6,SMALL($Y$2:$Y$593,396),IF(396&lt;=$B$6+$B$7,SMALL($Z$2:$Z$593,396-$B$6),""))</f>
        <v/>
      </c>
      <c r="Y412" t="str">
        <f>IF(Assessment!$G412="Critical",ROW(Assessment!$G412),"")</f>
        <v/>
      </c>
      <c r="Z412">
        <f>IF(Assessment!$G412="High",ROW(Assessment!$G412),"")</f>
        <v>412</v>
      </c>
    </row>
    <row r="413" spans="1:26" x14ac:dyDescent="0.25">
      <c r="A413" s="10" t="str">
        <f>IF($X413="","",397)</f>
        <v/>
      </c>
      <c r="B413" s="10" t="str">
        <f>IF($X413="","",INDEX(Assessment!$A:$A,$X413))</f>
        <v/>
      </c>
      <c r="C413" s="10" t="str">
        <f>IF($X413="","",INDEX(Assessment!$B:$B,$X413))</f>
        <v/>
      </c>
      <c r="D413" s="10" t="str">
        <f>IF($X413="","",INDEX(Assessment!$C:$C,$X413))</f>
        <v/>
      </c>
      <c r="E413" s="10" t="str">
        <f>IF($X413="","",INDEX(Assessment!$F:$F,$X413))</f>
        <v/>
      </c>
      <c r="F413" s="10" t="str">
        <f>IF($X413="","",INDEX(Assessment!$G:$G,$X413))</f>
        <v/>
      </c>
      <c r="G413" s="10" t="str">
        <f>IF($X413="","",INDEX(Assessment!$J:$J,$X413))</f>
        <v/>
      </c>
      <c r="H413" s="10" t="str">
        <f>IF($X413="","",INDEX(Assessment!$L:$L,$X413))</f>
        <v/>
      </c>
      <c r="I413" s="10" t="str">
        <f>IF($X413="","",INDEX(Assessment!$N:$N,$X413))</f>
        <v/>
      </c>
      <c r="X413" t="str">
        <f>IF(397&lt;=$B$6,SMALL($Y$2:$Y$593,397),IF(397&lt;=$B$6+$B$7,SMALL($Z$2:$Z$593,397-$B$6),""))</f>
        <v/>
      </c>
      <c r="Y413" t="str">
        <f>IF(Assessment!$G413="Critical",ROW(Assessment!$G413),"")</f>
        <v/>
      </c>
      <c r="Z413" t="str">
        <f>IF(Assessment!$G413="High",ROW(Assessment!$G413),"")</f>
        <v/>
      </c>
    </row>
    <row r="414" spans="1:26" x14ac:dyDescent="0.25">
      <c r="A414" s="10" t="str">
        <f>IF($X414="","",398)</f>
        <v/>
      </c>
      <c r="B414" s="10" t="str">
        <f>IF($X414="","",INDEX(Assessment!$A:$A,$X414))</f>
        <v/>
      </c>
      <c r="C414" s="10" t="str">
        <f>IF($X414="","",INDEX(Assessment!$B:$B,$X414))</f>
        <v/>
      </c>
      <c r="D414" s="10" t="str">
        <f>IF($X414="","",INDEX(Assessment!$C:$C,$X414))</f>
        <v/>
      </c>
      <c r="E414" s="10" t="str">
        <f>IF($X414="","",INDEX(Assessment!$F:$F,$X414))</f>
        <v/>
      </c>
      <c r="F414" s="10" t="str">
        <f>IF($X414="","",INDEX(Assessment!$G:$G,$X414))</f>
        <v/>
      </c>
      <c r="G414" s="10" t="str">
        <f>IF($X414="","",INDEX(Assessment!$J:$J,$X414))</f>
        <v/>
      </c>
      <c r="H414" s="10" t="str">
        <f>IF($X414="","",INDEX(Assessment!$L:$L,$X414))</f>
        <v/>
      </c>
      <c r="I414" s="10" t="str">
        <f>IF($X414="","",INDEX(Assessment!$N:$N,$X414))</f>
        <v/>
      </c>
      <c r="X414" t="str">
        <f>IF(398&lt;=$B$6,SMALL($Y$2:$Y$593,398),IF(398&lt;=$B$6+$B$7,SMALL($Z$2:$Z$593,398-$B$6),""))</f>
        <v/>
      </c>
      <c r="Y414" t="str">
        <f>IF(Assessment!$G414="Critical",ROW(Assessment!$G414),"")</f>
        <v/>
      </c>
      <c r="Z414" t="str">
        <f>IF(Assessment!$G414="High",ROW(Assessment!$G414),"")</f>
        <v/>
      </c>
    </row>
    <row r="415" spans="1:26" x14ac:dyDescent="0.25">
      <c r="A415" s="10" t="str">
        <f>IF($X415="","",399)</f>
        <v/>
      </c>
      <c r="B415" s="10" t="str">
        <f>IF($X415="","",INDEX(Assessment!$A:$A,$X415))</f>
        <v/>
      </c>
      <c r="C415" s="10" t="str">
        <f>IF($X415="","",INDEX(Assessment!$B:$B,$X415))</f>
        <v/>
      </c>
      <c r="D415" s="10" t="str">
        <f>IF($X415="","",INDEX(Assessment!$C:$C,$X415))</f>
        <v/>
      </c>
      <c r="E415" s="10" t="str">
        <f>IF($X415="","",INDEX(Assessment!$F:$F,$X415))</f>
        <v/>
      </c>
      <c r="F415" s="10" t="str">
        <f>IF($X415="","",INDEX(Assessment!$G:$G,$X415))</f>
        <v/>
      </c>
      <c r="G415" s="10" t="str">
        <f>IF($X415="","",INDEX(Assessment!$J:$J,$X415))</f>
        <v/>
      </c>
      <c r="H415" s="10" t="str">
        <f>IF($X415="","",INDEX(Assessment!$L:$L,$X415))</f>
        <v/>
      </c>
      <c r="I415" s="10" t="str">
        <f>IF($X415="","",INDEX(Assessment!$N:$N,$X415))</f>
        <v/>
      </c>
      <c r="X415" t="str">
        <f>IF(399&lt;=$B$6,SMALL($Y$2:$Y$593,399),IF(399&lt;=$B$6+$B$7,SMALL($Z$2:$Z$593,399-$B$6),""))</f>
        <v/>
      </c>
      <c r="Y415" t="str">
        <f>IF(Assessment!$G415="Critical",ROW(Assessment!$G415),"")</f>
        <v/>
      </c>
      <c r="Z415">
        <f>IF(Assessment!$G415="High",ROW(Assessment!$G415),"")</f>
        <v>415</v>
      </c>
    </row>
    <row r="416" spans="1:26" x14ac:dyDescent="0.25">
      <c r="A416" s="10" t="str">
        <f>IF($X416="","",400)</f>
        <v/>
      </c>
      <c r="B416" s="10" t="str">
        <f>IF($X416="","",INDEX(Assessment!$A:$A,$X416))</f>
        <v/>
      </c>
      <c r="C416" s="10" t="str">
        <f>IF($X416="","",INDEX(Assessment!$B:$B,$X416))</f>
        <v/>
      </c>
      <c r="D416" s="10" t="str">
        <f>IF($X416="","",INDEX(Assessment!$C:$C,$X416))</f>
        <v/>
      </c>
      <c r="E416" s="10" t="str">
        <f>IF($X416="","",INDEX(Assessment!$F:$F,$X416))</f>
        <v/>
      </c>
      <c r="F416" s="10" t="str">
        <f>IF($X416="","",INDEX(Assessment!$G:$G,$X416))</f>
        <v/>
      </c>
      <c r="G416" s="10" t="str">
        <f>IF($X416="","",INDEX(Assessment!$J:$J,$X416))</f>
        <v/>
      </c>
      <c r="H416" s="10" t="str">
        <f>IF($X416="","",INDEX(Assessment!$L:$L,$X416))</f>
        <v/>
      </c>
      <c r="I416" s="10" t="str">
        <f>IF($X416="","",INDEX(Assessment!$N:$N,$X416))</f>
        <v/>
      </c>
      <c r="X416" t="str">
        <f>IF(400&lt;=$B$6,SMALL($Y$2:$Y$593,400),IF(400&lt;=$B$6+$B$7,SMALL($Z$2:$Z$593,400-$B$6),""))</f>
        <v/>
      </c>
      <c r="Y416" t="str">
        <f>IF(Assessment!$G416="Critical",ROW(Assessment!$G416),"")</f>
        <v/>
      </c>
      <c r="Z416" t="str">
        <f>IF(Assessment!$G416="High",ROW(Assessment!$G416),"")</f>
        <v/>
      </c>
    </row>
    <row r="417" spans="1:26" x14ac:dyDescent="0.25">
      <c r="A417" s="10" t="str">
        <f>IF($X417="","",401)</f>
        <v/>
      </c>
      <c r="B417" s="10" t="str">
        <f>IF($X417="","",INDEX(Assessment!$A:$A,$X417))</f>
        <v/>
      </c>
      <c r="C417" s="10" t="str">
        <f>IF($X417="","",INDEX(Assessment!$B:$B,$X417))</f>
        <v/>
      </c>
      <c r="D417" s="10" t="str">
        <f>IF($X417="","",INDEX(Assessment!$C:$C,$X417))</f>
        <v/>
      </c>
      <c r="E417" s="10" t="str">
        <f>IF($X417="","",INDEX(Assessment!$F:$F,$X417))</f>
        <v/>
      </c>
      <c r="F417" s="10" t="str">
        <f>IF($X417="","",INDEX(Assessment!$G:$G,$X417))</f>
        <v/>
      </c>
      <c r="G417" s="10" t="str">
        <f>IF($X417="","",INDEX(Assessment!$J:$J,$X417))</f>
        <v/>
      </c>
      <c r="H417" s="10" t="str">
        <f>IF($X417="","",INDEX(Assessment!$L:$L,$X417))</f>
        <v/>
      </c>
      <c r="I417" s="10" t="str">
        <f>IF($X417="","",INDEX(Assessment!$N:$N,$X417))</f>
        <v/>
      </c>
      <c r="X417" t="str">
        <f>IF(401&lt;=$B$6,SMALL($Y$2:$Y$593,401),IF(401&lt;=$B$6+$B$7,SMALL($Z$2:$Z$593,401-$B$6),""))</f>
        <v/>
      </c>
      <c r="Y417" t="str">
        <f>IF(Assessment!$G417="Critical",ROW(Assessment!$G417),"")</f>
        <v/>
      </c>
      <c r="Z417" t="str">
        <f>IF(Assessment!$G417="High",ROW(Assessment!$G417),"")</f>
        <v/>
      </c>
    </row>
    <row r="418" spans="1:26" x14ac:dyDescent="0.25">
      <c r="A418" s="10" t="str">
        <f>IF($X418="","",402)</f>
        <v/>
      </c>
      <c r="B418" s="10" t="str">
        <f>IF($X418="","",INDEX(Assessment!$A:$A,$X418))</f>
        <v/>
      </c>
      <c r="C418" s="10" t="str">
        <f>IF($X418="","",INDEX(Assessment!$B:$B,$X418))</f>
        <v/>
      </c>
      <c r="D418" s="10" t="str">
        <f>IF($X418="","",INDEX(Assessment!$C:$C,$X418))</f>
        <v/>
      </c>
      <c r="E418" s="10" t="str">
        <f>IF($X418="","",INDEX(Assessment!$F:$F,$X418))</f>
        <v/>
      </c>
      <c r="F418" s="10" t="str">
        <f>IF($X418="","",INDEX(Assessment!$G:$G,$X418))</f>
        <v/>
      </c>
      <c r="G418" s="10" t="str">
        <f>IF($X418="","",INDEX(Assessment!$J:$J,$X418))</f>
        <v/>
      </c>
      <c r="H418" s="10" t="str">
        <f>IF($X418="","",INDEX(Assessment!$L:$L,$X418))</f>
        <v/>
      </c>
      <c r="I418" s="10" t="str">
        <f>IF($X418="","",INDEX(Assessment!$N:$N,$X418))</f>
        <v/>
      </c>
      <c r="X418" t="str">
        <f>IF(402&lt;=$B$6,SMALL($Y$2:$Y$593,402),IF(402&lt;=$B$6+$B$7,SMALL($Z$2:$Z$593,402-$B$6),""))</f>
        <v/>
      </c>
      <c r="Y418" t="str">
        <f>IF(Assessment!$G418="Critical",ROW(Assessment!$G418),"")</f>
        <v/>
      </c>
      <c r="Z418">
        <f>IF(Assessment!$G418="High",ROW(Assessment!$G418),"")</f>
        <v>418</v>
      </c>
    </row>
    <row r="419" spans="1:26" x14ac:dyDescent="0.25">
      <c r="A419" s="10" t="str">
        <f>IF($X419="","",403)</f>
        <v/>
      </c>
      <c r="B419" s="10" t="str">
        <f>IF($X419="","",INDEX(Assessment!$A:$A,$X419))</f>
        <v/>
      </c>
      <c r="C419" s="10" t="str">
        <f>IF($X419="","",INDEX(Assessment!$B:$B,$X419))</f>
        <v/>
      </c>
      <c r="D419" s="10" t="str">
        <f>IF($X419="","",INDEX(Assessment!$C:$C,$X419))</f>
        <v/>
      </c>
      <c r="E419" s="10" t="str">
        <f>IF($X419="","",INDEX(Assessment!$F:$F,$X419))</f>
        <v/>
      </c>
      <c r="F419" s="10" t="str">
        <f>IF($X419="","",INDEX(Assessment!$G:$G,$X419))</f>
        <v/>
      </c>
      <c r="G419" s="10" t="str">
        <f>IF($X419="","",INDEX(Assessment!$J:$J,$X419))</f>
        <v/>
      </c>
      <c r="H419" s="10" t="str">
        <f>IF($X419="","",INDEX(Assessment!$L:$L,$X419))</f>
        <v/>
      </c>
      <c r="I419" s="10" t="str">
        <f>IF($X419="","",INDEX(Assessment!$N:$N,$X419))</f>
        <v/>
      </c>
      <c r="X419" t="str">
        <f>IF(403&lt;=$B$6,SMALL($Y$2:$Y$593,403),IF(403&lt;=$B$6+$B$7,SMALL($Z$2:$Z$593,403-$B$6),""))</f>
        <v/>
      </c>
      <c r="Y419" t="str">
        <f>IF(Assessment!$G419="Critical",ROW(Assessment!$G419),"")</f>
        <v/>
      </c>
      <c r="Z419">
        <f>IF(Assessment!$G419="High",ROW(Assessment!$G419),"")</f>
        <v>419</v>
      </c>
    </row>
    <row r="420" spans="1:26" x14ac:dyDescent="0.25">
      <c r="A420" s="10" t="str">
        <f>IF($X420="","",404)</f>
        <v/>
      </c>
      <c r="B420" s="10" t="str">
        <f>IF($X420="","",INDEX(Assessment!$A:$A,$X420))</f>
        <v/>
      </c>
      <c r="C420" s="10" t="str">
        <f>IF($X420="","",INDEX(Assessment!$B:$B,$X420))</f>
        <v/>
      </c>
      <c r="D420" s="10" t="str">
        <f>IF($X420="","",INDEX(Assessment!$C:$C,$X420))</f>
        <v/>
      </c>
      <c r="E420" s="10" t="str">
        <f>IF($X420="","",INDEX(Assessment!$F:$F,$X420))</f>
        <v/>
      </c>
      <c r="F420" s="10" t="str">
        <f>IF($X420="","",INDEX(Assessment!$G:$G,$X420))</f>
        <v/>
      </c>
      <c r="G420" s="10" t="str">
        <f>IF($X420="","",INDEX(Assessment!$J:$J,$X420))</f>
        <v/>
      </c>
      <c r="H420" s="10" t="str">
        <f>IF($X420="","",INDEX(Assessment!$L:$L,$X420))</f>
        <v/>
      </c>
      <c r="I420" s="10" t="str">
        <f>IF($X420="","",INDEX(Assessment!$N:$N,$X420))</f>
        <v/>
      </c>
      <c r="X420" t="str">
        <f>IF(404&lt;=$B$6,SMALL($Y$2:$Y$593,404),IF(404&lt;=$B$6+$B$7,SMALL($Z$2:$Z$593,404-$B$6),""))</f>
        <v/>
      </c>
      <c r="Y420">
        <f>IF(Assessment!$G420="Critical",ROW(Assessment!$G420),"")</f>
        <v>420</v>
      </c>
      <c r="Z420" t="str">
        <f>IF(Assessment!$G420="High",ROW(Assessment!$G420),"")</f>
        <v/>
      </c>
    </row>
    <row r="421" spans="1:26" x14ac:dyDescent="0.25">
      <c r="A421" s="10" t="str">
        <f>IF($X421="","",405)</f>
        <v/>
      </c>
      <c r="B421" s="10" t="str">
        <f>IF($X421="","",INDEX(Assessment!$A:$A,$X421))</f>
        <v/>
      </c>
      <c r="C421" s="10" t="str">
        <f>IF($X421="","",INDEX(Assessment!$B:$B,$X421))</f>
        <v/>
      </c>
      <c r="D421" s="10" t="str">
        <f>IF($X421="","",INDEX(Assessment!$C:$C,$X421))</f>
        <v/>
      </c>
      <c r="E421" s="10" t="str">
        <f>IF($X421="","",INDEX(Assessment!$F:$F,$X421))</f>
        <v/>
      </c>
      <c r="F421" s="10" t="str">
        <f>IF($X421="","",INDEX(Assessment!$G:$G,$X421))</f>
        <v/>
      </c>
      <c r="G421" s="10" t="str">
        <f>IF($X421="","",INDEX(Assessment!$J:$J,$X421))</f>
        <v/>
      </c>
      <c r="H421" s="10" t="str">
        <f>IF($X421="","",INDEX(Assessment!$L:$L,$X421))</f>
        <v/>
      </c>
      <c r="I421" s="10" t="str">
        <f>IF($X421="","",INDEX(Assessment!$N:$N,$X421))</f>
        <v/>
      </c>
      <c r="X421" t="str">
        <f>IF(405&lt;=$B$6,SMALL($Y$2:$Y$593,405),IF(405&lt;=$B$6+$B$7,SMALL($Z$2:$Z$593,405-$B$6),""))</f>
        <v/>
      </c>
      <c r="Y421" t="str">
        <f>IF(Assessment!$G421="Critical",ROW(Assessment!$G421),"")</f>
        <v/>
      </c>
      <c r="Z421">
        <f>IF(Assessment!$G421="High",ROW(Assessment!$G421),"")</f>
        <v>421</v>
      </c>
    </row>
    <row r="422" spans="1:26" x14ac:dyDescent="0.25">
      <c r="A422" s="10" t="str">
        <f>IF($X422="","",406)</f>
        <v/>
      </c>
      <c r="B422" s="10" t="str">
        <f>IF($X422="","",INDEX(Assessment!$A:$A,$X422))</f>
        <v/>
      </c>
      <c r="C422" s="10" t="str">
        <f>IF($X422="","",INDEX(Assessment!$B:$B,$X422))</f>
        <v/>
      </c>
      <c r="D422" s="10" t="str">
        <f>IF($X422="","",INDEX(Assessment!$C:$C,$X422))</f>
        <v/>
      </c>
      <c r="E422" s="10" t="str">
        <f>IF($X422="","",INDEX(Assessment!$F:$F,$X422))</f>
        <v/>
      </c>
      <c r="F422" s="10" t="str">
        <f>IF($X422="","",INDEX(Assessment!$G:$G,$X422))</f>
        <v/>
      </c>
      <c r="G422" s="10" t="str">
        <f>IF($X422="","",INDEX(Assessment!$J:$J,$X422))</f>
        <v/>
      </c>
      <c r="H422" s="10" t="str">
        <f>IF($X422="","",INDEX(Assessment!$L:$L,$X422))</f>
        <v/>
      </c>
      <c r="I422" s="10" t="str">
        <f>IF($X422="","",INDEX(Assessment!$N:$N,$X422))</f>
        <v/>
      </c>
      <c r="X422" t="str">
        <f>IF(406&lt;=$B$6,SMALL($Y$2:$Y$593,406),IF(406&lt;=$B$6+$B$7,SMALL($Z$2:$Z$593,406-$B$6),""))</f>
        <v/>
      </c>
      <c r="Y422" t="str">
        <f>IF(Assessment!$G422="Critical",ROW(Assessment!$G422),"")</f>
        <v/>
      </c>
      <c r="Z422" t="str">
        <f>IF(Assessment!$G422="High",ROW(Assessment!$G422),"")</f>
        <v/>
      </c>
    </row>
    <row r="423" spans="1:26" x14ac:dyDescent="0.25">
      <c r="A423" s="10" t="str">
        <f>IF($X423="","",407)</f>
        <v/>
      </c>
      <c r="B423" s="10" t="str">
        <f>IF($X423="","",INDEX(Assessment!$A:$A,$X423))</f>
        <v/>
      </c>
      <c r="C423" s="10" t="str">
        <f>IF($X423="","",INDEX(Assessment!$B:$B,$X423))</f>
        <v/>
      </c>
      <c r="D423" s="10" t="str">
        <f>IF($X423="","",INDEX(Assessment!$C:$C,$X423))</f>
        <v/>
      </c>
      <c r="E423" s="10" t="str">
        <f>IF($X423="","",INDEX(Assessment!$F:$F,$X423))</f>
        <v/>
      </c>
      <c r="F423" s="10" t="str">
        <f>IF($X423="","",INDEX(Assessment!$G:$G,$X423))</f>
        <v/>
      </c>
      <c r="G423" s="10" t="str">
        <f>IF($X423="","",INDEX(Assessment!$J:$J,$X423))</f>
        <v/>
      </c>
      <c r="H423" s="10" t="str">
        <f>IF($X423="","",INDEX(Assessment!$L:$L,$X423))</f>
        <v/>
      </c>
      <c r="I423" s="10" t="str">
        <f>IF($X423="","",INDEX(Assessment!$N:$N,$X423))</f>
        <v/>
      </c>
      <c r="X423" t="str">
        <f>IF(407&lt;=$B$6,SMALL($Y$2:$Y$593,407),IF(407&lt;=$B$6+$B$7,SMALL($Z$2:$Z$593,407-$B$6),""))</f>
        <v/>
      </c>
      <c r="Y423" t="str">
        <f>IF(Assessment!$G423="Critical",ROW(Assessment!$G423),"")</f>
        <v/>
      </c>
      <c r="Z423" t="str">
        <f>IF(Assessment!$G423="High",ROW(Assessment!$G423),"")</f>
        <v/>
      </c>
    </row>
    <row r="424" spans="1:26" x14ac:dyDescent="0.25">
      <c r="A424" s="10" t="str">
        <f>IF($X424="","",408)</f>
        <v/>
      </c>
      <c r="B424" s="10" t="str">
        <f>IF($X424="","",INDEX(Assessment!$A:$A,$X424))</f>
        <v/>
      </c>
      <c r="C424" s="10" t="str">
        <f>IF($X424="","",INDEX(Assessment!$B:$B,$X424))</f>
        <v/>
      </c>
      <c r="D424" s="10" t="str">
        <f>IF($X424="","",INDEX(Assessment!$C:$C,$X424))</f>
        <v/>
      </c>
      <c r="E424" s="10" t="str">
        <f>IF($X424="","",INDEX(Assessment!$F:$F,$X424))</f>
        <v/>
      </c>
      <c r="F424" s="10" t="str">
        <f>IF($X424="","",INDEX(Assessment!$G:$G,$X424))</f>
        <v/>
      </c>
      <c r="G424" s="10" t="str">
        <f>IF($X424="","",INDEX(Assessment!$J:$J,$X424))</f>
        <v/>
      </c>
      <c r="H424" s="10" t="str">
        <f>IF($X424="","",INDEX(Assessment!$L:$L,$X424))</f>
        <v/>
      </c>
      <c r="I424" s="10" t="str">
        <f>IF($X424="","",INDEX(Assessment!$N:$N,$X424))</f>
        <v/>
      </c>
      <c r="X424" t="str">
        <f>IF(408&lt;=$B$6,SMALL($Y$2:$Y$593,408),IF(408&lt;=$B$6+$B$7,SMALL($Z$2:$Z$593,408-$B$6),""))</f>
        <v/>
      </c>
      <c r="Y424" t="str">
        <f>IF(Assessment!$G424="Critical",ROW(Assessment!$G424),"")</f>
        <v/>
      </c>
      <c r="Z424" t="str">
        <f>IF(Assessment!$G424="High",ROW(Assessment!$G424),"")</f>
        <v/>
      </c>
    </row>
    <row r="425" spans="1:26" x14ac:dyDescent="0.25">
      <c r="A425" s="10" t="str">
        <f>IF($X425="","",409)</f>
        <v/>
      </c>
      <c r="B425" s="10" t="str">
        <f>IF($X425="","",INDEX(Assessment!$A:$A,$X425))</f>
        <v/>
      </c>
      <c r="C425" s="10" t="str">
        <f>IF($X425="","",INDEX(Assessment!$B:$B,$X425))</f>
        <v/>
      </c>
      <c r="D425" s="10" t="str">
        <f>IF($X425="","",INDEX(Assessment!$C:$C,$X425))</f>
        <v/>
      </c>
      <c r="E425" s="10" t="str">
        <f>IF($X425="","",INDEX(Assessment!$F:$F,$X425))</f>
        <v/>
      </c>
      <c r="F425" s="10" t="str">
        <f>IF($X425="","",INDEX(Assessment!$G:$G,$X425))</f>
        <v/>
      </c>
      <c r="G425" s="10" t="str">
        <f>IF($X425="","",INDEX(Assessment!$J:$J,$X425))</f>
        <v/>
      </c>
      <c r="H425" s="10" t="str">
        <f>IF($X425="","",INDEX(Assessment!$L:$L,$X425))</f>
        <v/>
      </c>
      <c r="I425" s="10" t="str">
        <f>IF($X425="","",INDEX(Assessment!$N:$N,$X425))</f>
        <v/>
      </c>
      <c r="X425" t="str">
        <f>IF(409&lt;=$B$6,SMALL($Y$2:$Y$593,409),IF(409&lt;=$B$6+$B$7,SMALL($Z$2:$Z$593,409-$B$6),""))</f>
        <v/>
      </c>
      <c r="Y425" t="str">
        <f>IF(Assessment!$G425="Critical",ROW(Assessment!$G425),"")</f>
        <v/>
      </c>
      <c r="Z425" t="str">
        <f>IF(Assessment!$G425="High",ROW(Assessment!$G425),"")</f>
        <v/>
      </c>
    </row>
    <row r="426" spans="1:26" x14ac:dyDescent="0.25">
      <c r="A426" s="10" t="str">
        <f>IF($X426="","",410)</f>
        <v/>
      </c>
      <c r="B426" s="10" t="str">
        <f>IF($X426="","",INDEX(Assessment!$A:$A,$X426))</f>
        <v/>
      </c>
      <c r="C426" s="10" t="str">
        <f>IF($X426="","",INDEX(Assessment!$B:$B,$X426))</f>
        <v/>
      </c>
      <c r="D426" s="10" t="str">
        <f>IF($X426="","",INDEX(Assessment!$C:$C,$X426))</f>
        <v/>
      </c>
      <c r="E426" s="10" t="str">
        <f>IF($X426="","",INDEX(Assessment!$F:$F,$X426))</f>
        <v/>
      </c>
      <c r="F426" s="10" t="str">
        <f>IF($X426="","",INDEX(Assessment!$G:$G,$X426))</f>
        <v/>
      </c>
      <c r="G426" s="10" t="str">
        <f>IF($X426="","",INDEX(Assessment!$J:$J,$X426))</f>
        <v/>
      </c>
      <c r="H426" s="10" t="str">
        <f>IF($X426="","",INDEX(Assessment!$L:$L,$X426))</f>
        <v/>
      </c>
      <c r="I426" s="10" t="str">
        <f>IF($X426="","",INDEX(Assessment!$N:$N,$X426))</f>
        <v/>
      </c>
      <c r="X426" t="str">
        <f>IF(410&lt;=$B$6,SMALL($Y$2:$Y$593,410),IF(410&lt;=$B$6+$B$7,SMALL($Z$2:$Z$593,410-$B$6),""))</f>
        <v/>
      </c>
      <c r="Y426" t="str">
        <f>IF(Assessment!$G426="Critical",ROW(Assessment!$G426),"")</f>
        <v/>
      </c>
      <c r="Z426" t="str">
        <f>IF(Assessment!$G426="High",ROW(Assessment!$G426),"")</f>
        <v/>
      </c>
    </row>
    <row r="427" spans="1:26" x14ac:dyDescent="0.25">
      <c r="A427" s="10" t="str">
        <f>IF($X427="","",411)</f>
        <v/>
      </c>
      <c r="B427" s="10" t="str">
        <f>IF($X427="","",INDEX(Assessment!$A:$A,$X427))</f>
        <v/>
      </c>
      <c r="C427" s="10" t="str">
        <f>IF($X427="","",INDEX(Assessment!$B:$B,$X427))</f>
        <v/>
      </c>
      <c r="D427" s="10" t="str">
        <f>IF($X427="","",INDEX(Assessment!$C:$C,$X427))</f>
        <v/>
      </c>
      <c r="E427" s="10" t="str">
        <f>IF($X427="","",INDEX(Assessment!$F:$F,$X427))</f>
        <v/>
      </c>
      <c r="F427" s="10" t="str">
        <f>IF($X427="","",INDEX(Assessment!$G:$G,$X427))</f>
        <v/>
      </c>
      <c r="G427" s="10" t="str">
        <f>IF($X427="","",INDEX(Assessment!$J:$J,$X427))</f>
        <v/>
      </c>
      <c r="H427" s="10" t="str">
        <f>IF($X427="","",INDEX(Assessment!$L:$L,$X427))</f>
        <v/>
      </c>
      <c r="I427" s="10" t="str">
        <f>IF($X427="","",INDEX(Assessment!$N:$N,$X427))</f>
        <v/>
      </c>
      <c r="X427" t="str">
        <f>IF(411&lt;=$B$6,SMALL($Y$2:$Y$593,411),IF(411&lt;=$B$6+$B$7,SMALL($Z$2:$Z$593,411-$B$6),""))</f>
        <v/>
      </c>
      <c r="Y427" t="str">
        <f>IF(Assessment!$G427="Critical",ROW(Assessment!$G427),"")</f>
        <v/>
      </c>
      <c r="Z427" t="str">
        <f>IF(Assessment!$G427="High",ROW(Assessment!$G427),"")</f>
        <v/>
      </c>
    </row>
    <row r="428" spans="1:26" x14ac:dyDescent="0.25">
      <c r="A428" s="10" t="str">
        <f>IF($X428="","",412)</f>
        <v/>
      </c>
      <c r="B428" s="10" t="str">
        <f>IF($X428="","",INDEX(Assessment!$A:$A,$X428))</f>
        <v/>
      </c>
      <c r="C428" s="10" t="str">
        <f>IF($X428="","",INDEX(Assessment!$B:$B,$X428))</f>
        <v/>
      </c>
      <c r="D428" s="10" t="str">
        <f>IF($X428="","",INDEX(Assessment!$C:$C,$X428))</f>
        <v/>
      </c>
      <c r="E428" s="10" t="str">
        <f>IF($X428="","",INDEX(Assessment!$F:$F,$X428))</f>
        <v/>
      </c>
      <c r="F428" s="10" t="str">
        <f>IF($X428="","",INDEX(Assessment!$G:$G,$X428))</f>
        <v/>
      </c>
      <c r="G428" s="10" t="str">
        <f>IF($X428="","",INDEX(Assessment!$J:$J,$X428))</f>
        <v/>
      </c>
      <c r="H428" s="10" t="str">
        <f>IF($X428="","",INDEX(Assessment!$L:$L,$X428))</f>
        <v/>
      </c>
      <c r="I428" s="10" t="str">
        <f>IF($X428="","",INDEX(Assessment!$N:$N,$X428))</f>
        <v/>
      </c>
      <c r="X428" t="str">
        <f>IF(412&lt;=$B$6,SMALL($Y$2:$Y$593,412),IF(412&lt;=$B$6+$B$7,SMALL($Z$2:$Z$593,412-$B$6),""))</f>
        <v/>
      </c>
      <c r="Y428" t="str">
        <f>IF(Assessment!$G428="Critical",ROW(Assessment!$G428),"")</f>
        <v/>
      </c>
      <c r="Z428" t="str">
        <f>IF(Assessment!$G428="High",ROW(Assessment!$G428),"")</f>
        <v/>
      </c>
    </row>
    <row r="429" spans="1:26" x14ac:dyDescent="0.25">
      <c r="A429" s="10" t="str">
        <f>IF($X429="","",413)</f>
        <v/>
      </c>
      <c r="B429" s="10" t="str">
        <f>IF($X429="","",INDEX(Assessment!$A:$A,$X429))</f>
        <v/>
      </c>
      <c r="C429" s="10" t="str">
        <f>IF($X429="","",INDEX(Assessment!$B:$B,$X429))</f>
        <v/>
      </c>
      <c r="D429" s="10" t="str">
        <f>IF($X429="","",INDEX(Assessment!$C:$C,$X429))</f>
        <v/>
      </c>
      <c r="E429" s="10" t="str">
        <f>IF($X429="","",INDEX(Assessment!$F:$F,$X429))</f>
        <v/>
      </c>
      <c r="F429" s="10" t="str">
        <f>IF($X429="","",INDEX(Assessment!$G:$G,$X429))</f>
        <v/>
      </c>
      <c r="G429" s="10" t="str">
        <f>IF($X429="","",INDEX(Assessment!$J:$J,$X429))</f>
        <v/>
      </c>
      <c r="H429" s="10" t="str">
        <f>IF($X429="","",INDEX(Assessment!$L:$L,$X429))</f>
        <v/>
      </c>
      <c r="I429" s="10" t="str">
        <f>IF($X429="","",INDEX(Assessment!$N:$N,$X429))</f>
        <v/>
      </c>
      <c r="X429" t="str">
        <f>IF(413&lt;=$B$6,SMALL($Y$2:$Y$593,413),IF(413&lt;=$B$6+$B$7,SMALL($Z$2:$Z$593,413-$B$6),""))</f>
        <v/>
      </c>
      <c r="Y429" t="str">
        <f>IF(Assessment!$G429="Critical",ROW(Assessment!$G429),"")</f>
        <v/>
      </c>
      <c r="Z429">
        <f>IF(Assessment!$G429="High",ROW(Assessment!$G429),"")</f>
        <v>429</v>
      </c>
    </row>
    <row r="430" spans="1:26" x14ac:dyDescent="0.25">
      <c r="A430" s="10" t="str">
        <f>IF($X430="","",414)</f>
        <v/>
      </c>
      <c r="B430" s="10" t="str">
        <f>IF($X430="","",INDEX(Assessment!$A:$A,$X430))</f>
        <v/>
      </c>
      <c r="C430" s="10" t="str">
        <f>IF($X430="","",INDEX(Assessment!$B:$B,$X430))</f>
        <v/>
      </c>
      <c r="D430" s="10" t="str">
        <f>IF($X430="","",INDEX(Assessment!$C:$C,$X430))</f>
        <v/>
      </c>
      <c r="E430" s="10" t="str">
        <f>IF($X430="","",INDEX(Assessment!$F:$F,$X430))</f>
        <v/>
      </c>
      <c r="F430" s="10" t="str">
        <f>IF($X430="","",INDEX(Assessment!$G:$G,$X430))</f>
        <v/>
      </c>
      <c r="G430" s="10" t="str">
        <f>IF($X430="","",INDEX(Assessment!$J:$J,$X430))</f>
        <v/>
      </c>
      <c r="H430" s="10" t="str">
        <f>IF($X430="","",INDEX(Assessment!$L:$L,$X430))</f>
        <v/>
      </c>
      <c r="I430" s="10" t="str">
        <f>IF($X430="","",INDEX(Assessment!$N:$N,$X430))</f>
        <v/>
      </c>
      <c r="X430" t="str">
        <f>IF(414&lt;=$B$6,SMALL($Y$2:$Y$593,414),IF(414&lt;=$B$6+$B$7,SMALL($Z$2:$Z$593,414-$B$6),""))</f>
        <v/>
      </c>
      <c r="Y430" t="str">
        <f>IF(Assessment!$G430="Critical",ROW(Assessment!$G430),"")</f>
        <v/>
      </c>
      <c r="Z430" t="str">
        <f>IF(Assessment!$G430="High",ROW(Assessment!$G430),"")</f>
        <v/>
      </c>
    </row>
    <row r="431" spans="1:26" x14ac:dyDescent="0.25">
      <c r="A431" s="10" t="str">
        <f>IF($X431="","",415)</f>
        <v/>
      </c>
      <c r="B431" s="10" t="str">
        <f>IF($X431="","",INDEX(Assessment!$A:$A,$X431))</f>
        <v/>
      </c>
      <c r="C431" s="10" t="str">
        <f>IF($X431="","",INDEX(Assessment!$B:$B,$X431))</f>
        <v/>
      </c>
      <c r="D431" s="10" t="str">
        <f>IF($X431="","",INDEX(Assessment!$C:$C,$X431))</f>
        <v/>
      </c>
      <c r="E431" s="10" t="str">
        <f>IF($X431="","",INDEX(Assessment!$F:$F,$X431))</f>
        <v/>
      </c>
      <c r="F431" s="10" t="str">
        <f>IF($X431="","",INDEX(Assessment!$G:$G,$X431))</f>
        <v/>
      </c>
      <c r="G431" s="10" t="str">
        <f>IF($X431="","",INDEX(Assessment!$J:$J,$X431))</f>
        <v/>
      </c>
      <c r="H431" s="10" t="str">
        <f>IF($X431="","",INDEX(Assessment!$L:$L,$X431))</f>
        <v/>
      </c>
      <c r="I431" s="10" t="str">
        <f>IF($X431="","",INDEX(Assessment!$N:$N,$X431))</f>
        <v/>
      </c>
      <c r="X431" t="str">
        <f>IF(415&lt;=$B$6,SMALL($Y$2:$Y$593,415),IF(415&lt;=$B$6+$B$7,SMALL($Z$2:$Z$593,415-$B$6),""))</f>
        <v/>
      </c>
      <c r="Y431" t="str">
        <f>IF(Assessment!$G431="Critical",ROW(Assessment!$G431),"")</f>
        <v/>
      </c>
      <c r="Z431" t="str">
        <f>IF(Assessment!$G431="High",ROW(Assessment!$G431),"")</f>
        <v/>
      </c>
    </row>
    <row r="432" spans="1:26" x14ac:dyDescent="0.25">
      <c r="A432" s="10" t="str">
        <f>IF($X432="","",416)</f>
        <v/>
      </c>
      <c r="B432" s="10" t="str">
        <f>IF($X432="","",INDEX(Assessment!$A:$A,$X432))</f>
        <v/>
      </c>
      <c r="C432" s="10" t="str">
        <f>IF($X432="","",INDEX(Assessment!$B:$B,$X432))</f>
        <v/>
      </c>
      <c r="D432" s="10" t="str">
        <f>IF($X432="","",INDEX(Assessment!$C:$C,$X432))</f>
        <v/>
      </c>
      <c r="E432" s="10" t="str">
        <f>IF($X432="","",INDEX(Assessment!$F:$F,$X432))</f>
        <v/>
      </c>
      <c r="F432" s="10" t="str">
        <f>IF($X432="","",INDEX(Assessment!$G:$G,$X432))</f>
        <v/>
      </c>
      <c r="G432" s="10" t="str">
        <f>IF($X432="","",INDEX(Assessment!$J:$J,$X432))</f>
        <v/>
      </c>
      <c r="H432" s="10" t="str">
        <f>IF($X432="","",INDEX(Assessment!$L:$L,$X432))</f>
        <v/>
      </c>
      <c r="I432" s="10" t="str">
        <f>IF($X432="","",INDEX(Assessment!$N:$N,$X432))</f>
        <v/>
      </c>
      <c r="X432" t="str">
        <f>IF(416&lt;=$B$6,SMALL($Y$2:$Y$593,416),IF(416&lt;=$B$6+$B$7,SMALL($Z$2:$Z$593,416-$B$6),""))</f>
        <v/>
      </c>
      <c r="Y432" t="str">
        <f>IF(Assessment!$G432="Critical",ROW(Assessment!$G432),"")</f>
        <v/>
      </c>
      <c r="Z432">
        <f>IF(Assessment!$G432="High",ROW(Assessment!$G432),"")</f>
        <v>432</v>
      </c>
    </row>
    <row r="433" spans="1:26" x14ac:dyDescent="0.25">
      <c r="A433" s="10" t="str">
        <f>IF($X433="","",417)</f>
        <v/>
      </c>
      <c r="B433" s="10" t="str">
        <f>IF($X433="","",INDEX(Assessment!$A:$A,$X433))</f>
        <v/>
      </c>
      <c r="C433" s="10" t="str">
        <f>IF($X433="","",INDEX(Assessment!$B:$B,$X433))</f>
        <v/>
      </c>
      <c r="D433" s="10" t="str">
        <f>IF($X433="","",INDEX(Assessment!$C:$C,$X433))</f>
        <v/>
      </c>
      <c r="E433" s="10" t="str">
        <f>IF($X433="","",INDEX(Assessment!$F:$F,$X433))</f>
        <v/>
      </c>
      <c r="F433" s="10" t="str">
        <f>IF($X433="","",INDEX(Assessment!$G:$G,$X433))</f>
        <v/>
      </c>
      <c r="G433" s="10" t="str">
        <f>IF($X433="","",INDEX(Assessment!$J:$J,$X433))</f>
        <v/>
      </c>
      <c r="H433" s="10" t="str">
        <f>IF($X433="","",INDEX(Assessment!$L:$L,$X433))</f>
        <v/>
      </c>
      <c r="I433" s="10" t="str">
        <f>IF($X433="","",INDEX(Assessment!$N:$N,$X433))</f>
        <v/>
      </c>
      <c r="X433" t="str">
        <f>IF(417&lt;=$B$6,SMALL($Y$2:$Y$593,417),IF(417&lt;=$B$6+$B$7,SMALL($Z$2:$Z$593,417-$B$6),""))</f>
        <v/>
      </c>
      <c r="Y433" t="str">
        <f>IF(Assessment!$G433="Critical",ROW(Assessment!$G433),"")</f>
        <v/>
      </c>
      <c r="Z433">
        <f>IF(Assessment!$G433="High",ROW(Assessment!$G433),"")</f>
        <v>433</v>
      </c>
    </row>
    <row r="434" spans="1:26" x14ac:dyDescent="0.25">
      <c r="A434" s="10" t="str">
        <f>IF($X434="","",418)</f>
        <v/>
      </c>
      <c r="B434" s="10" t="str">
        <f>IF($X434="","",INDEX(Assessment!$A:$A,$X434))</f>
        <v/>
      </c>
      <c r="C434" s="10" t="str">
        <f>IF($X434="","",INDEX(Assessment!$B:$B,$X434))</f>
        <v/>
      </c>
      <c r="D434" s="10" t="str">
        <f>IF($X434="","",INDEX(Assessment!$C:$C,$X434))</f>
        <v/>
      </c>
      <c r="E434" s="10" t="str">
        <f>IF($X434="","",INDEX(Assessment!$F:$F,$X434))</f>
        <v/>
      </c>
      <c r="F434" s="10" t="str">
        <f>IF($X434="","",INDEX(Assessment!$G:$G,$X434))</f>
        <v/>
      </c>
      <c r="G434" s="10" t="str">
        <f>IF($X434="","",INDEX(Assessment!$J:$J,$X434))</f>
        <v/>
      </c>
      <c r="H434" s="10" t="str">
        <f>IF($X434="","",INDEX(Assessment!$L:$L,$X434))</f>
        <v/>
      </c>
      <c r="I434" s="10" t="str">
        <f>IF($X434="","",INDEX(Assessment!$N:$N,$X434))</f>
        <v/>
      </c>
      <c r="X434" t="str">
        <f>IF(418&lt;=$B$6,SMALL($Y$2:$Y$593,418),IF(418&lt;=$B$6+$B$7,SMALL($Z$2:$Z$593,418-$B$6),""))</f>
        <v/>
      </c>
      <c r="Y434" t="str">
        <f>IF(Assessment!$G434="Critical",ROW(Assessment!$G434),"")</f>
        <v/>
      </c>
      <c r="Z434" t="str">
        <f>IF(Assessment!$G434="High",ROW(Assessment!$G434),"")</f>
        <v/>
      </c>
    </row>
    <row r="435" spans="1:26" x14ac:dyDescent="0.25">
      <c r="A435" s="10" t="str">
        <f>IF($X435="","",419)</f>
        <v/>
      </c>
      <c r="B435" s="10" t="str">
        <f>IF($X435="","",INDEX(Assessment!$A:$A,$X435))</f>
        <v/>
      </c>
      <c r="C435" s="10" t="str">
        <f>IF($X435="","",INDEX(Assessment!$B:$B,$X435))</f>
        <v/>
      </c>
      <c r="D435" s="10" t="str">
        <f>IF($X435="","",INDEX(Assessment!$C:$C,$X435))</f>
        <v/>
      </c>
      <c r="E435" s="10" t="str">
        <f>IF($X435="","",INDEX(Assessment!$F:$F,$X435))</f>
        <v/>
      </c>
      <c r="F435" s="10" t="str">
        <f>IF($X435="","",INDEX(Assessment!$G:$G,$X435))</f>
        <v/>
      </c>
      <c r="G435" s="10" t="str">
        <f>IF($X435="","",INDEX(Assessment!$J:$J,$X435))</f>
        <v/>
      </c>
      <c r="H435" s="10" t="str">
        <f>IF($X435="","",INDEX(Assessment!$L:$L,$X435))</f>
        <v/>
      </c>
      <c r="I435" s="10" t="str">
        <f>IF($X435="","",INDEX(Assessment!$N:$N,$X435))</f>
        <v/>
      </c>
      <c r="X435" t="str">
        <f>IF(419&lt;=$B$6,SMALL($Y$2:$Y$593,419),IF(419&lt;=$B$6+$B$7,SMALL($Z$2:$Z$593,419-$B$6),""))</f>
        <v/>
      </c>
      <c r="Y435" t="str">
        <f>IF(Assessment!$G435="Critical",ROW(Assessment!$G435),"")</f>
        <v/>
      </c>
      <c r="Z435" t="str">
        <f>IF(Assessment!$G435="High",ROW(Assessment!$G435),"")</f>
        <v/>
      </c>
    </row>
    <row r="436" spans="1:26" x14ac:dyDescent="0.25">
      <c r="A436" s="10" t="str">
        <f>IF($X436="","",420)</f>
        <v/>
      </c>
      <c r="B436" s="10" t="str">
        <f>IF($X436="","",INDEX(Assessment!$A:$A,$X436))</f>
        <v/>
      </c>
      <c r="C436" s="10" t="str">
        <f>IF($X436="","",INDEX(Assessment!$B:$B,$X436))</f>
        <v/>
      </c>
      <c r="D436" s="10" t="str">
        <f>IF($X436="","",INDEX(Assessment!$C:$C,$X436))</f>
        <v/>
      </c>
      <c r="E436" s="10" t="str">
        <f>IF($X436="","",INDEX(Assessment!$F:$F,$X436))</f>
        <v/>
      </c>
      <c r="F436" s="10" t="str">
        <f>IF($X436="","",INDEX(Assessment!$G:$G,$X436))</f>
        <v/>
      </c>
      <c r="G436" s="10" t="str">
        <f>IF($X436="","",INDEX(Assessment!$J:$J,$X436))</f>
        <v/>
      </c>
      <c r="H436" s="10" t="str">
        <f>IF($X436="","",INDEX(Assessment!$L:$L,$X436))</f>
        <v/>
      </c>
      <c r="I436" s="10" t="str">
        <f>IF($X436="","",INDEX(Assessment!$N:$N,$X436))</f>
        <v/>
      </c>
      <c r="X436" t="str">
        <f>IF(420&lt;=$B$6,SMALL($Y$2:$Y$593,420),IF(420&lt;=$B$6+$B$7,SMALL($Z$2:$Z$593,420-$B$6),""))</f>
        <v/>
      </c>
      <c r="Y436" t="str">
        <f>IF(Assessment!$G436="Critical",ROW(Assessment!$G436),"")</f>
        <v/>
      </c>
      <c r="Z436">
        <f>IF(Assessment!$G436="High",ROW(Assessment!$G436),"")</f>
        <v>436</v>
      </c>
    </row>
    <row r="437" spans="1:26" x14ac:dyDescent="0.25">
      <c r="A437" s="10" t="str">
        <f>IF($X437="","",421)</f>
        <v/>
      </c>
      <c r="B437" s="10" t="str">
        <f>IF($X437="","",INDEX(Assessment!$A:$A,$X437))</f>
        <v/>
      </c>
      <c r="C437" s="10" t="str">
        <f>IF($X437="","",INDEX(Assessment!$B:$B,$X437))</f>
        <v/>
      </c>
      <c r="D437" s="10" t="str">
        <f>IF($X437="","",INDEX(Assessment!$C:$C,$X437))</f>
        <v/>
      </c>
      <c r="E437" s="10" t="str">
        <f>IF($X437="","",INDEX(Assessment!$F:$F,$X437))</f>
        <v/>
      </c>
      <c r="F437" s="10" t="str">
        <f>IF($X437="","",INDEX(Assessment!$G:$G,$X437))</f>
        <v/>
      </c>
      <c r="G437" s="10" t="str">
        <f>IF($X437="","",INDEX(Assessment!$J:$J,$X437))</f>
        <v/>
      </c>
      <c r="H437" s="10" t="str">
        <f>IF($X437="","",INDEX(Assessment!$L:$L,$X437))</f>
        <v/>
      </c>
      <c r="I437" s="10" t="str">
        <f>IF($X437="","",INDEX(Assessment!$N:$N,$X437))</f>
        <v/>
      </c>
      <c r="X437" t="str">
        <f>IF(421&lt;=$B$6,SMALL($Y$2:$Y$593,421),IF(421&lt;=$B$6+$B$7,SMALL($Z$2:$Z$593,421-$B$6),""))</f>
        <v/>
      </c>
      <c r="Y437" t="str">
        <f>IF(Assessment!$G437="Critical",ROW(Assessment!$G437),"")</f>
        <v/>
      </c>
      <c r="Z437" t="str">
        <f>IF(Assessment!$G437="High",ROW(Assessment!$G437),"")</f>
        <v/>
      </c>
    </row>
    <row r="438" spans="1:26" x14ac:dyDescent="0.25">
      <c r="A438" s="10" t="str">
        <f>IF($X438="","",422)</f>
        <v/>
      </c>
      <c r="B438" s="10" t="str">
        <f>IF($X438="","",INDEX(Assessment!$A:$A,$X438))</f>
        <v/>
      </c>
      <c r="C438" s="10" t="str">
        <f>IF($X438="","",INDEX(Assessment!$B:$B,$X438))</f>
        <v/>
      </c>
      <c r="D438" s="10" t="str">
        <f>IF($X438="","",INDEX(Assessment!$C:$C,$X438))</f>
        <v/>
      </c>
      <c r="E438" s="10" t="str">
        <f>IF($X438="","",INDEX(Assessment!$F:$F,$X438))</f>
        <v/>
      </c>
      <c r="F438" s="10" t="str">
        <f>IF($X438="","",INDEX(Assessment!$G:$G,$X438))</f>
        <v/>
      </c>
      <c r="G438" s="10" t="str">
        <f>IF($X438="","",INDEX(Assessment!$J:$J,$X438))</f>
        <v/>
      </c>
      <c r="H438" s="10" t="str">
        <f>IF($X438="","",INDEX(Assessment!$L:$L,$X438))</f>
        <v/>
      </c>
      <c r="I438" s="10" t="str">
        <f>IF($X438="","",INDEX(Assessment!$N:$N,$X438))</f>
        <v/>
      </c>
      <c r="X438" t="str">
        <f>IF(422&lt;=$B$6,SMALL($Y$2:$Y$593,422),IF(422&lt;=$B$6+$B$7,SMALL($Z$2:$Z$593,422-$B$6),""))</f>
        <v/>
      </c>
      <c r="Y438" t="str">
        <f>IF(Assessment!$G438="Critical",ROW(Assessment!$G438),"")</f>
        <v/>
      </c>
      <c r="Z438" t="str">
        <f>IF(Assessment!$G438="High",ROW(Assessment!$G438),"")</f>
        <v/>
      </c>
    </row>
    <row r="439" spans="1:26" x14ac:dyDescent="0.25">
      <c r="A439" s="10" t="str">
        <f>IF($X439="","",423)</f>
        <v/>
      </c>
      <c r="B439" s="10" t="str">
        <f>IF($X439="","",INDEX(Assessment!$A:$A,$X439))</f>
        <v/>
      </c>
      <c r="C439" s="10" t="str">
        <f>IF($X439="","",INDEX(Assessment!$B:$B,$X439))</f>
        <v/>
      </c>
      <c r="D439" s="10" t="str">
        <f>IF($X439="","",INDEX(Assessment!$C:$C,$X439))</f>
        <v/>
      </c>
      <c r="E439" s="10" t="str">
        <f>IF($X439="","",INDEX(Assessment!$F:$F,$X439))</f>
        <v/>
      </c>
      <c r="F439" s="10" t="str">
        <f>IF($X439="","",INDEX(Assessment!$G:$G,$X439))</f>
        <v/>
      </c>
      <c r="G439" s="10" t="str">
        <f>IF($X439="","",INDEX(Assessment!$J:$J,$X439))</f>
        <v/>
      </c>
      <c r="H439" s="10" t="str">
        <f>IF($X439="","",INDEX(Assessment!$L:$L,$X439))</f>
        <v/>
      </c>
      <c r="I439" s="10" t="str">
        <f>IF($X439="","",INDEX(Assessment!$N:$N,$X439))</f>
        <v/>
      </c>
      <c r="X439" t="str">
        <f>IF(423&lt;=$B$6,SMALL($Y$2:$Y$593,423),IF(423&lt;=$B$6+$B$7,SMALL($Z$2:$Z$593,423-$B$6),""))</f>
        <v/>
      </c>
      <c r="Y439" t="str">
        <f>IF(Assessment!$G439="Critical",ROW(Assessment!$G439),"")</f>
        <v/>
      </c>
      <c r="Z439" t="str">
        <f>IF(Assessment!$G439="High",ROW(Assessment!$G439),"")</f>
        <v/>
      </c>
    </row>
    <row r="440" spans="1:26" x14ac:dyDescent="0.25">
      <c r="A440" s="10" t="str">
        <f>IF($X440="","",424)</f>
        <v/>
      </c>
      <c r="B440" s="10" t="str">
        <f>IF($X440="","",INDEX(Assessment!$A:$A,$X440))</f>
        <v/>
      </c>
      <c r="C440" s="10" t="str">
        <f>IF($X440="","",INDEX(Assessment!$B:$B,$X440))</f>
        <v/>
      </c>
      <c r="D440" s="10" t="str">
        <f>IF($X440="","",INDEX(Assessment!$C:$C,$X440))</f>
        <v/>
      </c>
      <c r="E440" s="10" t="str">
        <f>IF($X440="","",INDEX(Assessment!$F:$F,$X440))</f>
        <v/>
      </c>
      <c r="F440" s="10" t="str">
        <f>IF($X440="","",INDEX(Assessment!$G:$G,$X440))</f>
        <v/>
      </c>
      <c r="G440" s="10" t="str">
        <f>IF($X440="","",INDEX(Assessment!$J:$J,$X440))</f>
        <v/>
      </c>
      <c r="H440" s="10" t="str">
        <f>IF($X440="","",INDEX(Assessment!$L:$L,$X440))</f>
        <v/>
      </c>
      <c r="I440" s="10" t="str">
        <f>IF($X440="","",INDEX(Assessment!$N:$N,$X440))</f>
        <v/>
      </c>
      <c r="X440" t="str">
        <f>IF(424&lt;=$B$6,SMALL($Y$2:$Y$593,424),IF(424&lt;=$B$6+$B$7,SMALL($Z$2:$Z$593,424-$B$6),""))</f>
        <v/>
      </c>
      <c r="Y440" t="str">
        <f>IF(Assessment!$G440="Critical",ROW(Assessment!$G440),"")</f>
        <v/>
      </c>
      <c r="Z440" t="str">
        <f>IF(Assessment!$G440="High",ROW(Assessment!$G440),"")</f>
        <v/>
      </c>
    </row>
    <row r="441" spans="1:26" x14ac:dyDescent="0.25">
      <c r="A441" s="10" t="str">
        <f>IF($X441="","",425)</f>
        <v/>
      </c>
      <c r="B441" s="10" t="str">
        <f>IF($X441="","",INDEX(Assessment!$A:$A,$X441))</f>
        <v/>
      </c>
      <c r="C441" s="10" t="str">
        <f>IF($X441="","",INDEX(Assessment!$B:$B,$X441))</f>
        <v/>
      </c>
      <c r="D441" s="10" t="str">
        <f>IF($X441="","",INDEX(Assessment!$C:$C,$X441))</f>
        <v/>
      </c>
      <c r="E441" s="10" t="str">
        <f>IF($X441="","",INDEX(Assessment!$F:$F,$X441))</f>
        <v/>
      </c>
      <c r="F441" s="10" t="str">
        <f>IF($X441="","",INDEX(Assessment!$G:$G,$X441))</f>
        <v/>
      </c>
      <c r="G441" s="10" t="str">
        <f>IF($X441="","",INDEX(Assessment!$J:$J,$X441))</f>
        <v/>
      </c>
      <c r="H441" s="10" t="str">
        <f>IF($X441="","",INDEX(Assessment!$L:$L,$X441))</f>
        <v/>
      </c>
      <c r="I441" s="10" t="str">
        <f>IF($X441="","",INDEX(Assessment!$N:$N,$X441))</f>
        <v/>
      </c>
      <c r="X441" t="str">
        <f>IF(425&lt;=$B$6,SMALL($Y$2:$Y$593,425),IF(425&lt;=$B$6+$B$7,SMALL($Z$2:$Z$593,425-$B$6),""))</f>
        <v/>
      </c>
      <c r="Y441" t="str">
        <f>IF(Assessment!$G441="Critical",ROW(Assessment!$G441),"")</f>
        <v/>
      </c>
      <c r="Z441" t="str">
        <f>IF(Assessment!$G441="High",ROW(Assessment!$G441),"")</f>
        <v/>
      </c>
    </row>
    <row r="442" spans="1:26" x14ac:dyDescent="0.25">
      <c r="A442" s="10" t="str">
        <f>IF($X442="","",426)</f>
        <v/>
      </c>
      <c r="B442" s="10" t="str">
        <f>IF($X442="","",INDEX(Assessment!$A:$A,$X442))</f>
        <v/>
      </c>
      <c r="C442" s="10" t="str">
        <f>IF($X442="","",INDEX(Assessment!$B:$B,$X442))</f>
        <v/>
      </c>
      <c r="D442" s="10" t="str">
        <f>IF($X442="","",INDEX(Assessment!$C:$C,$X442))</f>
        <v/>
      </c>
      <c r="E442" s="10" t="str">
        <f>IF($X442="","",INDEX(Assessment!$F:$F,$X442))</f>
        <v/>
      </c>
      <c r="F442" s="10" t="str">
        <f>IF($X442="","",INDEX(Assessment!$G:$G,$X442))</f>
        <v/>
      </c>
      <c r="G442" s="10" t="str">
        <f>IF($X442="","",INDEX(Assessment!$J:$J,$X442))</f>
        <v/>
      </c>
      <c r="H442" s="10" t="str">
        <f>IF($X442="","",INDEX(Assessment!$L:$L,$X442))</f>
        <v/>
      </c>
      <c r="I442" s="10" t="str">
        <f>IF($X442="","",INDEX(Assessment!$N:$N,$X442))</f>
        <v/>
      </c>
      <c r="X442" t="str">
        <f>IF(426&lt;=$B$6,SMALL($Y$2:$Y$593,426),IF(426&lt;=$B$6+$B$7,SMALL($Z$2:$Z$593,426-$B$6),""))</f>
        <v/>
      </c>
      <c r="Y442" t="str">
        <f>IF(Assessment!$G442="Critical",ROW(Assessment!$G442),"")</f>
        <v/>
      </c>
      <c r="Z442" t="str">
        <f>IF(Assessment!$G442="High",ROW(Assessment!$G442),"")</f>
        <v/>
      </c>
    </row>
    <row r="443" spans="1:26" x14ac:dyDescent="0.25">
      <c r="A443" s="10" t="str">
        <f>IF($X443="","",427)</f>
        <v/>
      </c>
      <c r="B443" s="10" t="str">
        <f>IF($X443="","",INDEX(Assessment!$A:$A,$X443))</f>
        <v/>
      </c>
      <c r="C443" s="10" t="str">
        <f>IF($X443="","",INDEX(Assessment!$B:$B,$X443))</f>
        <v/>
      </c>
      <c r="D443" s="10" t="str">
        <f>IF($X443="","",INDEX(Assessment!$C:$C,$X443))</f>
        <v/>
      </c>
      <c r="E443" s="10" t="str">
        <f>IF($X443="","",INDEX(Assessment!$F:$F,$X443))</f>
        <v/>
      </c>
      <c r="F443" s="10" t="str">
        <f>IF($X443="","",INDEX(Assessment!$G:$G,$X443))</f>
        <v/>
      </c>
      <c r="G443" s="10" t="str">
        <f>IF($X443="","",INDEX(Assessment!$J:$J,$X443))</f>
        <v/>
      </c>
      <c r="H443" s="10" t="str">
        <f>IF($X443="","",INDEX(Assessment!$L:$L,$X443))</f>
        <v/>
      </c>
      <c r="I443" s="10" t="str">
        <f>IF($X443="","",INDEX(Assessment!$N:$N,$X443))</f>
        <v/>
      </c>
      <c r="X443" t="str">
        <f>IF(427&lt;=$B$6,SMALL($Y$2:$Y$593,427),IF(427&lt;=$B$6+$B$7,SMALL($Z$2:$Z$593,427-$B$6),""))</f>
        <v/>
      </c>
      <c r="Y443" t="str">
        <f>IF(Assessment!$G443="Critical",ROW(Assessment!$G443),"")</f>
        <v/>
      </c>
      <c r="Z443" t="str">
        <f>IF(Assessment!$G443="High",ROW(Assessment!$G443),"")</f>
        <v/>
      </c>
    </row>
    <row r="444" spans="1:26" x14ac:dyDescent="0.25">
      <c r="A444" s="10" t="str">
        <f>IF($X444="","",428)</f>
        <v/>
      </c>
      <c r="B444" s="10" t="str">
        <f>IF($X444="","",INDEX(Assessment!$A:$A,$X444))</f>
        <v/>
      </c>
      <c r="C444" s="10" t="str">
        <f>IF($X444="","",INDEX(Assessment!$B:$B,$X444))</f>
        <v/>
      </c>
      <c r="D444" s="10" t="str">
        <f>IF($X444="","",INDEX(Assessment!$C:$C,$X444))</f>
        <v/>
      </c>
      <c r="E444" s="10" t="str">
        <f>IF($X444="","",INDEX(Assessment!$F:$F,$X444))</f>
        <v/>
      </c>
      <c r="F444" s="10" t="str">
        <f>IF($X444="","",INDEX(Assessment!$G:$G,$X444))</f>
        <v/>
      </c>
      <c r="G444" s="10" t="str">
        <f>IF($X444="","",INDEX(Assessment!$J:$J,$X444))</f>
        <v/>
      </c>
      <c r="H444" s="10" t="str">
        <f>IF($X444="","",INDEX(Assessment!$L:$L,$X444))</f>
        <v/>
      </c>
      <c r="I444" s="10" t="str">
        <f>IF($X444="","",INDEX(Assessment!$N:$N,$X444))</f>
        <v/>
      </c>
      <c r="X444" t="str">
        <f>IF(428&lt;=$B$6,SMALL($Y$2:$Y$593,428),IF(428&lt;=$B$6+$B$7,SMALL($Z$2:$Z$593,428-$B$6),""))</f>
        <v/>
      </c>
      <c r="Y444" t="str">
        <f>IF(Assessment!$G444="Critical",ROW(Assessment!$G444),"")</f>
        <v/>
      </c>
      <c r="Z444" t="str">
        <f>IF(Assessment!$G444="High",ROW(Assessment!$G444),"")</f>
        <v/>
      </c>
    </row>
    <row r="445" spans="1:26" x14ac:dyDescent="0.25">
      <c r="A445" s="10" t="str">
        <f>IF($X445="","",429)</f>
        <v/>
      </c>
      <c r="B445" s="10" t="str">
        <f>IF($X445="","",INDEX(Assessment!$A:$A,$X445))</f>
        <v/>
      </c>
      <c r="C445" s="10" t="str">
        <f>IF($X445="","",INDEX(Assessment!$B:$B,$X445))</f>
        <v/>
      </c>
      <c r="D445" s="10" t="str">
        <f>IF($X445="","",INDEX(Assessment!$C:$C,$X445))</f>
        <v/>
      </c>
      <c r="E445" s="10" t="str">
        <f>IF($X445="","",INDEX(Assessment!$F:$F,$X445))</f>
        <v/>
      </c>
      <c r="F445" s="10" t="str">
        <f>IF($X445="","",INDEX(Assessment!$G:$G,$X445))</f>
        <v/>
      </c>
      <c r="G445" s="10" t="str">
        <f>IF($X445="","",INDEX(Assessment!$J:$J,$X445))</f>
        <v/>
      </c>
      <c r="H445" s="10" t="str">
        <f>IF($X445="","",INDEX(Assessment!$L:$L,$X445))</f>
        <v/>
      </c>
      <c r="I445" s="10" t="str">
        <f>IF($X445="","",INDEX(Assessment!$N:$N,$X445))</f>
        <v/>
      </c>
      <c r="X445" t="str">
        <f>IF(429&lt;=$B$6,SMALL($Y$2:$Y$593,429),IF(429&lt;=$B$6+$B$7,SMALL($Z$2:$Z$593,429-$B$6),""))</f>
        <v/>
      </c>
      <c r="Y445" t="str">
        <f>IF(Assessment!$G445="Critical",ROW(Assessment!$G445),"")</f>
        <v/>
      </c>
      <c r="Z445" t="str">
        <f>IF(Assessment!$G445="High",ROW(Assessment!$G445),"")</f>
        <v/>
      </c>
    </row>
    <row r="446" spans="1:26" x14ac:dyDescent="0.25">
      <c r="A446" s="10" t="str">
        <f>IF($X446="","",430)</f>
        <v/>
      </c>
      <c r="B446" s="10" t="str">
        <f>IF($X446="","",INDEX(Assessment!$A:$A,$X446))</f>
        <v/>
      </c>
      <c r="C446" s="10" t="str">
        <f>IF($X446="","",INDEX(Assessment!$B:$B,$X446))</f>
        <v/>
      </c>
      <c r="D446" s="10" t="str">
        <f>IF($X446="","",INDEX(Assessment!$C:$C,$X446))</f>
        <v/>
      </c>
      <c r="E446" s="10" t="str">
        <f>IF($X446="","",INDEX(Assessment!$F:$F,$X446))</f>
        <v/>
      </c>
      <c r="F446" s="10" t="str">
        <f>IF($X446="","",INDEX(Assessment!$G:$G,$X446))</f>
        <v/>
      </c>
      <c r="G446" s="10" t="str">
        <f>IF($X446="","",INDEX(Assessment!$J:$J,$X446))</f>
        <v/>
      </c>
      <c r="H446" s="10" t="str">
        <f>IF($X446="","",INDEX(Assessment!$L:$L,$X446))</f>
        <v/>
      </c>
      <c r="I446" s="10" t="str">
        <f>IF($X446="","",INDEX(Assessment!$N:$N,$X446))</f>
        <v/>
      </c>
      <c r="X446" t="str">
        <f>IF(430&lt;=$B$6,SMALL($Y$2:$Y$593,430),IF(430&lt;=$B$6+$B$7,SMALL($Z$2:$Z$593,430-$B$6),""))</f>
        <v/>
      </c>
      <c r="Y446" t="str">
        <f>IF(Assessment!$G446="Critical",ROW(Assessment!$G446),"")</f>
        <v/>
      </c>
      <c r="Z446" t="str">
        <f>IF(Assessment!$G446="High",ROW(Assessment!$G446),"")</f>
        <v/>
      </c>
    </row>
    <row r="447" spans="1:26" x14ac:dyDescent="0.25">
      <c r="A447" s="10" t="str">
        <f>IF($X447="","",431)</f>
        <v/>
      </c>
      <c r="B447" s="10" t="str">
        <f>IF($X447="","",INDEX(Assessment!$A:$A,$X447))</f>
        <v/>
      </c>
      <c r="C447" s="10" t="str">
        <f>IF($X447="","",INDEX(Assessment!$B:$B,$X447))</f>
        <v/>
      </c>
      <c r="D447" s="10" t="str">
        <f>IF($X447="","",INDEX(Assessment!$C:$C,$X447))</f>
        <v/>
      </c>
      <c r="E447" s="10" t="str">
        <f>IF($X447="","",INDEX(Assessment!$F:$F,$X447))</f>
        <v/>
      </c>
      <c r="F447" s="10" t="str">
        <f>IF($X447="","",INDEX(Assessment!$G:$G,$X447))</f>
        <v/>
      </c>
      <c r="G447" s="10" t="str">
        <f>IF($X447="","",INDEX(Assessment!$J:$J,$X447))</f>
        <v/>
      </c>
      <c r="H447" s="10" t="str">
        <f>IF($X447="","",INDEX(Assessment!$L:$L,$X447))</f>
        <v/>
      </c>
      <c r="I447" s="10" t="str">
        <f>IF($X447="","",INDEX(Assessment!$N:$N,$X447))</f>
        <v/>
      </c>
      <c r="X447" t="str">
        <f>IF(431&lt;=$B$6,SMALL($Y$2:$Y$593,431),IF(431&lt;=$B$6+$B$7,SMALL($Z$2:$Z$593,431-$B$6),""))</f>
        <v/>
      </c>
      <c r="Y447" t="str">
        <f>IF(Assessment!$G447="Critical",ROW(Assessment!$G447),"")</f>
        <v/>
      </c>
      <c r="Z447" t="str">
        <f>IF(Assessment!$G447="High",ROW(Assessment!$G447),"")</f>
        <v/>
      </c>
    </row>
    <row r="448" spans="1:26" x14ac:dyDescent="0.25">
      <c r="A448" s="10" t="str">
        <f>IF($X448="","",432)</f>
        <v/>
      </c>
      <c r="B448" s="10" t="str">
        <f>IF($X448="","",INDEX(Assessment!$A:$A,$X448))</f>
        <v/>
      </c>
      <c r="C448" s="10" t="str">
        <f>IF($X448="","",INDEX(Assessment!$B:$B,$X448))</f>
        <v/>
      </c>
      <c r="D448" s="10" t="str">
        <f>IF($X448="","",INDEX(Assessment!$C:$C,$X448))</f>
        <v/>
      </c>
      <c r="E448" s="10" t="str">
        <f>IF($X448="","",INDEX(Assessment!$F:$F,$X448))</f>
        <v/>
      </c>
      <c r="F448" s="10" t="str">
        <f>IF($X448="","",INDEX(Assessment!$G:$G,$X448))</f>
        <v/>
      </c>
      <c r="G448" s="10" t="str">
        <f>IF($X448="","",INDEX(Assessment!$J:$J,$X448))</f>
        <v/>
      </c>
      <c r="H448" s="10" t="str">
        <f>IF($X448="","",INDEX(Assessment!$L:$L,$X448))</f>
        <v/>
      </c>
      <c r="I448" s="10" t="str">
        <f>IF($X448="","",INDEX(Assessment!$N:$N,$X448))</f>
        <v/>
      </c>
      <c r="X448" t="str">
        <f>IF(432&lt;=$B$6,SMALL($Y$2:$Y$593,432),IF(432&lt;=$B$6+$B$7,SMALL($Z$2:$Z$593,432-$B$6),""))</f>
        <v/>
      </c>
      <c r="Y448" t="str">
        <f>IF(Assessment!$G448="Critical",ROW(Assessment!$G448),"")</f>
        <v/>
      </c>
      <c r="Z448" t="str">
        <f>IF(Assessment!$G448="High",ROW(Assessment!$G448),"")</f>
        <v/>
      </c>
    </row>
    <row r="449" spans="1:26" x14ac:dyDescent="0.25">
      <c r="A449" s="10" t="str">
        <f>IF($X449="","",433)</f>
        <v/>
      </c>
      <c r="B449" s="10" t="str">
        <f>IF($X449="","",INDEX(Assessment!$A:$A,$X449))</f>
        <v/>
      </c>
      <c r="C449" s="10" t="str">
        <f>IF($X449="","",INDEX(Assessment!$B:$B,$X449))</f>
        <v/>
      </c>
      <c r="D449" s="10" t="str">
        <f>IF($X449="","",INDEX(Assessment!$C:$C,$X449))</f>
        <v/>
      </c>
      <c r="E449" s="10" t="str">
        <f>IF($X449="","",INDEX(Assessment!$F:$F,$X449))</f>
        <v/>
      </c>
      <c r="F449" s="10" t="str">
        <f>IF($X449="","",INDEX(Assessment!$G:$G,$X449))</f>
        <v/>
      </c>
      <c r="G449" s="10" t="str">
        <f>IF($X449="","",INDEX(Assessment!$J:$J,$X449))</f>
        <v/>
      </c>
      <c r="H449" s="10" t="str">
        <f>IF($X449="","",INDEX(Assessment!$L:$L,$X449))</f>
        <v/>
      </c>
      <c r="I449" s="10" t="str">
        <f>IF($X449="","",INDEX(Assessment!$N:$N,$X449))</f>
        <v/>
      </c>
      <c r="X449" t="str">
        <f>IF(433&lt;=$B$6,SMALL($Y$2:$Y$593,433),IF(433&lt;=$B$6+$B$7,SMALL($Z$2:$Z$593,433-$B$6),""))</f>
        <v/>
      </c>
      <c r="Y449" t="str">
        <f>IF(Assessment!$G449="Critical",ROW(Assessment!$G449),"")</f>
        <v/>
      </c>
      <c r="Z449" t="str">
        <f>IF(Assessment!$G449="High",ROW(Assessment!$G449),"")</f>
        <v/>
      </c>
    </row>
    <row r="450" spans="1:26" x14ac:dyDescent="0.25">
      <c r="A450" s="10" t="str">
        <f>IF($X450="","",434)</f>
        <v/>
      </c>
      <c r="B450" s="10" t="str">
        <f>IF($X450="","",INDEX(Assessment!$A:$A,$X450))</f>
        <v/>
      </c>
      <c r="C450" s="10" t="str">
        <f>IF($X450="","",INDEX(Assessment!$B:$B,$X450))</f>
        <v/>
      </c>
      <c r="D450" s="10" t="str">
        <f>IF($X450="","",INDEX(Assessment!$C:$C,$X450))</f>
        <v/>
      </c>
      <c r="E450" s="10" t="str">
        <f>IF($X450="","",INDEX(Assessment!$F:$F,$X450))</f>
        <v/>
      </c>
      <c r="F450" s="10" t="str">
        <f>IF($X450="","",INDEX(Assessment!$G:$G,$X450))</f>
        <v/>
      </c>
      <c r="G450" s="10" t="str">
        <f>IF($X450="","",INDEX(Assessment!$J:$J,$X450))</f>
        <v/>
      </c>
      <c r="H450" s="10" t="str">
        <f>IF($X450="","",INDEX(Assessment!$L:$L,$X450))</f>
        <v/>
      </c>
      <c r="I450" s="10" t="str">
        <f>IF($X450="","",INDEX(Assessment!$N:$N,$X450))</f>
        <v/>
      </c>
      <c r="X450" t="str">
        <f>IF(434&lt;=$B$6,SMALL($Y$2:$Y$593,434),IF(434&lt;=$B$6+$B$7,SMALL($Z$2:$Z$593,434-$B$6),""))</f>
        <v/>
      </c>
      <c r="Y450" t="str">
        <f>IF(Assessment!$G450="Critical",ROW(Assessment!$G450),"")</f>
        <v/>
      </c>
      <c r="Z450" t="str">
        <f>IF(Assessment!$G450="High",ROW(Assessment!$G450),"")</f>
        <v/>
      </c>
    </row>
    <row r="451" spans="1:26" x14ac:dyDescent="0.25">
      <c r="A451" s="10" t="str">
        <f>IF($X451="","",435)</f>
        <v/>
      </c>
      <c r="B451" s="10" t="str">
        <f>IF($X451="","",INDEX(Assessment!$A:$A,$X451))</f>
        <v/>
      </c>
      <c r="C451" s="10" t="str">
        <f>IF($X451="","",INDEX(Assessment!$B:$B,$X451))</f>
        <v/>
      </c>
      <c r="D451" s="10" t="str">
        <f>IF($X451="","",INDEX(Assessment!$C:$C,$X451))</f>
        <v/>
      </c>
      <c r="E451" s="10" t="str">
        <f>IF($X451="","",INDEX(Assessment!$F:$F,$X451))</f>
        <v/>
      </c>
      <c r="F451" s="10" t="str">
        <f>IF($X451="","",INDEX(Assessment!$G:$G,$X451))</f>
        <v/>
      </c>
      <c r="G451" s="10" t="str">
        <f>IF($X451="","",INDEX(Assessment!$J:$J,$X451))</f>
        <v/>
      </c>
      <c r="H451" s="10" t="str">
        <f>IF($X451="","",INDEX(Assessment!$L:$L,$X451))</f>
        <v/>
      </c>
      <c r="I451" s="10" t="str">
        <f>IF($X451="","",INDEX(Assessment!$N:$N,$X451))</f>
        <v/>
      </c>
      <c r="X451" t="str">
        <f>IF(435&lt;=$B$6,SMALL($Y$2:$Y$593,435),IF(435&lt;=$B$6+$B$7,SMALL($Z$2:$Z$593,435-$B$6),""))</f>
        <v/>
      </c>
      <c r="Y451" t="str">
        <f>IF(Assessment!$G451="Critical",ROW(Assessment!$G451),"")</f>
        <v/>
      </c>
      <c r="Z451" t="str">
        <f>IF(Assessment!$G451="High",ROW(Assessment!$G451),"")</f>
        <v/>
      </c>
    </row>
    <row r="452" spans="1:26" x14ac:dyDescent="0.25">
      <c r="A452" s="10" t="str">
        <f>IF($X452="","",436)</f>
        <v/>
      </c>
      <c r="B452" s="10" t="str">
        <f>IF($X452="","",INDEX(Assessment!$A:$A,$X452))</f>
        <v/>
      </c>
      <c r="C452" s="10" t="str">
        <f>IF($X452="","",INDEX(Assessment!$B:$B,$X452))</f>
        <v/>
      </c>
      <c r="D452" s="10" t="str">
        <f>IF($X452="","",INDEX(Assessment!$C:$C,$X452))</f>
        <v/>
      </c>
      <c r="E452" s="10" t="str">
        <f>IF($X452="","",INDEX(Assessment!$F:$F,$X452))</f>
        <v/>
      </c>
      <c r="F452" s="10" t="str">
        <f>IF($X452="","",INDEX(Assessment!$G:$G,$X452))</f>
        <v/>
      </c>
      <c r="G452" s="10" t="str">
        <f>IF($X452="","",INDEX(Assessment!$J:$J,$X452))</f>
        <v/>
      </c>
      <c r="H452" s="10" t="str">
        <f>IF($X452="","",INDEX(Assessment!$L:$L,$X452))</f>
        <v/>
      </c>
      <c r="I452" s="10" t="str">
        <f>IF($X452="","",INDEX(Assessment!$N:$N,$X452))</f>
        <v/>
      </c>
      <c r="X452" t="str">
        <f>IF(436&lt;=$B$6,SMALL($Y$2:$Y$593,436),IF(436&lt;=$B$6+$B$7,SMALL($Z$2:$Z$593,436-$B$6),""))</f>
        <v/>
      </c>
      <c r="Y452" t="str">
        <f>IF(Assessment!$G452="Critical",ROW(Assessment!$G452),"")</f>
        <v/>
      </c>
      <c r="Z452" t="str">
        <f>IF(Assessment!$G452="High",ROW(Assessment!$G452),"")</f>
        <v/>
      </c>
    </row>
    <row r="453" spans="1:26" x14ac:dyDescent="0.25">
      <c r="A453" s="10" t="str">
        <f>IF($X453="","",437)</f>
        <v/>
      </c>
      <c r="B453" s="10" t="str">
        <f>IF($X453="","",INDEX(Assessment!$A:$A,$X453))</f>
        <v/>
      </c>
      <c r="C453" s="10" t="str">
        <f>IF($X453="","",INDEX(Assessment!$B:$B,$X453))</f>
        <v/>
      </c>
      <c r="D453" s="10" t="str">
        <f>IF($X453="","",INDEX(Assessment!$C:$C,$X453))</f>
        <v/>
      </c>
      <c r="E453" s="10" t="str">
        <f>IF($X453="","",INDEX(Assessment!$F:$F,$X453))</f>
        <v/>
      </c>
      <c r="F453" s="10" t="str">
        <f>IF($X453="","",INDEX(Assessment!$G:$G,$X453))</f>
        <v/>
      </c>
      <c r="G453" s="10" t="str">
        <f>IF($X453="","",INDEX(Assessment!$J:$J,$X453))</f>
        <v/>
      </c>
      <c r="H453" s="10" t="str">
        <f>IF($X453="","",INDEX(Assessment!$L:$L,$X453))</f>
        <v/>
      </c>
      <c r="I453" s="10" t="str">
        <f>IF($X453="","",INDEX(Assessment!$N:$N,$X453))</f>
        <v/>
      </c>
      <c r="X453" t="str">
        <f>IF(437&lt;=$B$6,SMALL($Y$2:$Y$593,437),IF(437&lt;=$B$6+$B$7,SMALL($Z$2:$Z$593,437-$B$6),""))</f>
        <v/>
      </c>
      <c r="Y453" t="str">
        <f>IF(Assessment!$G453="Critical",ROW(Assessment!$G453),"")</f>
        <v/>
      </c>
      <c r="Z453" t="str">
        <f>IF(Assessment!$G453="High",ROW(Assessment!$G453),"")</f>
        <v/>
      </c>
    </row>
    <row r="454" spans="1:26" x14ac:dyDescent="0.25">
      <c r="A454" s="10" t="str">
        <f>IF($X454="","",438)</f>
        <v/>
      </c>
      <c r="B454" s="10" t="str">
        <f>IF($X454="","",INDEX(Assessment!$A:$A,$X454))</f>
        <v/>
      </c>
      <c r="C454" s="10" t="str">
        <f>IF($X454="","",INDEX(Assessment!$B:$B,$X454))</f>
        <v/>
      </c>
      <c r="D454" s="10" t="str">
        <f>IF($X454="","",INDEX(Assessment!$C:$C,$X454))</f>
        <v/>
      </c>
      <c r="E454" s="10" t="str">
        <f>IF($X454="","",INDEX(Assessment!$F:$F,$X454))</f>
        <v/>
      </c>
      <c r="F454" s="10" t="str">
        <f>IF($X454="","",INDEX(Assessment!$G:$G,$X454))</f>
        <v/>
      </c>
      <c r="G454" s="10" t="str">
        <f>IF($X454="","",INDEX(Assessment!$J:$J,$X454))</f>
        <v/>
      </c>
      <c r="H454" s="10" t="str">
        <f>IF($X454="","",INDEX(Assessment!$L:$L,$X454))</f>
        <v/>
      </c>
      <c r="I454" s="10" t="str">
        <f>IF($X454="","",INDEX(Assessment!$N:$N,$X454))</f>
        <v/>
      </c>
      <c r="X454" t="str">
        <f>IF(438&lt;=$B$6,SMALL($Y$2:$Y$593,438),IF(438&lt;=$B$6+$B$7,SMALL($Z$2:$Z$593,438-$B$6),""))</f>
        <v/>
      </c>
      <c r="Y454" t="str">
        <f>IF(Assessment!$G454="Critical",ROW(Assessment!$G454),"")</f>
        <v/>
      </c>
      <c r="Z454" t="str">
        <f>IF(Assessment!$G454="High",ROW(Assessment!$G454),"")</f>
        <v/>
      </c>
    </row>
    <row r="455" spans="1:26" x14ac:dyDescent="0.25">
      <c r="A455" s="10" t="str">
        <f>IF($X455="","",439)</f>
        <v/>
      </c>
      <c r="B455" s="10" t="str">
        <f>IF($X455="","",INDEX(Assessment!$A:$A,$X455))</f>
        <v/>
      </c>
      <c r="C455" s="10" t="str">
        <f>IF($X455="","",INDEX(Assessment!$B:$B,$X455))</f>
        <v/>
      </c>
      <c r="D455" s="10" t="str">
        <f>IF($X455="","",INDEX(Assessment!$C:$C,$X455))</f>
        <v/>
      </c>
      <c r="E455" s="10" t="str">
        <f>IF($X455="","",INDEX(Assessment!$F:$F,$X455))</f>
        <v/>
      </c>
      <c r="F455" s="10" t="str">
        <f>IF($X455="","",INDEX(Assessment!$G:$G,$X455))</f>
        <v/>
      </c>
      <c r="G455" s="10" t="str">
        <f>IF($X455="","",INDEX(Assessment!$J:$J,$X455))</f>
        <v/>
      </c>
      <c r="H455" s="10" t="str">
        <f>IF($X455="","",INDEX(Assessment!$L:$L,$X455))</f>
        <v/>
      </c>
      <c r="I455" s="10" t="str">
        <f>IF($X455="","",INDEX(Assessment!$N:$N,$X455))</f>
        <v/>
      </c>
      <c r="X455" t="str">
        <f>IF(439&lt;=$B$6,SMALL($Y$2:$Y$593,439),IF(439&lt;=$B$6+$B$7,SMALL($Z$2:$Z$593,439-$B$6),""))</f>
        <v/>
      </c>
      <c r="Y455" t="str">
        <f>IF(Assessment!$G455="Critical",ROW(Assessment!$G455),"")</f>
        <v/>
      </c>
      <c r="Z455" t="str">
        <f>IF(Assessment!$G455="High",ROW(Assessment!$G455),"")</f>
        <v/>
      </c>
    </row>
    <row r="456" spans="1:26" x14ac:dyDescent="0.25">
      <c r="A456" s="10" t="str">
        <f>IF($X456="","",440)</f>
        <v/>
      </c>
      <c r="B456" s="10" t="str">
        <f>IF($X456="","",INDEX(Assessment!$A:$A,$X456))</f>
        <v/>
      </c>
      <c r="C456" s="10" t="str">
        <f>IF($X456="","",INDEX(Assessment!$B:$B,$X456))</f>
        <v/>
      </c>
      <c r="D456" s="10" t="str">
        <f>IF($X456="","",INDEX(Assessment!$C:$C,$X456))</f>
        <v/>
      </c>
      <c r="E456" s="10" t="str">
        <f>IF($X456="","",INDEX(Assessment!$F:$F,$X456))</f>
        <v/>
      </c>
      <c r="F456" s="10" t="str">
        <f>IF($X456="","",INDEX(Assessment!$G:$G,$X456))</f>
        <v/>
      </c>
      <c r="G456" s="10" t="str">
        <f>IF($X456="","",INDEX(Assessment!$J:$J,$X456))</f>
        <v/>
      </c>
      <c r="H456" s="10" t="str">
        <f>IF($X456="","",INDEX(Assessment!$L:$L,$X456))</f>
        <v/>
      </c>
      <c r="I456" s="10" t="str">
        <f>IF($X456="","",INDEX(Assessment!$N:$N,$X456))</f>
        <v/>
      </c>
      <c r="X456" t="str">
        <f>IF(440&lt;=$B$6,SMALL($Y$2:$Y$593,440),IF(440&lt;=$B$6+$B$7,SMALL($Z$2:$Z$593,440-$B$6),""))</f>
        <v/>
      </c>
      <c r="Y456" t="str">
        <f>IF(Assessment!$G456="Critical",ROW(Assessment!$G456),"")</f>
        <v/>
      </c>
      <c r="Z456" t="str">
        <f>IF(Assessment!$G456="High",ROW(Assessment!$G456),"")</f>
        <v/>
      </c>
    </row>
    <row r="457" spans="1:26" x14ac:dyDescent="0.25">
      <c r="A457" s="10" t="str">
        <f>IF($X457="","",441)</f>
        <v/>
      </c>
      <c r="B457" s="10" t="str">
        <f>IF($X457="","",INDEX(Assessment!$A:$A,$X457))</f>
        <v/>
      </c>
      <c r="C457" s="10" t="str">
        <f>IF($X457="","",INDEX(Assessment!$B:$B,$X457))</f>
        <v/>
      </c>
      <c r="D457" s="10" t="str">
        <f>IF($X457="","",INDEX(Assessment!$C:$C,$X457))</f>
        <v/>
      </c>
      <c r="E457" s="10" t="str">
        <f>IF($X457="","",INDEX(Assessment!$F:$F,$X457))</f>
        <v/>
      </c>
      <c r="F457" s="10" t="str">
        <f>IF($X457="","",INDEX(Assessment!$G:$G,$X457))</f>
        <v/>
      </c>
      <c r="G457" s="10" t="str">
        <f>IF($X457="","",INDEX(Assessment!$J:$J,$X457))</f>
        <v/>
      </c>
      <c r="H457" s="10" t="str">
        <f>IF($X457="","",INDEX(Assessment!$L:$L,$X457))</f>
        <v/>
      </c>
      <c r="I457" s="10" t="str">
        <f>IF($X457="","",INDEX(Assessment!$N:$N,$X457))</f>
        <v/>
      </c>
      <c r="X457" t="str">
        <f>IF(441&lt;=$B$6,SMALL($Y$2:$Y$593,441),IF(441&lt;=$B$6+$B$7,SMALL($Z$2:$Z$593,441-$B$6),""))</f>
        <v/>
      </c>
      <c r="Y457" t="str">
        <f>IF(Assessment!$G457="Critical",ROW(Assessment!$G457),"")</f>
        <v/>
      </c>
      <c r="Z457" t="str">
        <f>IF(Assessment!$G457="High",ROW(Assessment!$G457),"")</f>
        <v/>
      </c>
    </row>
    <row r="458" spans="1:26" x14ac:dyDescent="0.25">
      <c r="A458" s="10" t="str">
        <f>IF($X458="","",442)</f>
        <v/>
      </c>
      <c r="B458" s="10" t="str">
        <f>IF($X458="","",INDEX(Assessment!$A:$A,$X458))</f>
        <v/>
      </c>
      <c r="C458" s="10" t="str">
        <f>IF($X458="","",INDEX(Assessment!$B:$B,$X458))</f>
        <v/>
      </c>
      <c r="D458" s="10" t="str">
        <f>IF($X458="","",INDEX(Assessment!$C:$C,$X458))</f>
        <v/>
      </c>
      <c r="E458" s="10" t="str">
        <f>IF($X458="","",INDEX(Assessment!$F:$F,$X458))</f>
        <v/>
      </c>
      <c r="F458" s="10" t="str">
        <f>IF($X458="","",INDEX(Assessment!$G:$G,$X458))</f>
        <v/>
      </c>
      <c r="G458" s="10" t="str">
        <f>IF($X458="","",INDEX(Assessment!$J:$J,$X458))</f>
        <v/>
      </c>
      <c r="H458" s="10" t="str">
        <f>IF($X458="","",INDEX(Assessment!$L:$L,$X458))</f>
        <v/>
      </c>
      <c r="I458" s="10" t="str">
        <f>IF($X458="","",INDEX(Assessment!$N:$N,$X458))</f>
        <v/>
      </c>
      <c r="X458" t="str">
        <f>IF(442&lt;=$B$6,SMALL($Y$2:$Y$593,442),IF(442&lt;=$B$6+$B$7,SMALL($Z$2:$Z$593,442-$B$6),""))</f>
        <v/>
      </c>
      <c r="Y458" t="str">
        <f>IF(Assessment!$G458="Critical",ROW(Assessment!$G458),"")</f>
        <v/>
      </c>
      <c r="Z458" t="str">
        <f>IF(Assessment!$G458="High",ROW(Assessment!$G458),"")</f>
        <v/>
      </c>
    </row>
    <row r="459" spans="1:26" x14ac:dyDescent="0.25">
      <c r="A459" s="10" t="str">
        <f>IF($X459="","",443)</f>
        <v/>
      </c>
      <c r="B459" s="10" t="str">
        <f>IF($X459="","",INDEX(Assessment!$A:$A,$X459))</f>
        <v/>
      </c>
      <c r="C459" s="10" t="str">
        <f>IF($X459="","",INDEX(Assessment!$B:$B,$X459))</f>
        <v/>
      </c>
      <c r="D459" s="10" t="str">
        <f>IF($X459="","",INDEX(Assessment!$C:$C,$X459))</f>
        <v/>
      </c>
      <c r="E459" s="10" t="str">
        <f>IF($X459="","",INDEX(Assessment!$F:$F,$X459))</f>
        <v/>
      </c>
      <c r="F459" s="10" t="str">
        <f>IF($X459="","",INDEX(Assessment!$G:$G,$X459))</f>
        <v/>
      </c>
      <c r="G459" s="10" t="str">
        <f>IF($X459="","",INDEX(Assessment!$J:$J,$X459))</f>
        <v/>
      </c>
      <c r="H459" s="10" t="str">
        <f>IF($X459="","",INDEX(Assessment!$L:$L,$X459))</f>
        <v/>
      </c>
      <c r="I459" s="10" t="str">
        <f>IF($X459="","",INDEX(Assessment!$N:$N,$X459))</f>
        <v/>
      </c>
      <c r="X459" t="str">
        <f>IF(443&lt;=$B$6,SMALL($Y$2:$Y$593,443),IF(443&lt;=$B$6+$B$7,SMALL($Z$2:$Z$593,443-$B$6),""))</f>
        <v/>
      </c>
      <c r="Y459" t="str">
        <f>IF(Assessment!$G459="Critical",ROW(Assessment!$G459),"")</f>
        <v/>
      </c>
      <c r="Z459" t="str">
        <f>IF(Assessment!$G459="High",ROW(Assessment!$G459),"")</f>
        <v/>
      </c>
    </row>
    <row r="460" spans="1:26" x14ac:dyDescent="0.25">
      <c r="A460" s="10" t="str">
        <f>IF($X460="","",444)</f>
        <v/>
      </c>
      <c r="B460" s="10" t="str">
        <f>IF($X460="","",INDEX(Assessment!$A:$A,$X460))</f>
        <v/>
      </c>
      <c r="C460" s="10" t="str">
        <f>IF($X460="","",INDEX(Assessment!$B:$B,$X460))</f>
        <v/>
      </c>
      <c r="D460" s="10" t="str">
        <f>IF($X460="","",INDEX(Assessment!$C:$C,$X460))</f>
        <v/>
      </c>
      <c r="E460" s="10" t="str">
        <f>IF($X460="","",INDEX(Assessment!$F:$F,$X460))</f>
        <v/>
      </c>
      <c r="F460" s="10" t="str">
        <f>IF($X460="","",INDEX(Assessment!$G:$G,$X460))</f>
        <v/>
      </c>
      <c r="G460" s="10" t="str">
        <f>IF($X460="","",INDEX(Assessment!$J:$J,$X460))</f>
        <v/>
      </c>
      <c r="H460" s="10" t="str">
        <f>IF($X460="","",INDEX(Assessment!$L:$L,$X460))</f>
        <v/>
      </c>
      <c r="I460" s="10" t="str">
        <f>IF($X460="","",INDEX(Assessment!$N:$N,$X460))</f>
        <v/>
      </c>
      <c r="X460" t="str">
        <f>IF(444&lt;=$B$6,SMALL($Y$2:$Y$593,444),IF(444&lt;=$B$6+$B$7,SMALL($Z$2:$Z$593,444-$B$6),""))</f>
        <v/>
      </c>
      <c r="Y460" t="str">
        <f>IF(Assessment!$G460="Critical",ROW(Assessment!$G460),"")</f>
        <v/>
      </c>
      <c r="Z460" t="str">
        <f>IF(Assessment!$G460="High",ROW(Assessment!$G460),"")</f>
        <v/>
      </c>
    </row>
    <row r="461" spans="1:26" x14ac:dyDescent="0.25">
      <c r="A461" s="10" t="str">
        <f>IF($X461="","",445)</f>
        <v/>
      </c>
      <c r="B461" s="10" t="str">
        <f>IF($X461="","",INDEX(Assessment!$A:$A,$X461))</f>
        <v/>
      </c>
      <c r="C461" s="10" t="str">
        <f>IF($X461="","",INDEX(Assessment!$B:$B,$X461))</f>
        <v/>
      </c>
      <c r="D461" s="10" t="str">
        <f>IF($X461="","",INDEX(Assessment!$C:$C,$X461))</f>
        <v/>
      </c>
      <c r="E461" s="10" t="str">
        <f>IF($X461="","",INDEX(Assessment!$F:$F,$X461))</f>
        <v/>
      </c>
      <c r="F461" s="10" t="str">
        <f>IF($X461="","",INDEX(Assessment!$G:$G,$X461))</f>
        <v/>
      </c>
      <c r="G461" s="10" t="str">
        <f>IF($X461="","",INDEX(Assessment!$J:$J,$X461))</f>
        <v/>
      </c>
      <c r="H461" s="10" t="str">
        <f>IF($X461="","",INDEX(Assessment!$L:$L,$X461))</f>
        <v/>
      </c>
      <c r="I461" s="10" t="str">
        <f>IF($X461="","",INDEX(Assessment!$N:$N,$X461))</f>
        <v/>
      </c>
      <c r="X461" t="str">
        <f>IF(445&lt;=$B$6,SMALL($Y$2:$Y$593,445),IF(445&lt;=$B$6+$B$7,SMALL($Z$2:$Z$593,445-$B$6),""))</f>
        <v/>
      </c>
      <c r="Y461" t="str">
        <f>IF(Assessment!$G461="Critical",ROW(Assessment!$G461),"")</f>
        <v/>
      </c>
      <c r="Z461" t="str">
        <f>IF(Assessment!$G461="High",ROW(Assessment!$G461),"")</f>
        <v/>
      </c>
    </row>
    <row r="462" spans="1:26" x14ac:dyDescent="0.25">
      <c r="A462" s="10" t="str">
        <f>IF($X462="","",446)</f>
        <v/>
      </c>
      <c r="B462" s="10" t="str">
        <f>IF($X462="","",INDEX(Assessment!$A:$A,$X462))</f>
        <v/>
      </c>
      <c r="C462" s="10" t="str">
        <f>IF($X462="","",INDEX(Assessment!$B:$B,$X462))</f>
        <v/>
      </c>
      <c r="D462" s="10" t="str">
        <f>IF($X462="","",INDEX(Assessment!$C:$C,$X462))</f>
        <v/>
      </c>
      <c r="E462" s="10" t="str">
        <f>IF($X462="","",INDEX(Assessment!$F:$F,$X462))</f>
        <v/>
      </c>
      <c r="F462" s="10" t="str">
        <f>IF($X462="","",INDEX(Assessment!$G:$G,$X462))</f>
        <v/>
      </c>
      <c r="G462" s="10" t="str">
        <f>IF($X462="","",INDEX(Assessment!$J:$J,$X462))</f>
        <v/>
      </c>
      <c r="H462" s="10" t="str">
        <f>IF($X462="","",INDEX(Assessment!$L:$L,$X462))</f>
        <v/>
      </c>
      <c r="I462" s="10" t="str">
        <f>IF($X462="","",INDEX(Assessment!$N:$N,$X462))</f>
        <v/>
      </c>
      <c r="X462" t="str">
        <f>IF(446&lt;=$B$6,SMALL($Y$2:$Y$593,446),IF(446&lt;=$B$6+$B$7,SMALL($Z$2:$Z$593,446-$B$6),""))</f>
        <v/>
      </c>
      <c r="Y462" t="str">
        <f>IF(Assessment!$G462="Critical",ROW(Assessment!$G462),"")</f>
        <v/>
      </c>
      <c r="Z462" t="str">
        <f>IF(Assessment!$G462="High",ROW(Assessment!$G462),"")</f>
        <v/>
      </c>
    </row>
    <row r="463" spans="1:26" x14ac:dyDescent="0.25">
      <c r="A463" s="10" t="str">
        <f>IF($X463="","",447)</f>
        <v/>
      </c>
      <c r="B463" s="10" t="str">
        <f>IF($X463="","",INDEX(Assessment!$A:$A,$X463))</f>
        <v/>
      </c>
      <c r="C463" s="10" t="str">
        <f>IF($X463="","",INDEX(Assessment!$B:$B,$X463))</f>
        <v/>
      </c>
      <c r="D463" s="10" t="str">
        <f>IF($X463="","",INDEX(Assessment!$C:$C,$X463))</f>
        <v/>
      </c>
      <c r="E463" s="10" t="str">
        <f>IF($X463="","",INDEX(Assessment!$F:$F,$X463))</f>
        <v/>
      </c>
      <c r="F463" s="10" t="str">
        <f>IF($X463="","",INDEX(Assessment!$G:$G,$X463))</f>
        <v/>
      </c>
      <c r="G463" s="10" t="str">
        <f>IF($X463="","",INDEX(Assessment!$J:$J,$X463))</f>
        <v/>
      </c>
      <c r="H463" s="10" t="str">
        <f>IF($X463="","",INDEX(Assessment!$L:$L,$X463))</f>
        <v/>
      </c>
      <c r="I463" s="10" t="str">
        <f>IF($X463="","",INDEX(Assessment!$N:$N,$X463))</f>
        <v/>
      </c>
      <c r="X463" t="str">
        <f>IF(447&lt;=$B$6,SMALL($Y$2:$Y$593,447),IF(447&lt;=$B$6+$B$7,SMALL($Z$2:$Z$593,447-$B$6),""))</f>
        <v/>
      </c>
      <c r="Y463" t="str">
        <f>IF(Assessment!$G463="Critical",ROW(Assessment!$G463),"")</f>
        <v/>
      </c>
      <c r="Z463" t="str">
        <f>IF(Assessment!$G463="High",ROW(Assessment!$G463),"")</f>
        <v/>
      </c>
    </row>
    <row r="464" spans="1:26" x14ac:dyDescent="0.25">
      <c r="A464" s="10" t="str">
        <f>IF($X464="","",448)</f>
        <v/>
      </c>
      <c r="B464" s="10" t="str">
        <f>IF($X464="","",INDEX(Assessment!$A:$A,$X464))</f>
        <v/>
      </c>
      <c r="C464" s="10" t="str">
        <f>IF($X464="","",INDEX(Assessment!$B:$B,$X464))</f>
        <v/>
      </c>
      <c r="D464" s="10" t="str">
        <f>IF($X464="","",INDEX(Assessment!$C:$C,$X464))</f>
        <v/>
      </c>
      <c r="E464" s="10" t="str">
        <f>IF($X464="","",INDEX(Assessment!$F:$F,$X464))</f>
        <v/>
      </c>
      <c r="F464" s="10" t="str">
        <f>IF($X464="","",INDEX(Assessment!$G:$G,$X464))</f>
        <v/>
      </c>
      <c r="G464" s="10" t="str">
        <f>IF($X464="","",INDEX(Assessment!$J:$J,$X464))</f>
        <v/>
      </c>
      <c r="H464" s="10" t="str">
        <f>IF($X464="","",INDEX(Assessment!$L:$L,$X464))</f>
        <v/>
      </c>
      <c r="I464" s="10" t="str">
        <f>IF($X464="","",INDEX(Assessment!$N:$N,$X464))</f>
        <v/>
      </c>
      <c r="X464" t="str">
        <f>IF(448&lt;=$B$6,SMALL($Y$2:$Y$593,448),IF(448&lt;=$B$6+$B$7,SMALL($Z$2:$Z$593,448-$B$6),""))</f>
        <v/>
      </c>
      <c r="Y464" t="str">
        <f>IF(Assessment!$G464="Critical",ROW(Assessment!$G464),"")</f>
        <v/>
      </c>
      <c r="Z464" t="str">
        <f>IF(Assessment!$G464="High",ROW(Assessment!$G464),"")</f>
        <v/>
      </c>
    </row>
    <row r="465" spans="1:26" x14ac:dyDescent="0.25">
      <c r="A465" s="10" t="str">
        <f>IF($X465="","",449)</f>
        <v/>
      </c>
      <c r="B465" s="10" t="str">
        <f>IF($X465="","",INDEX(Assessment!$A:$A,$X465))</f>
        <v/>
      </c>
      <c r="C465" s="10" t="str">
        <f>IF($X465="","",INDEX(Assessment!$B:$B,$X465))</f>
        <v/>
      </c>
      <c r="D465" s="10" t="str">
        <f>IF($X465="","",INDEX(Assessment!$C:$C,$X465))</f>
        <v/>
      </c>
      <c r="E465" s="10" t="str">
        <f>IF($X465="","",INDEX(Assessment!$F:$F,$X465))</f>
        <v/>
      </c>
      <c r="F465" s="10" t="str">
        <f>IF($X465="","",INDEX(Assessment!$G:$G,$X465))</f>
        <v/>
      </c>
      <c r="G465" s="10" t="str">
        <f>IF($X465="","",INDEX(Assessment!$J:$J,$X465))</f>
        <v/>
      </c>
      <c r="H465" s="10" t="str">
        <f>IF($X465="","",INDEX(Assessment!$L:$L,$X465))</f>
        <v/>
      </c>
      <c r="I465" s="10" t="str">
        <f>IF($X465="","",INDEX(Assessment!$N:$N,$X465))</f>
        <v/>
      </c>
      <c r="X465" t="str">
        <f>IF(449&lt;=$B$6,SMALL($Y$2:$Y$593,449),IF(449&lt;=$B$6+$B$7,SMALL($Z$2:$Z$593,449-$B$6),""))</f>
        <v/>
      </c>
      <c r="Y465" t="str">
        <f>IF(Assessment!$G465="Critical",ROW(Assessment!$G465),"")</f>
        <v/>
      </c>
      <c r="Z465" t="str">
        <f>IF(Assessment!$G465="High",ROW(Assessment!$G465),"")</f>
        <v/>
      </c>
    </row>
    <row r="466" spans="1:26" x14ac:dyDescent="0.25">
      <c r="A466" s="10" t="str">
        <f>IF($X466="","",450)</f>
        <v/>
      </c>
      <c r="B466" s="10" t="str">
        <f>IF($X466="","",INDEX(Assessment!$A:$A,$X466))</f>
        <v/>
      </c>
      <c r="C466" s="10" t="str">
        <f>IF($X466="","",INDEX(Assessment!$B:$B,$X466))</f>
        <v/>
      </c>
      <c r="D466" s="10" t="str">
        <f>IF($X466="","",INDEX(Assessment!$C:$C,$X466))</f>
        <v/>
      </c>
      <c r="E466" s="10" t="str">
        <f>IF($X466="","",INDEX(Assessment!$F:$F,$X466))</f>
        <v/>
      </c>
      <c r="F466" s="10" t="str">
        <f>IF($X466="","",INDEX(Assessment!$G:$G,$X466))</f>
        <v/>
      </c>
      <c r="G466" s="10" t="str">
        <f>IF($X466="","",INDEX(Assessment!$J:$J,$X466))</f>
        <v/>
      </c>
      <c r="H466" s="10" t="str">
        <f>IF($X466="","",INDEX(Assessment!$L:$L,$X466))</f>
        <v/>
      </c>
      <c r="I466" s="10" t="str">
        <f>IF($X466="","",INDEX(Assessment!$N:$N,$X466))</f>
        <v/>
      </c>
      <c r="X466" t="str">
        <f>IF(450&lt;=$B$6,SMALL($Y$2:$Y$593,450),IF(450&lt;=$B$6+$B$7,SMALL($Z$2:$Z$593,450-$B$6),""))</f>
        <v/>
      </c>
      <c r="Y466" t="str">
        <f>IF(Assessment!$G466="Critical",ROW(Assessment!$G466),"")</f>
        <v/>
      </c>
      <c r="Z466" t="str">
        <f>IF(Assessment!$G466="High",ROW(Assessment!$G466),"")</f>
        <v/>
      </c>
    </row>
    <row r="467" spans="1:26" x14ac:dyDescent="0.25">
      <c r="A467" s="10" t="str">
        <f>IF($X467="","",451)</f>
        <v/>
      </c>
      <c r="B467" s="10" t="str">
        <f>IF($X467="","",INDEX(Assessment!$A:$A,$X467))</f>
        <v/>
      </c>
      <c r="C467" s="10" t="str">
        <f>IF($X467="","",INDEX(Assessment!$B:$B,$X467))</f>
        <v/>
      </c>
      <c r="D467" s="10" t="str">
        <f>IF($X467="","",INDEX(Assessment!$C:$C,$X467))</f>
        <v/>
      </c>
      <c r="E467" s="10" t="str">
        <f>IF($X467="","",INDEX(Assessment!$F:$F,$X467))</f>
        <v/>
      </c>
      <c r="F467" s="10" t="str">
        <f>IF($X467="","",INDEX(Assessment!$G:$G,$X467))</f>
        <v/>
      </c>
      <c r="G467" s="10" t="str">
        <f>IF($X467="","",INDEX(Assessment!$J:$J,$X467))</f>
        <v/>
      </c>
      <c r="H467" s="10" t="str">
        <f>IF($X467="","",INDEX(Assessment!$L:$L,$X467))</f>
        <v/>
      </c>
      <c r="I467" s="10" t="str">
        <f>IF($X467="","",INDEX(Assessment!$N:$N,$X467))</f>
        <v/>
      </c>
      <c r="X467" t="str">
        <f>IF(451&lt;=$B$6,SMALL($Y$2:$Y$593,451),IF(451&lt;=$B$6+$B$7,SMALL($Z$2:$Z$593,451-$B$6),""))</f>
        <v/>
      </c>
      <c r="Y467" t="str">
        <f>IF(Assessment!$G467="Critical",ROW(Assessment!$G467),"")</f>
        <v/>
      </c>
      <c r="Z467" t="str">
        <f>IF(Assessment!$G467="High",ROW(Assessment!$G467),"")</f>
        <v/>
      </c>
    </row>
    <row r="468" spans="1:26" x14ac:dyDescent="0.25">
      <c r="A468" s="10" t="str">
        <f>IF($X468="","",452)</f>
        <v/>
      </c>
      <c r="B468" s="10" t="str">
        <f>IF($X468="","",INDEX(Assessment!$A:$A,$X468))</f>
        <v/>
      </c>
      <c r="C468" s="10" t="str">
        <f>IF($X468="","",INDEX(Assessment!$B:$B,$X468))</f>
        <v/>
      </c>
      <c r="D468" s="10" t="str">
        <f>IF($X468="","",INDEX(Assessment!$C:$C,$X468))</f>
        <v/>
      </c>
      <c r="E468" s="10" t="str">
        <f>IF($X468="","",INDEX(Assessment!$F:$F,$X468))</f>
        <v/>
      </c>
      <c r="F468" s="10" t="str">
        <f>IF($X468="","",INDEX(Assessment!$G:$G,$X468))</f>
        <v/>
      </c>
      <c r="G468" s="10" t="str">
        <f>IF($X468="","",INDEX(Assessment!$J:$J,$X468))</f>
        <v/>
      </c>
      <c r="H468" s="10" t="str">
        <f>IF($X468="","",INDEX(Assessment!$L:$L,$X468))</f>
        <v/>
      </c>
      <c r="I468" s="10" t="str">
        <f>IF($X468="","",INDEX(Assessment!$N:$N,$X468))</f>
        <v/>
      </c>
      <c r="X468" t="str">
        <f>IF(452&lt;=$B$6,SMALL($Y$2:$Y$593,452),IF(452&lt;=$B$6+$B$7,SMALL($Z$2:$Z$593,452-$B$6),""))</f>
        <v/>
      </c>
      <c r="Y468" t="str">
        <f>IF(Assessment!$G468="Critical",ROW(Assessment!$G468),"")</f>
        <v/>
      </c>
      <c r="Z468" t="str">
        <f>IF(Assessment!$G468="High",ROW(Assessment!$G468),"")</f>
        <v/>
      </c>
    </row>
    <row r="469" spans="1:26" x14ac:dyDescent="0.25">
      <c r="A469" s="10" t="str">
        <f>IF($X469="","",453)</f>
        <v/>
      </c>
      <c r="B469" s="10" t="str">
        <f>IF($X469="","",INDEX(Assessment!$A:$A,$X469))</f>
        <v/>
      </c>
      <c r="C469" s="10" t="str">
        <f>IF($X469="","",INDEX(Assessment!$B:$B,$X469))</f>
        <v/>
      </c>
      <c r="D469" s="10" t="str">
        <f>IF($X469="","",INDEX(Assessment!$C:$C,$X469))</f>
        <v/>
      </c>
      <c r="E469" s="10" t="str">
        <f>IF($X469="","",INDEX(Assessment!$F:$F,$X469))</f>
        <v/>
      </c>
      <c r="F469" s="10" t="str">
        <f>IF($X469="","",INDEX(Assessment!$G:$G,$X469))</f>
        <v/>
      </c>
      <c r="G469" s="10" t="str">
        <f>IF($X469="","",INDEX(Assessment!$J:$J,$X469))</f>
        <v/>
      </c>
      <c r="H469" s="10" t="str">
        <f>IF($X469="","",INDEX(Assessment!$L:$L,$X469))</f>
        <v/>
      </c>
      <c r="I469" s="10" t="str">
        <f>IF($X469="","",INDEX(Assessment!$N:$N,$X469))</f>
        <v/>
      </c>
      <c r="X469" t="str">
        <f>IF(453&lt;=$B$6,SMALL($Y$2:$Y$593,453),IF(453&lt;=$B$6+$B$7,SMALL($Z$2:$Z$593,453-$B$6),""))</f>
        <v/>
      </c>
      <c r="Y469" t="str">
        <f>IF(Assessment!$G469="Critical",ROW(Assessment!$G469),"")</f>
        <v/>
      </c>
      <c r="Z469" t="str">
        <f>IF(Assessment!$G469="High",ROW(Assessment!$G469),"")</f>
        <v/>
      </c>
    </row>
    <row r="470" spans="1:26" x14ac:dyDescent="0.25">
      <c r="A470" s="10" t="str">
        <f>IF($X470="","",454)</f>
        <v/>
      </c>
      <c r="B470" s="10" t="str">
        <f>IF($X470="","",INDEX(Assessment!$A:$A,$X470))</f>
        <v/>
      </c>
      <c r="C470" s="10" t="str">
        <f>IF($X470="","",INDEX(Assessment!$B:$B,$X470))</f>
        <v/>
      </c>
      <c r="D470" s="10" t="str">
        <f>IF($X470="","",INDEX(Assessment!$C:$C,$X470))</f>
        <v/>
      </c>
      <c r="E470" s="10" t="str">
        <f>IF($X470="","",INDEX(Assessment!$F:$F,$X470))</f>
        <v/>
      </c>
      <c r="F470" s="10" t="str">
        <f>IF($X470="","",INDEX(Assessment!$G:$G,$X470))</f>
        <v/>
      </c>
      <c r="G470" s="10" t="str">
        <f>IF($X470="","",INDEX(Assessment!$J:$J,$X470))</f>
        <v/>
      </c>
      <c r="H470" s="10" t="str">
        <f>IF($X470="","",INDEX(Assessment!$L:$L,$X470))</f>
        <v/>
      </c>
      <c r="I470" s="10" t="str">
        <f>IF($X470="","",INDEX(Assessment!$N:$N,$X470))</f>
        <v/>
      </c>
      <c r="X470" t="str">
        <f>IF(454&lt;=$B$6,SMALL($Y$2:$Y$593,454),IF(454&lt;=$B$6+$B$7,SMALL($Z$2:$Z$593,454-$B$6),""))</f>
        <v/>
      </c>
      <c r="Y470" t="str">
        <f>IF(Assessment!$G470="Critical",ROW(Assessment!$G470),"")</f>
        <v/>
      </c>
      <c r="Z470" t="str">
        <f>IF(Assessment!$G470="High",ROW(Assessment!$G470),"")</f>
        <v/>
      </c>
    </row>
    <row r="471" spans="1:26" x14ac:dyDescent="0.25">
      <c r="A471" s="10" t="str">
        <f>IF($X471="","",455)</f>
        <v/>
      </c>
      <c r="B471" s="10" t="str">
        <f>IF($X471="","",INDEX(Assessment!$A:$A,$X471))</f>
        <v/>
      </c>
      <c r="C471" s="10" t="str">
        <f>IF($X471="","",INDEX(Assessment!$B:$B,$X471))</f>
        <v/>
      </c>
      <c r="D471" s="10" t="str">
        <f>IF($X471="","",INDEX(Assessment!$C:$C,$X471))</f>
        <v/>
      </c>
      <c r="E471" s="10" t="str">
        <f>IF($X471="","",INDEX(Assessment!$F:$F,$X471))</f>
        <v/>
      </c>
      <c r="F471" s="10" t="str">
        <f>IF($X471="","",INDEX(Assessment!$G:$G,$X471))</f>
        <v/>
      </c>
      <c r="G471" s="10" t="str">
        <f>IF($X471="","",INDEX(Assessment!$J:$J,$X471))</f>
        <v/>
      </c>
      <c r="H471" s="10" t="str">
        <f>IF($X471="","",INDEX(Assessment!$L:$L,$X471))</f>
        <v/>
      </c>
      <c r="I471" s="10" t="str">
        <f>IF($X471="","",INDEX(Assessment!$N:$N,$X471))</f>
        <v/>
      </c>
      <c r="X471" t="str">
        <f>IF(455&lt;=$B$6,SMALL($Y$2:$Y$593,455),IF(455&lt;=$B$6+$B$7,SMALL($Z$2:$Z$593,455-$B$6),""))</f>
        <v/>
      </c>
      <c r="Y471" t="str">
        <f>IF(Assessment!$G471="Critical",ROW(Assessment!$G471),"")</f>
        <v/>
      </c>
      <c r="Z471" t="str">
        <f>IF(Assessment!$G471="High",ROW(Assessment!$G471),"")</f>
        <v/>
      </c>
    </row>
    <row r="472" spans="1:26" x14ac:dyDescent="0.25">
      <c r="A472" s="10" t="str">
        <f>IF($X472="","",456)</f>
        <v/>
      </c>
      <c r="B472" s="10" t="str">
        <f>IF($X472="","",INDEX(Assessment!$A:$A,$X472))</f>
        <v/>
      </c>
      <c r="C472" s="10" t="str">
        <f>IF($X472="","",INDEX(Assessment!$B:$B,$X472))</f>
        <v/>
      </c>
      <c r="D472" s="10" t="str">
        <f>IF($X472="","",INDEX(Assessment!$C:$C,$X472))</f>
        <v/>
      </c>
      <c r="E472" s="10" t="str">
        <f>IF($X472="","",INDEX(Assessment!$F:$F,$X472))</f>
        <v/>
      </c>
      <c r="F472" s="10" t="str">
        <f>IF($X472="","",INDEX(Assessment!$G:$G,$X472))</f>
        <v/>
      </c>
      <c r="G472" s="10" t="str">
        <f>IF($X472="","",INDEX(Assessment!$J:$J,$X472))</f>
        <v/>
      </c>
      <c r="H472" s="10" t="str">
        <f>IF($X472="","",INDEX(Assessment!$L:$L,$X472))</f>
        <v/>
      </c>
      <c r="I472" s="10" t="str">
        <f>IF($X472="","",INDEX(Assessment!$N:$N,$X472))</f>
        <v/>
      </c>
      <c r="X472" t="str">
        <f>IF(456&lt;=$B$6,SMALL($Y$2:$Y$593,456),IF(456&lt;=$B$6+$B$7,SMALL($Z$2:$Z$593,456-$B$6),""))</f>
        <v/>
      </c>
      <c r="Y472" t="str">
        <f>IF(Assessment!$G472="Critical",ROW(Assessment!$G472),"")</f>
        <v/>
      </c>
      <c r="Z472" t="str">
        <f>IF(Assessment!$G472="High",ROW(Assessment!$G472),"")</f>
        <v/>
      </c>
    </row>
    <row r="473" spans="1:26" x14ac:dyDescent="0.25">
      <c r="A473" s="10" t="str">
        <f>IF($X473="","",457)</f>
        <v/>
      </c>
      <c r="B473" s="10" t="str">
        <f>IF($X473="","",INDEX(Assessment!$A:$A,$X473))</f>
        <v/>
      </c>
      <c r="C473" s="10" t="str">
        <f>IF($X473="","",INDEX(Assessment!$B:$B,$X473))</f>
        <v/>
      </c>
      <c r="D473" s="10" t="str">
        <f>IF($X473="","",INDEX(Assessment!$C:$C,$X473))</f>
        <v/>
      </c>
      <c r="E473" s="10" t="str">
        <f>IF($X473="","",INDEX(Assessment!$F:$F,$X473))</f>
        <v/>
      </c>
      <c r="F473" s="10" t="str">
        <f>IF($X473="","",INDEX(Assessment!$G:$G,$X473))</f>
        <v/>
      </c>
      <c r="G473" s="10" t="str">
        <f>IF($X473="","",INDEX(Assessment!$J:$J,$X473))</f>
        <v/>
      </c>
      <c r="H473" s="10" t="str">
        <f>IF($X473="","",INDEX(Assessment!$L:$L,$X473))</f>
        <v/>
      </c>
      <c r="I473" s="10" t="str">
        <f>IF($X473="","",INDEX(Assessment!$N:$N,$X473))</f>
        <v/>
      </c>
      <c r="X473" t="str">
        <f>IF(457&lt;=$B$6,SMALL($Y$2:$Y$593,457),IF(457&lt;=$B$6+$B$7,SMALL($Z$2:$Z$593,457-$B$6),""))</f>
        <v/>
      </c>
      <c r="Y473" t="str">
        <f>IF(Assessment!$G473="Critical",ROW(Assessment!$G473),"")</f>
        <v/>
      </c>
      <c r="Z473" t="str">
        <f>IF(Assessment!$G473="High",ROW(Assessment!$G473),"")</f>
        <v/>
      </c>
    </row>
    <row r="474" spans="1:26" x14ac:dyDescent="0.25">
      <c r="A474" s="10" t="str">
        <f>IF($X474="","",458)</f>
        <v/>
      </c>
      <c r="B474" s="10" t="str">
        <f>IF($X474="","",INDEX(Assessment!$A:$A,$X474))</f>
        <v/>
      </c>
      <c r="C474" s="10" t="str">
        <f>IF($X474="","",INDEX(Assessment!$B:$B,$X474))</f>
        <v/>
      </c>
      <c r="D474" s="10" t="str">
        <f>IF($X474="","",INDEX(Assessment!$C:$C,$X474))</f>
        <v/>
      </c>
      <c r="E474" s="10" t="str">
        <f>IF($X474="","",INDEX(Assessment!$F:$F,$X474))</f>
        <v/>
      </c>
      <c r="F474" s="10" t="str">
        <f>IF($X474="","",INDEX(Assessment!$G:$G,$X474))</f>
        <v/>
      </c>
      <c r="G474" s="10" t="str">
        <f>IF($X474="","",INDEX(Assessment!$J:$J,$X474))</f>
        <v/>
      </c>
      <c r="H474" s="10" t="str">
        <f>IF($X474="","",INDEX(Assessment!$L:$L,$X474))</f>
        <v/>
      </c>
      <c r="I474" s="10" t="str">
        <f>IF($X474="","",INDEX(Assessment!$N:$N,$X474))</f>
        <v/>
      </c>
      <c r="X474" t="str">
        <f>IF(458&lt;=$B$6,SMALL($Y$2:$Y$593,458),IF(458&lt;=$B$6+$B$7,SMALL($Z$2:$Z$593,458-$B$6),""))</f>
        <v/>
      </c>
      <c r="Y474" t="str">
        <f>IF(Assessment!$G474="Critical",ROW(Assessment!$G474),"")</f>
        <v/>
      </c>
      <c r="Z474" t="str">
        <f>IF(Assessment!$G474="High",ROW(Assessment!$G474),"")</f>
        <v/>
      </c>
    </row>
    <row r="475" spans="1:26" x14ac:dyDescent="0.25">
      <c r="A475" s="10" t="str">
        <f>IF($X475="","",459)</f>
        <v/>
      </c>
      <c r="B475" s="10" t="str">
        <f>IF($X475="","",INDEX(Assessment!$A:$A,$X475))</f>
        <v/>
      </c>
      <c r="C475" s="10" t="str">
        <f>IF($X475="","",INDEX(Assessment!$B:$B,$X475))</f>
        <v/>
      </c>
      <c r="D475" s="10" t="str">
        <f>IF($X475="","",INDEX(Assessment!$C:$C,$X475))</f>
        <v/>
      </c>
      <c r="E475" s="10" t="str">
        <f>IF($X475="","",INDEX(Assessment!$F:$F,$X475))</f>
        <v/>
      </c>
      <c r="F475" s="10" t="str">
        <f>IF($X475="","",INDEX(Assessment!$G:$G,$X475))</f>
        <v/>
      </c>
      <c r="G475" s="10" t="str">
        <f>IF($X475="","",INDEX(Assessment!$J:$J,$X475))</f>
        <v/>
      </c>
      <c r="H475" s="10" t="str">
        <f>IF($X475="","",INDEX(Assessment!$L:$L,$X475))</f>
        <v/>
      </c>
      <c r="I475" s="10" t="str">
        <f>IF($X475="","",INDEX(Assessment!$N:$N,$X475))</f>
        <v/>
      </c>
      <c r="X475" t="str">
        <f>IF(459&lt;=$B$6,SMALL($Y$2:$Y$593,459),IF(459&lt;=$B$6+$B$7,SMALL($Z$2:$Z$593,459-$B$6),""))</f>
        <v/>
      </c>
      <c r="Y475" t="str">
        <f>IF(Assessment!$G475="Critical",ROW(Assessment!$G475),"")</f>
        <v/>
      </c>
      <c r="Z475" t="str">
        <f>IF(Assessment!$G475="High",ROW(Assessment!$G475),"")</f>
        <v/>
      </c>
    </row>
    <row r="476" spans="1:26" x14ac:dyDescent="0.25">
      <c r="A476" s="10" t="str">
        <f>IF($X476="","",460)</f>
        <v/>
      </c>
      <c r="B476" s="10" t="str">
        <f>IF($X476="","",INDEX(Assessment!$A:$A,$X476))</f>
        <v/>
      </c>
      <c r="C476" s="10" t="str">
        <f>IF($X476="","",INDEX(Assessment!$B:$B,$X476))</f>
        <v/>
      </c>
      <c r="D476" s="10" t="str">
        <f>IF($X476="","",INDEX(Assessment!$C:$C,$X476))</f>
        <v/>
      </c>
      <c r="E476" s="10" t="str">
        <f>IF($X476="","",INDEX(Assessment!$F:$F,$X476))</f>
        <v/>
      </c>
      <c r="F476" s="10" t="str">
        <f>IF($X476="","",INDEX(Assessment!$G:$G,$X476))</f>
        <v/>
      </c>
      <c r="G476" s="10" t="str">
        <f>IF($X476="","",INDEX(Assessment!$J:$J,$X476))</f>
        <v/>
      </c>
      <c r="H476" s="10" t="str">
        <f>IF($X476="","",INDEX(Assessment!$L:$L,$X476))</f>
        <v/>
      </c>
      <c r="I476" s="10" t="str">
        <f>IF($X476="","",INDEX(Assessment!$N:$N,$X476))</f>
        <v/>
      </c>
      <c r="X476" t="str">
        <f>IF(460&lt;=$B$6,SMALL($Y$2:$Y$593,460),IF(460&lt;=$B$6+$B$7,SMALL($Z$2:$Z$593,460-$B$6),""))</f>
        <v/>
      </c>
      <c r="Y476" t="str">
        <f>IF(Assessment!$G476="Critical",ROW(Assessment!$G476),"")</f>
        <v/>
      </c>
      <c r="Z476" t="str">
        <f>IF(Assessment!$G476="High",ROW(Assessment!$G476),"")</f>
        <v/>
      </c>
    </row>
    <row r="477" spans="1:26" x14ac:dyDescent="0.25">
      <c r="A477" s="10" t="str">
        <f>IF($X477="","",461)</f>
        <v/>
      </c>
      <c r="B477" s="10" t="str">
        <f>IF($X477="","",INDEX(Assessment!$A:$A,$X477))</f>
        <v/>
      </c>
      <c r="C477" s="10" t="str">
        <f>IF($X477="","",INDEX(Assessment!$B:$B,$X477))</f>
        <v/>
      </c>
      <c r="D477" s="10" t="str">
        <f>IF($X477="","",INDEX(Assessment!$C:$C,$X477))</f>
        <v/>
      </c>
      <c r="E477" s="10" t="str">
        <f>IF($X477="","",INDEX(Assessment!$F:$F,$X477))</f>
        <v/>
      </c>
      <c r="F477" s="10" t="str">
        <f>IF($X477="","",INDEX(Assessment!$G:$G,$X477))</f>
        <v/>
      </c>
      <c r="G477" s="10" t="str">
        <f>IF($X477="","",INDEX(Assessment!$J:$J,$X477))</f>
        <v/>
      </c>
      <c r="H477" s="10" t="str">
        <f>IF($X477="","",INDEX(Assessment!$L:$L,$X477))</f>
        <v/>
      </c>
      <c r="I477" s="10" t="str">
        <f>IF($X477="","",INDEX(Assessment!$N:$N,$X477))</f>
        <v/>
      </c>
      <c r="X477" t="str">
        <f>IF(461&lt;=$B$6,SMALL($Y$2:$Y$593,461),IF(461&lt;=$B$6+$B$7,SMALL($Z$2:$Z$593,461-$B$6),""))</f>
        <v/>
      </c>
      <c r="Y477" t="str">
        <f>IF(Assessment!$G477="Critical",ROW(Assessment!$G477),"")</f>
        <v/>
      </c>
      <c r="Z477" t="str">
        <f>IF(Assessment!$G477="High",ROW(Assessment!$G477),"")</f>
        <v/>
      </c>
    </row>
    <row r="478" spans="1:26" x14ac:dyDescent="0.25">
      <c r="A478" s="10" t="str">
        <f>IF($X478="","",462)</f>
        <v/>
      </c>
      <c r="B478" s="10" t="str">
        <f>IF($X478="","",INDEX(Assessment!$A:$A,$X478))</f>
        <v/>
      </c>
      <c r="C478" s="10" t="str">
        <f>IF($X478="","",INDEX(Assessment!$B:$B,$X478))</f>
        <v/>
      </c>
      <c r="D478" s="10" t="str">
        <f>IF($X478="","",INDEX(Assessment!$C:$C,$X478))</f>
        <v/>
      </c>
      <c r="E478" s="10" t="str">
        <f>IF($X478="","",INDEX(Assessment!$F:$F,$X478))</f>
        <v/>
      </c>
      <c r="F478" s="10" t="str">
        <f>IF($X478="","",INDEX(Assessment!$G:$G,$X478))</f>
        <v/>
      </c>
      <c r="G478" s="10" t="str">
        <f>IF($X478="","",INDEX(Assessment!$J:$J,$X478))</f>
        <v/>
      </c>
      <c r="H478" s="10" t="str">
        <f>IF($X478="","",INDEX(Assessment!$L:$L,$X478))</f>
        <v/>
      </c>
      <c r="I478" s="10" t="str">
        <f>IF($X478="","",INDEX(Assessment!$N:$N,$X478))</f>
        <v/>
      </c>
      <c r="X478" t="str">
        <f>IF(462&lt;=$B$6,SMALL($Y$2:$Y$593,462),IF(462&lt;=$B$6+$B$7,SMALL($Z$2:$Z$593,462-$B$6),""))</f>
        <v/>
      </c>
      <c r="Y478" t="str">
        <f>IF(Assessment!$G478="Critical",ROW(Assessment!$G478),"")</f>
        <v/>
      </c>
      <c r="Z478">
        <f>IF(Assessment!$G478="High",ROW(Assessment!$G478),"")</f>
        <v>478</v>
      </c>
    </row>
    <row r="479" spans="1:26" x14ac:dyDescent="0.25">
      <c r="A479" s="10" t="str">
        <f>IF($X479="","",463)</f>
        <v/>
      </c>
      <c r="B479" s="10" t="str">
        <f>IF($X479="","",INDEX(Assessment!$A:$A,$X479))</f>
        <v/>
      </c>
      <c r="C479" s="10" t="str">
        <f>IF($X479="","",INDEX(Assessment!$B:$B,$X479))</f>
        <v/>
      </c>
      <c r="D479" s="10" t="str">
        <f>IF($X479="","",INDEX(Assessment!$C:$C,$X479))</f>
        <v/>
      </c>
      <c r="E479" s="10" t="str">
        <f>IF($X479="","",INDEX(Assessment!$F:$F,$X479))</f>
        <v/>
      </c>
      <c r="F479" s="10" t="str">
        <f>IF($X479="","",INDEX(Assessment!$G:$G,$X479))</f>
        <v/>
      </c>
      <c r="G479" s="10" t="str">
        <f>IF($X479="","",INDEX(Assessment!$J:$J,$X479))</f>
        <v/>
      </c>
      <c r="H479" s="10" t="str">
        <f>IF($X479="","",INDEX(Assessment!$L:$L,$X479))</f>
        <v/>
      </c>
      <c r="I479" s="10" t="str">
        <f>IF($X479="","",INDEX(Assessment!$N:$N,$X479))</f>
        <v/>
      </c>
      <c r="X479" t="str">
        <f>IF(463&lt;=$B$6,SMALL($Y$2:$Y$593,463),IF(463&lt;=$B$6+$B$7,SMALL($Z$2:$Z$593,463-$B$6),""))</f>
        <v/>
      </c>
      <c r="Y479">
        <f>IF(Assessment!$G479="Critical",ROW(Assessment!$G479),"")</f>
        <v>479</v>
      </c>
      <c r="Z479" t="str">
        <f>IF(Assessment!$G479="High",ROW(Assessment!$G479),"")</f>
        <v/>
      </c>
    </row>
    <row r="480" spans="1:26" x14ac:dyDescent="0.25">
      <c r="A480" s="10" t="str">
        <f>IF($X480="","",464)</f>
        <v/>
      </c>
      <c r="B480" s="10" t="str">
        <f>IF($X480="","",INDEX(Assessment!$A:$A,$X480))</f>
        <v/>
      </c>
      <c r="C480" s="10" t="str">
        <f>IF($X480="","",INDEX(Assessment!$B:$B,$X480))</f>
        <v/>
      </c>
      <c r="D480" s="10" t="str">
        <f>IF($X480="","",INDEX(Assessment!$C:$C,$X480))</f>
        <v/>
      </c>
      <c r="E480" s="10" t="str">
        <f>IF($X480="","",INDEX(Assessment!$F:$F,$X480))</f>
        <v/>
      </c>
      <c r="F480" s="10" t="str">
        <f>IF($X480="","",INDEX(Assessment!$G:$G,$X480))</f>
        <v/>
      </c>
      <c r="G480" s="10" t="str">
        <f>IF($X480="","",INDEX(Assessment!$J:$J,$X480))</f>
        <v/>
      </c>
      <c r="H480" s="10" t="str">
        <f>IF($X480="","",INDEX(Assessment!$L:$L,$X480))</f>
        <v/>
      </c>
      <c r="I480" s="10" t="str">
        <f>IF($X480="","",INDEX(Assessment!$N:$N,$X480))</f>
        <v/>
      </c>
      <c r="X480" t="str">
        <f>IF(464&lt;=$B$6,SMALL($Y$2:$Y$593,464),IF(464&lt;=$B$6+$B$7,SMALL($Z$2:$Z$593,464-$B$6),""))</f>
        <v/>
      </c>
      <c r="Y480" t="str">
        <f>IF(Assessment!$G480="Critical",ROW(Assessment!$G480),"")</f>
        <v/>
      </c>
      <c r="Z480">
        <f>IF(Assessment!$G480="High",ROW(Assessment!$G480),"")</f>
        <v>480</v>
      </c>
    </row>
    <row r="481" spans="1:26" x14ac:dyDescent="0.25">
      <c r="A481" s="10" t="str">
        <f>IF($X481="","",465)</f>
        <v/>
      </c>
      <c r="B481" s="10" t="str">
        <f>IF($X481="","",INDEX(Assessment!$A:$A,$X481))</f>
        <v/>
      </c>
      <c r="C481" s="10" t="str">
        <f>IF($X481="","",INDEX(Assessment!$B:$B,$X481))</f>
        <v/>
      </c>
      <c r="D481" s="10" t="str">
        <f>IF($X481="","",INDEX(Assessment!$C:$C,$X481))</f>
        <v/>
      </c>
      <c r="E481" s="10" t="str">
        <f>IF($X481="","",INDEX(Assessment!$F:$F,$X481))</f>
        <v/>
      </c>
      <c r="F481" s="10" t="str">
        <f>IF($X481="","",INDEX(Assessment!$G:$G,$X481))</f>
        <v/>
      </c>
      <c r="G481" s="10" t="str">
        <f>IF($X481="","",INDEX(Assessment!$J:$J,$X481))</f>
        <v/>
      </c>
      <c r="H481" s="10" t="str">
        <f>IF($X481="","",INDEX(Assessment!$L:$L,$X481))</f>
        <v/>
      </c>
      <c r="I481" s="10" t="str">
        <f>IF($X481="","",INDEX(Assessment!$N:$N,$X481))</f>
        <v/>
      </c>
      <c r="X481" t="str">
        <f>IF(465&lt;=$B$6,SMALL($Y$2:$Y$593,465),IF(465&lt;=$B$6+$B$7,SMALL($Z$2:$Z$593,465-$B$6),""))</f>
        <v/>
      </c>
      <c r="Y481" t="str">
        <f>IF(Assessment!$G481="Critical",ROW(Assessment!$G481),"")</f>
        <v/>
      </c>
      <c r="Z481" t="str">
        <f>IF(Assessment!$G481="High",ROW(Assessment!$G481),"")</f>
        <v/>
      </c>
    </row>
    <row r="482" spans="1:26" x14ac:dyDescent="0.25">
      <c r="A482" s="10" t="str">
        <f>IF($X482="","",466)</f>
        <v/>
      </c>
      <c r="B482" s="10" t="str">
        <f>IF($X482="","",INDEX(Assessment!$A:$A,$X482))</f>
        <v/>
      </c>
      <c r="C482" s="10" t="str">
        <f>IF($X482="","",INDEX(Assessment!$B:$B,$X482))</f>
        <v/>
      </c>
      <c r="D482" s="10" t="str">
        <f>IF($X482="","",INDEX(Assessment!$C:$C,$X482))</f>
        <v/>
      </c>
      <c r="E482" s="10" t="str">
        <f>IF($X482="","",INDEX(Assessment!$F:$F,$X482))</f>
        <v/>
      </c>
      <c r="F482" s="10" t="str">
        <f>IF($X482="","",INDEX(Assessment!$G:$G,$X482))</f>
        <v/>
      </c>
      <c r="G482" s="10" t="str">
        <f>IF($X482="","",INDEX(Assessment!$J:$J,$X482))</f>
        <v/>
      </c>
      <c r="H482" s="10" t="str">
        <f>IF($X482="","",INDEX(Assessment!$L:$L,$X482))</f>
        <v/>
      </c>
      <c r="I482" s="10" t="str">
        <f>IF($X482="","",INDEX(Assessment!$N:$N,$X482))</f>
        <v/>
      </c>
      <c r="X482" t="str">
        <f>IF(466&lt;=$B$6,SMALL($Y$2:$Y$593,466),IF(466&lt;=$B$6+$B$7,SMALL($Z$2:$Z$593,466-$B$6),""))</f>
        <v/>
      </c>
      <c r="Y482" t="str">
        <f>IF(Assessment!$G482="Critical",ROW(Assessment!$G482),"")</f>
        <v/>
      </c>
      <c r="Z482" t="str">
        <f>IF(Assessment!$G482="High",ROW(Assessment!$G482),"")</f>
        <v/>
      </c>
    </row>
    <row r="483" spans="1:26" x14ac:dyDescent="0.25">
      <c r="A483" s="10" t="str">
        <f>IF($X483="","",467)</f>
        <v/>
      </c>
      <c r="B483" s="10" t="str">
        <f>IF($X483="","",INDEX(Assessment!$A:$A,$X483))</f>
        <v/>
      </c>
      <c r="C483" s="10" t="str">
        <f>IF($X483="","",INDEX(Assessment!$B:$B,$X483))</f>
        <v/>
      </c>
      <c r="D483" s="10" t="str">
        <f>IF($X483="","",INDEX(Assessment!$C:$C,$X483))</f>
        <v/>
      </c>
      <c r="E483" s="10" t="str">
        <f>IF($X483="","",INDEX(Assessment!$F:$F,$X483))</f>
        <v/>
      </c>
      <c r="F483" s="10" t="str">
        <f>IF($X483="","",INDEX(Assessment!$G:$G,$X483))</f>
        <v/>
      </c>
      <c r="G483" s="10" t="str">
        <f>IF($X483="","",INDEX(Assessment!$J:$J,$X483))</f>
        <v/>
      </c>
      <c r="H483" s="10" t="str">
        <f>IF($X483="","",INDEX(Assessment!$L:$L,$X483))</f>
        <v/>
      </c>
      <c r="I483" s="10" t="str">
        <f>IF($X483="","",INDEX(Assessment!$N:$N,$X483))</f>
        <v/>
      </c>
      <c r="X483" t="str">
        <f>IF(467&lt;=$B$6,SMALL($Y$2:$Y$593,467),IF(467&lt;=$B$6+$B$7,SMALL($Z$2:$Z$593,467-$B$6),""))</f>
        <v/>
      </c>
      <c r="Y483" t="str">
        <f>IF(Assessment!$G483="Critical",ROW(Assessment!$G483),"")</f>
        <v/>
      </c>
      <c r="Z483" t="str">
        <f>IF(Assessment!$G483="High",ROW(Assessment!$G483),"")</f>
        <v/>
      </c>
    </row>
    <row r="484" spans="1:26" x14ac:dyDescent="0.25">
      <c r="A484" s="10" t="str">
        <f>IF($X484="","",468)</f>
        <v/>
      </c>
      <c r="B484" s="10" t="str">
        <f>IF($X484="","",INDEX(Assessment!$A:$A,$X484))</f>
        <v/>
      </c>
      <c r="C484" s="10" t="str">
        <f>IF($X484="","",INDEX(Assessment!$B:$B,$X484))</f>
        <v/>
      </c>
      <c r="D484" s="10" t="str">
        <f>IF($X484="","",INDEX(Assessment!$C:$C,$X484))</f>
        <v/>
      </c>
      <c r="E484" s="10" t="str">
        <f>IF($X484="","",INDEX(Assessment!$F:$F,$X484))</f>
        <v/>
      </c>
      <c r="F484" s="10" t="str">
        <f>IF($X484="","",INDEX(Assessment!$G:$G,$X484))</f>
        <v/>
      </c>
      <c r="G484" s="10" t="str">
        <f>IF($X484="","",INDEX(Assessment!$J:$J,$X484))</f>
        <v/>
      </c>
      <c r="H484" s="10" t="str">
        <f>IF($X484="","",INDEX(Assessment!$L:$L,$X484))</f>
        <v/>
      </c>
      <c r="I484" s="10" t="str">
        <f>IF($X484="","",INDEX(Assessment!$N:$N,$X484))</f>
        <v/>
      </c>
      <c r="X484" t="str">
        <f>IF(468&lt;=$B$6,SMALL($Y$2:$Y$593,468),IF(468&lt;=$B$6+$B$7,SMALL($Z$2:$Z$593,468-$B$6),""))</f>
        <v/>
      </c>
      <c r="Y484" t="str">
        <f>IF(Assessment!$G484="Critical",ROW(Assessment!$G484),"")</f>
        <v/>
      </c>
      <c r="Z484" t="str">
        <f>IF(Assessment!$G484="High",ROW(Assessment!$G484),"")</f>
        <v/>
      </c>
    </row>
    <row r="485" spans="1:26" x14ac:dyDescent="0.25">
      <c r="A485" s="10" t="str">
        <f>IF($X485="","",469)</f>
        <v/>
      </c>
      <c r="B485" s="10" t="str">
        <f>IF($X485="","",INDEX(Assessment!$A:$A,$X485))</f>
        <v/>
      </c>
      <c r="C485" s="10" t="str">
        <f>IF($X485="","",INDEX(Assessment!$B:$B,$X485))</f>
        <v/>
      </c>
      <c r="D485" s="10" t="str">
        <f>IF($X485="","",INDEX(Assessment!$C:$C,$X485))</f>
        <v/>
      </c>
      <c r="E485" s="10" t="str">
        <f>IF($X485="","",INDEX(Assessment!$F:$F,$X485))</f>
        <v/>
      </c>
      <c r="F485" s="10" t="str">
        <f>IF($X485="","",INDEX(Assessment!$G:$G,$X485))</f>
        <v/>
      </c>
      <c r="G485" s="10" t="str">
        <f>IF($X485="","",INDEX(Assessment!$J:$J,$X485))</f>
        <v/>
      </c>
      <c r="H485" s="10" t="str">
        <f>IF($X485="","",INDEX(Assessment!$L:$L,$X485))</f>
        <v/>
      </c>
      <c r="I485" s="10" t="str">
        <f>IF($X485="","",INDEX(Assessment!$N:$N,$X485))</f>
        <v/>
      </c>
      <c r="X485" t="str">
        <f>IF(469&lt;=$B$6,SMALL($Y$2:$Y$593,469),IF(469&lt;=$B$6+$B$7,SMALL($Z$2:$Z$593,469-$B$6),""))</f>
        <v/>
      </c>
      <c r="Y485" t="str">
        <f>IF(Assessment!$G485="Critical",ROW(Assessment!$G485),"")</f>
        <v/>
      </c>
      <c r="Z485">
        <f>IF(Assessment!$G485="High",ROW(Assessment!$G485),"")</f>
        <v>485</v>
      </c>
    </row>
    <row r="486" spans="1:26" x14ac:dyDescent="0.25">
      <c r="A486" s="10" t="str">
        <f>IF($X486="","",470)</f>
        <v/>
      </c>
      <c r="B486" s="10" t="str">
        <f>IF($X486="","",INDEX(Assessment!$A:$A,$X486))</f>
        <v/>
      </c>
      <c r="C486" s="10" t="str">
        <f>IF($X486="","",INDEX(Assessment!$B:$B,$X486))</f>
        <v/>
      </c>
      <c r="D486" s="10" t="str">
        <f>IF($X486="","",INDEX(Assessment!$C:$C,$X486))</f>
        <v/>
      </c>
      <c r="E486" s="10" t="str">
        <f>IF($X486="","",INDEX(Assessment!$F:$F,$X486))</f>
        <v/>
      </c>
      <c r="F486" s="10" t="str">
        <f>IF($X486="","",INDEX(Assessment!$G:$G,$X486))</f>
        <v/>
      </c>
      <c r="G486" s="10" t="str">
        <f>IF($X486="","",INDEX(Assessment!$J:$J,$X486))</f>
        <v/>
      </c>
      <c r="H486" s="10" t="str">
        <f>IF($X486="","",INDEX(Assessment!$L:$L,$X486))</f>
        <v/>
      </c>
      <c r="I486" s="10" t="str">
        <f>IF($X486="","",INDEX(Assessment!$N:$N,$X486))</f>
        <v/>
      </c>
      <c r="X486" t="str">
        <f>IF(470&lt;=$B$6,SMALL($Y$2:$Y$593,470),IF(470&lt;=$B$6+$B$7,SMALL($Z$2:$Z$593,470-$B$6),""))</f>
        <v/>
      </c>
      <c r="Y486" t="str">
        <f>IF(Assessment!$G486="Critical",ROW(Assessment!$G486),"")</f>
        <v/>
      </c>
      <c r="Z486" t="str">
        <f>IF(Assessment!$G486="High",ROW(Assessment!$G486),"")</f>
        <v/>
      </c>
    </row>
    <row r="487" spans="1:26" x14ac:dyDescent="0.25">
      <c r="A487" s="10" t="str">
        <f>IF($X487="","",471)</f>
        <v/>
      </c>
      <c r="B487" s="10" t="str">
        <f>IF($X487="","",INDEX(Assessment!$A:$A,$X487))</f>
        <v/>
      </c>
      <c r="C487" s="10" t="str">
        <f>IF($X487="","",INDEX(Assessment!$B:$B,$X487))</f>
        <v/>
      </c>
      <c r="D487" s="10" t="str">
        <f>IF($X487="","",INDEX(Assessment!$C:$C,$X487))</f>
        <v/>
      </c>
      <c r="E487" s="10" t="str">
        <f>IF($X487="","",INDEX(Assessment!$F:$F,$X487))</f>
        <v/>
      </c>
      <c r="F487" s="10" t="str">
        <f>IF($X487="","",INDEX(Assessment!$G:$G,$X487))</f>
        <v/>
      </c>
      <c r="G487" s="10" t="str">
        <f>IF($X487="","",INDEX(Assessment!$J:$J,$X487))</f>
        <v/>
      </c>
      <c r="H487" s="10" t="str">
        <f>IF($X487="","",INDEX(Assessment!$L:$L,$X487))</f>
        <v/>
      </c>
      <c r="I487" s="10" t="str">
        <f>IF($X487="","",INDEX(Assessment!$N:$N,$X487))</f>
        <v/>
      </c>
      <c r="X487" t="str">
        <f>IF(471&lt;=$B$6,SMALL($Y$2:$Y$593,471),IF(471&lt;=$B$6+$B$7,SMALL($Z$2:$Z$593,471-$B$6),""))</f>
        <v/>
      </c>
      <c r="Y487" t="str">
        <f>IF(Assessment!$G487="Critical",ROW(Assessment!$G487),"")</f>
        <v/>
      </c>
      <c r="Z487" t="str">
        <f>IF(Assessment!$G487="High",ROW(Assessment!$G487),"")</f>
        <v/>
      </c>
    </row>
    <row r="488" spans="1:26" x14ac:dyDescent="0.25">
      <c r="A488" s="10" t="str">
        <f>IF($X488="","",472)</f>
        <v/>
      </c>
      <c r="B488" s="10" t="str">
        <f>IF($X488="","",INDEX(Assessment!$A:$A,$X488))</f>
        <v/>
      </c>
      <c r="C488" s="10" t="str">
        <f>IF($X488="","",INDEX(Assessment!$B:$B,$X488))</f>
        <v/>
      </c>
      <c r="D488" s="10" t="str">
        <f>IF($X488="","",INDEX(Assessment!$C:$C,$X488))</f>
        <v/>
      </c>
      <c r="E488" s="10" t="str">
        <f>IF($X488="","",INDEX(Assessment!$F:$F,$X488))</f>
        <v/>
      </c>
      <c r="F488" s="10" t="str">
        <f>IF($X488="","",INDEX(Assessment!$G:$G,$X488))</f>
        <v/>
      </c>
      <c r="G488" s="10" t="str">
        <f>IF($X488="","",INDEX(Assessment!$J:$J,$X488))</f>
        <v/>
      </c>
      <c r="H488" s="10" t="str">
        <f>IF($X488="","",INDEX(Assessment!$L:$L,$X488))</f>
        <v/>
      </c>
      <c r="I488" s="10" t="str">
        <f>IF($X488="","",INDEX(Assessment!$N:$N,$X488))</f>
        <v/>
      </c>
      <c r="X488" t="str">
        <f>IF(472&lt;=$B$6,SMALL($Y$2:$Y$593,472),IF(472&lt;=$B$6+$B$7,SMALL($Z$2:$Z$593,472-$B$6),""))</f>
        <v/>
      </c>
      <c r="Y488" t="str">
        <f>IF(Assessment!$G488="Critical",ROW(Assessment!$G488),"")</f>
        <v/>
      </c>
      <c r="Z488" t="str">
        <f>IF(Assessment!$G488="High",ROW(Assessment!$G488),"")</f>
        <v/>
      </c>
    </row>
    <row r="489" spans="1:26" x14ac:dyDescent="0.25">
      <c r="A489" s="10" t="str">
        <f>IF($X489="","",473)</f>
        <v/>
      </c>
      <c r="B489" s="10" t="str">
        <f>IF($X489="","",INDEX(Assessment!$A:$A,$X489))</f>
        <v/>
      </c>
      <c r="C489" s="10" t="str">
        <f>IF($X489="","",INDEX(Assessment!$B:$B,$X489))</f>
        <v/>
      </c>
      <c r="D489" s="10" t="str">
        <f>IF($X489="","",INDEX(Assessment!$C:$C,$X489))</f>
        <v/>
      </c>
      <c r="E489" s="10" t="str">
        <f>IF($X489="","",INDEX(Assessment!$F:$F,$X489))</f>
        <v/>
      </c>
      <c r="F489" s="10" t="str">
        <f>IF($X489="","",INDEX(Assessment!$G:$G,$X489))</f>
        <v/>
      </c>
      <c r="G489" s="10" t="str">
        <f>IF($X489="","",INDEX(Assessment!$J:$J,$X489))</f>
        <v/>
      </c>
      <c r="H489" s="10" t="str">
        <f>IF($X489="","",INDEX(Assessment!$L:$L,$X489))</f>
        <v/>
      </c>
      <c r="I489" s="10" t="str">
        <f>IF($X489="","",INDEX(Assessment!$N:$N,$X489))</f>
        <v/>
      </c>
      <c r="X489" t="str">
        <f>IF(473&lt;=$B$6,SMALL($Y$2:$Y$593,473),IF(473&lt;=$B$6+$B$7,SMALL($Z$2:$Z$593,473-$B$6),""))</f>
        <v/>
      </c>
      <c r="Y489" t="str">
        <f>IF(Assessment!$G489="Critical",ROW(Assessment!$G489),"")</f>
        <v/>
      </c>
      <c r="Z489" t="str">
        <f>IF(Assessment!$G489="High",ROW(Assessment!$G489),"")</f>
        <v/>
      </c>
    </row>
    <row r="490" spans="1:26" x14ac:dyDescent="0.25">
      <c r="A490" s="10" t="str">
        <f>IF($X490="","",474)</f>
        <v/>
      </c>
      <c r="B490" s="10" t="str">
        <f>IF($X490="","",INDEX(Assessment!$A:$A,$X490))</f>
        <v/>
      </c>
      <c r="C490" s="10" t="str">
        <f>IF($X490="","",INDEX(Assessment!$B:$B,$X490))</f>
        <v/>
      </c>
      <c r="D490" s="10" t="str">
        <f>IF($X490="","",INDEX(Assessment!$C:$C,$X490))</f>
        <v/>
      </c>
      <c r="E490" s="10" t="str">
        <f>IF($X490="","",INDEX(Assessment!$F:$F,$X490))</f>
        <v/>
      </c>
      <c r="F490" s="10" t="str">
        <f>IF($X490="","",INDEX(Assessment!$G:$G,$X490))</f>
        <v/>
      </c>
      <c r="G490" s="10" t="str">
        <f>IF($X490="","",INDEX(Assessment!$J:$J,$X490))</f>
        <v/>
      </c>
      <c r="H490" s="10" t="str">
        <f>IF($X490="","",INDEX(Assessment!$L:$L,$X490))</f>
        <v/>
      </c>
      <c r="I490" s="10" t="str">
        <f>IF($X490="","",INDEX(Assessment!$N:$N,$X490))</f>
        <v/>
      </c>
      <c r="X490" t="str">
        <f>IF(474&lt;=$B$6,SMALL($Y$2:$Y$593,474),IF(474&lt;=$B$6+$B$7,SMALL($Z$2:$Z$593,474-$B$6),""))</f>
        <v/>
      </c>
      <c r="Y490" t="str">
        <f>IF(Assessment!$G490="Critical",ROW(Assessment!$G490),"")</f>
        <v/>
      </c>
      <c r="Z490" t="str">
        <f>IF(Assessment!$G490="High",ROW(Assessment!$G490),"")</f>
        <v/>
      </c>
    </row>
    <row r="491" spans="1:26" x14ac:dyDescent="0.25">
      <c r="A491" s="10" t="str">
        <f>IF($X491="","",475)</f>
        <v/>
      </c>
      <c r="B491" s="10" t="str">
        <f>IF($X491="","",INDEX(Assessment!$A:$A,$X491))</f>
        <v/>
      </c>
      <c r="C491" s="10" t="str">
        <f>IF($X491="","",INDEX(Assessment!$B:$B,$X491))</f>
        <v/>
      </c>
      <c r="D491" s="10" t="str">
        <f>IF($X491="","",INDEX(Assessment!$C:$C,$X491))</f>
        <v/>
      </c>
      <c r="E491" s="10" t="str">
        <f>IF($X491="","",INDEX(Assessment!$F:$F,$X491))</f>
        <v/>
      </c>
      <c r="F491" s="10" t="str">
        <f>IF($X491="","",INDEX(Assessment!$G:$G,$X491))</f>
        <v/>
      </c>
      <c r="G491" s="10" t="str">
        <f>IF($X491="","",INDEX(Assessment!$J:$J,$X491))</f>
        <v/>
      </c>
      <c r="H491" s="10" t="str">
        <f>IF($X491="","",INDEX(Assessment!$L:$L,$X491))</f>
        <v/>
      </c>
      <c r="I491" s="10" t="str">
        <f>IF($X491="","",INDEX(Assessment!$N:$N,$X491))</f>
        <v/>
      </c>
      <c r="X491" t="str">
        <f>IF(475&lt;=$B$6,SMALL($Y$2:$Y$593,475),IF(475&lt;=$B$6+$B$7,SMALL($Z$2:$Z$593,475-$B$6),""))</f>
        <v/>
      </c>
      <c r="Y491" t="str">
        <f>IF(Assessment!$G491="Critical",ROW(Assessment!$G491),"")</f>
        <v/>
      </c>
      <c r="Z491" t="str">
        <f>IF(Assessment!$G491="High",ROW(Assessment!$G491),"")</f>
        <v/>
      </c>
    </row>
    <row r="492" spans="1:26" x14ac:dyDescent="0.25">
      <c r="A492" s="10" t="str">
        <f>IF($X492="","",476)</f>
        <v/>
      </c>
      <c r="B492" s="10" t="str">
        <f>IF($X492="","",INDEX(Assessment!$A:$A,$X492))</f>
        <v/>
      </c>
      <c r="C492" s="10" t="str">
        <f>IF($X492="","",INDEX(Assessment!$B:$B,$X492))</f>
        <v/>
      </c>
      <c r="D492" s="10" t="str">
        <f>IF($X492="","",INDEX(Assessment!$C:$C,$X492))</f>
        <v/>
      </c>
      <c r="E492" s="10" t="str">
        <f>IF($X492="","",INDEX(Assessment!$F:$F,$X492))</f>
        <v/>
      </c>
      <c r="F492" s="10" t="str">
        <f>IF($X492="","",INDEX(Assessment!$G:$G,$X492))</f>
        <v/>
      </c>
      <c r="G492" s="10" t="str">
        <f>IF($X492="","",INDEX(Assessment!$J:$J,$X492))</f>
        <v/>
      </c>
      <c r="H492" s="10" t="str">
        <f>IF($X492="","",INDEX(Assessment!$L:$L,$X492))</f>
        <v/>
      </c>
      <c r="I492" s="10" t="str">
        <f>IF($X492="","",INDEX(Assessment!$N:$N,$X492))</f>
        <v/>
      </c>
      <c r="X492" t="str">
        <f>IF(476&lt;=$B$6,SMALL($Y$2:$Y$593,476),IF(476&lt;=$B$6+$B$7,SMALL($Z$2:$Z$593,476-$B$6),""))</f>
        <v/>
      </c>
      <c r="Y492" t="str">
        <f>IF(Assessment!$G492="Critical",ROW(Assessment!$G492),"")</f>
        <v/>
      </c>
      <c r="Z492" t="str">
        <f>IF(Assessment!$G492="High",ROW(Assessment!$G492),"")</f>
        <v/>
      </c>
    </row>
    <row r="493" spans="1:26" x14ac:dyDescent="0.25">
      <c r="A493" s="10" t="str">
        <f>IF($X493="","",477)</f>
        <v/>
      </c>
      <c r="B493" s="10" t="str">
        <f>IF($X493="","",INDEX(Assessment!$A:$A,$X493))</f>
        <v/>
      </c>
      <c r="C493" s="10" t="str">
        <f>IF($X493="","",INDEX(Assessment!$B:$B,$X493))</f>
        <v/>
      </c>
      <c r="D493" s="10" t="str">
        <f>IF($X493="","",INDEX(Assessment!$C:$C,$X493))</f>
        <v/>
      </c>
      <c r="E493" s="10" t="str">
        <f>IF($X493="","",INDEX(Assessment!$F:$F,$X493))</f>
        <v/>
      </c>
      <c r="F493" s="10" t="str">
        <f>IF($X493="","",INDEX(Assessment!$G:$G,$X493))</f>
        <v/>
      </c>
      <c r="G493" s="10" t="str">
        <f>IF($X493="","",INDEX(Assessment!$J:$J,$X493))</f>
        <v/>
      </c>
      <c r="H493" s="10" t="str">
        <f>IF($X493="","",INDEX(Assessment!$L:$L,$X493))</f>
        <v/>
      </c>
      <c r="I493" s="10" t="str">
        <f>IF($X493="","",INDEX(Assessment!$N:$N,$X493))</f>
        <v/>
      </c>
      <c r="X493" t="str">
        <f>IF(477&lt;=$B$6,SMALL($Y$2:$Y$593,477),IF(477&lt;=$B$6+$B$7,SMALL($Z$2:$Z$593,477-$B$6),""))</f>
        <v/>
      </c>
      <c r="Y493" t="str">
        <f>IF(Assessment!$G493="Critical",ROW(Assessment!$G493),"")</f>
        <v/>
      </c>
      <c r="Z493" t="str">
        <f>IF(Assessment!$G493="High",ROW(Assessment!$G493),"")</f>
        <v/>
      </c>
    </row>
    <row r="494" spans="1:26" x14ac:dyDescent="0.25">
      <c r="A494" s="10" t="str">
        <f>IF($X494="","",478)</f>
        <v/>
      </c>
      <c r="B494" s="10" t="str">
        <f>IF($X494="","",INDEX(Assessment!$A:$A,$X494))</f>
        <v/>
      </c>
      <c r="C494" s="10" t="str">
        <f>IF($X494="","",INDEX(Assessment!$B:$B,$X494))</f>
        <v/>
      </c>
      <c r="D494" s="10" t="str">
        <f>IF($X494="","",INDEX(Assessment!$C:$C,$X494))</f>
        <v/>
      </c>
      <c r="E494" s="10" t="str">
        <f>IF($X494="","",INDEX(Assessment!$F:$F,$X494))</f>
        <v/>
      </c>
      <c r="F494" s="10" t="str">
        <f>IF($X494="","",INDEX(Assessment!$G:$G,$X494))</f>
        <v/>
      </c>
      <c r="G494" s="10" t="str">
        <f>IF($X494="","",INDEX(Assessment!$J:$J,$X494))</f>
        <v/>
      </c>
      <c r="H494" s="10" t="str">
        <f>IF($X494="","",INDEX(Assessment!$L:$L,$X494))</f>
        <v/>
      </c>
      <c r="I494" s="10" t="str">
        <f>IF($X494="","",INDEX(Assessment!$N:$N,$X494))</f>
        <v/>
      </c>
      <c r="X494" t="str">
        <f>IF(478&lt;=$B$6,SMALL($Y$2:$Y$593,478),IF(478&lt;=$B$6+$B$7,SMALL($Z$2:$Z$593,478-$B$6),""))</f>
        <v/>
      </c>
      <c r="Y494" t="str">
        <f>IF(Assessment!$G494="Critical",ROW(Assessment!$G494),"")</f>
        <v/>
      </c>
      <c r="Z494" t="str">
        <f>IF(Assessment!$G494="High",ROW(Assessment!$G494),"")</f>
        <v/>
      </c>
    </row>
    <row r="495" spans="1:26" x14ac:dyDescent="0.25">
      <c r="A495" s="10" t="str">
        <f>IF($X495="","",479)</f>
        <v/>
      </c>
      <c r="B495" s="10" t="str">
        <f>IF($X495="","",INDEX(Assessment!$A:$A,$X495))</f>
        <v/>
      </c>
      <c r="C495" s="10" t="str">
        <f>IF($X495="","",INDEX(Assessment!$B:$B,$X495))</f>
        <v/>
      </c>
      <c r="D495" s="10" t="str">
        <f>IF($X495="","",INDEX(Assessment!$C:$C,$X495))</f>
        <v/>
      </c>
      <c r="E495" s="10" t="str">
        <f>IF($X495="","",INDEX(Assessment!$F:$F,$X495))</f>
        <v/>
      </c>
      <c r="F495" s="10" t="str">
        <f>IF($X495="","",INDEX(Assessment!$G:$G,$X495))</f>
        <v/>
      </c>
      <c r="G495" s="10" t="str">
        <f>IF($X495="","",INDEX(Assessment!$J:$J,$X495))</f>
        <v/>
      </c>
      <c r="H495" s="10" t="str">
        <f>IF($X495="","",INDEX(Assessment!$L:$L,$X495))</f>
        <v/>
      </c>
      <c r="I495" s="10" t="str">
        <f>IF($X495="","",INDEX(Assessment!$N:$N,$X495))</f>
        <v/>
      </c>
      <c r="X495" t="str">
        <f>IF(479&lt;=$B$6,SMALL($Y$2:$Y$593,479),IF(479&lt;=$B$6+$B$7,SMALL($Z$2:$Z$593,479-$B$6),""))</f>
        <v/>
      </c>
      <c r="Y495" t="str">
        <f>IF(Assessment!$G495="Critical",ROW(Assessment!$G495),"")</f>
        <v/>
      </c>
      <c r="Z495">
        <f>IF(Assessment!$G495="High",ROW(Assessment!$G495),"")</f>
        <v>495</v>
      </c>
    </row>
    <row r="496" spans="1:26" x14ac:dyDescent="0.25">
      <c r="A496" s="10" t="str">
        <f>IF($X496="","",480)</f>
        <v/>
      </c>
      <c r="B496" s="10" t="str">
        <f>IF($X496="","",INDEX(Assessment!$A:$A,$X496))</f>
        <v/>
      </c>
      <c r="C496" s="10" t="str">
        <f>IF($X496="","",INDEX(Assessment!$B:$B,$X496))</f>
        <v/>
      </c>
      <c r="D496" s="10" t="str">
        <f>IF($X496="","",INDEX(Assessment!$C:$C,$X496))</f>
        <v/>
      </c>
      <c r="E496" s="10" t="str">
        <f>IF($X496="","",INDEX(Assessment!$F:$F,$X496))</f>
        <v/>
      </c>
      <c r="F496" s="10" t="str">
        <f>IF($X496="","",INDEX(Assessment!$G:$G,$X496))</f>
        <v/>
      </c>
      <c r="G496" s="10" t="str">
        <f>IF($X496="","",INDEX(Assessment!$J:$J,$X496))</f>
        <v/>
      </c>
      <c r="H496" s="10" t="str">
        <f>IF($X496="","",INDEX(Assessment!$L:$L,$X496))</f>
        <v/>
      </c>
      <c r="I496" s="10" t="str">
        <f>IF($X496="","",INDEX(Assessment!$N:$N,$X496))</f>
        <v/>
      </c>
      <c r="X496" t="str">
        <f>IF(480&lt;=$B$6,SMALL($Y$2:$Y$593,480),IF(480&lt;=$B$6+$B$7,SMALL($Z$2:$Z$593,480-$B$6),""))</f>
        <v/>
      </c>
      <c r="Y496" t="str">
        <f>IF(Assessment!$G496="Critical",ROW(Assessment!$G496),"")</f>
        <v/>
      </c>
      <c r="Z496" t="str">
        <f>IF(Assessment!$G496="High",ROW(Assessment!$G496),"")</f>
        <v/>
      </c>
    </row>
    <row r="497" spans="1:26" x14ac:dyDescent="0.25">
      <c r="A497" s="10" t="str">
        <f>IF($X497="","",481)</f>
        <v/>
      </c>
      <c r="B497" s="10" t="str">
        <f>IF($X497="","",INDEX(Assessment!$A:$A,$X497))</f>
        <v/>
      </c>
      <c r="C497" s="10" t="str">
        <f>IF($X497="","",INDEX(Assessment!$B:$B,$X497))</f>
        <v/>
      </c>
      <c r="D497" s="10" t="str">
        <f>IF($X497="","",INDEX(Assessment!$C:$C,$X497))</f>
        <v/>
      </c>
      <c r="E497" s="10" t="str">
        <f>IF($X497="","",INDEX(Assessment!$F:$F,$X497))</f>
        <v/>
      </c>
      <c r="F497" s="10" t="str">
        <f>IF($X497="","",INDEX(Assessment!$G:$G,$X497))</f>
        <v/>
      </c>
      <c r="G497" s="10" t="str">
        <f>IF($X497="","",INDEX(Assessment!$J:$J,$X497))</f>
        <v/>
      </c>
      <c r="H497" s="10" t="str">
        <f>IF($X497="","",INDEX(Assessment!$L:$L,$X497))</f>
        <v/>
      </c>
      <c r="I497" s="10" t="str">
        <f>IF($X497="","",INDEX(Assessment!$N:$N,$X497))</f>
        <v/>
      </c>
      <c r="X497" t="str">
        <f>IF(481&lt;=$B$6,SMALL($Y$2:$Y$593,481),IF(481&lt;=$B$6+$B$7,SMALL($Z$2:$Z$593,481-$B$6),""))</f>
        <v/>
      </c>
      <c r="Y497" t="str">
        <f>IF(Assessment!$G497="Critical",ROW(Assessment!$G497),"")</f>
        <v/>
      </c>
      <c r="Z497" t="str">
        <f>IF(Assessment!$G497="High",ROW(Assessment!$G497),"")</f>
        <v/>
      </c>
    </row>
    <row r="498" spans="1:26" x14ac:dyDescent="0.25">
      <c r="A498" s="10" t="str">
        <f>IF($X498="","",482)</f>
        <v/>
      </c>
      <c r="B498" s="10" t="str">
        <f>IF($X498="","",INDEX(Assessment!$A:$A,$X498))</f>
        <v/>
      </c>
      <c r="C498" s="10" t="str">
        <f>IF($X498="","",INDEX(Assessment!$B:$B,$X498))</f>
        <v/>
      </c>
      <c r="D498" s="10" t="str">
        <f>IF($X498="","",INDEX(Assessment!$C:$C,$X498))</f>
        <v/>
      </c>
      <c r="E498" s="10" t="str">
        <f>IF($X498="","",INDEX(Assessment!$F:$F,$X498))</f>
        <v/>
      </c>
      <c r="F498" s="10" t="str">
        <f>IF($X498="","",INDEX(Assessment!$G:$G,$X498))</f>
        <v/>
      </c>
      <c r="G498" s="10" t="str">
        <f>IF($X498="","",INDEX(Assessment!$J:$J,$X498))</f>
        <v/>
      </c>
      <c r="H498" s="10" t="str">
        <f>IF($X498="","",INDEX(Assessment!$L:$L,$X498))</f>
        <v/>
      </c>
      <c r="I498" s="10" t="str">
        <f>IF($X498="","",INDEX(Assessment!$N:$N,$X498))</f>
        <v/>
      </c>
      <c r="X498" t="str">
        <f>IF(482&lt;=$B$6,SMALL($Y$2:$Y$593,482),IF(482&lt;=$B$6+$B$7,SMALL($Z$2:$Z$593,482-$B$6),""))</f>
        <v/>
      </c>
      <c r="Y498" t="str">
        <f>IF(Assessment!$G498="Critical",ROW(Assessment!$G498),"")</f>
        <v/>
      </c>
      <c r="Z498" t="str">
        <f>IF(Assessment!$G498="High",ROW(Assessment!$G498),"")</f>
        <v/>
      </c>
    </row>
    <row r="499" spans="1:26" x14ac:dyDescent="0.25">
      <c r="A499" s="10" t="str">
        <f>IF($X499="","",483)</f>
        <v/>
      </c>
      <c r="B499" s="10" t="str">
        <f>IF($X499="","",INDEX(Assessment!$A:$A,$X499))</f>
        <v/>
      </c>
      <c r="C499" s="10" t="str">
        <f>IF($X499="","",INDEX(Assessment!$B:$B,$X499))</f>
        <v/>
      </c>
      <c r="D499" s="10" t="str">
        <f>IF($X499="","",INDEX(Assessment!$C:$C,$X499))</f>
        <v/>
      </c>
      <c r="E499" s="10" t="str">
        <f>IF($X499="","",INDEX(Assessment!$F:$F,$X499))</f>
        <v/>
      </c>
      <c r="F499" s="10" t="str">
        <f>IF($X499="","",INDEX(Assessment!$G:$G,$X499))</f>
        <v/>
      </c>
      <c r="G499" s="10" t="str">
        <f>IF($X499="","",INDEX(Assessment!$J:$J,$X499))</f>
        <v/>
      </c>
      <c r="H499" s="10" t="str">
        <f>IF($X499="","",INDEX(Assessment!$L:$L,$X499))</f>
        <v/>
      </c>
      <c r="I499" s="10" t="str">
        <f>IF($X499="","",INDEX(Assessment!$N:$N,$X499))</f>
        <v/>
      </c>
      <c r="X499" t="str">
        <f>IF(483&lt;=$B$6,SMALL($Y$2:$Y$593,483),IF(483&lt;=$B$6+$B$7,SMALL($Z$2:$Z$593,483-$B$6),""))</f>
        <v/>
      </c>
      <c r="Y499" t="str">
        <f>IF(Assessment!$G499="Critical",ROW(Assessment!$G499),"")</f>
        <v/>
      </c>
      <c r="Z499" t="str">
        <f>IF(Assessment!$G499="High",ROW(Assessment!$G499),"")</f>
        <v/>
      </c>
    </row>
    <row r="500" spans="1:26" x14ac:dyDescent="0.25">
      <c r="A500" s="10" t="str">
        <f>IF($X500="","",484)</f>
        <v/>
      </c>
      <c r="B500" s="10" t="str">
        <f>IF($X500="","",INDEX(Assessment!$A:$A,$X500))</f>
        <v/>
      </c>
      <c r="C500" s="10" t="str">
        <f>IF($X500="","",INDEX(Assessment!$B:$B,$X500))</f>
        <v/>
      </c>
      <c r="D500" s="10" t="str">
        <f>IF($X500="","",INDEX(Assessment!$C:$C,$X500))</f>
        <v/>
      </c>
      <c r="E500" s="10" t="str">
        <f>IF($X500="","",INDEX(Assessment!$F:$F,$X500))</f>
        <v/>
      </c>
      <c r="F500" s="10" t="str">
        <f>IF($X500="","",INDEX(Assessment!$G:$G,$X500))</f>
        <v/>
      </c>
      <c r="G500" s="10" t="str">
        <f>IF($X500="","",INDEX(Assessment!$J:$J,$X500))</f>
        <v/>
      </c>
      <c r="H500" s="10" t="str">
        <f>IF($X500="","",INDEX(Assessment!$L:$L,$X500))</f>
        <v/>
      </c>
      <c r="I500" s="10" t="str">
        <f>IF($X500="","",INDEX(Assessment!$N:$N,$X500))</f>
        <v/>
      </c>
      <c r="X500" t="str">
        <f>IF(484&lt;=$B$6,SMALL($Y$2:$Y$593,484),IF(484&lt;=$B$6+$B$7,SMALL($Z$2:$Z$593,484-$B$6),""))</f>
        <v/>
      </c>
      <c r="Y500" t="str">
        <f>IF(Assessment!$G500="Critical",ROW(Assessment!$G500),"")</f>
        <v/>
      </c>
      <c r="Z500" t="str">
        <f>IF(Assessment!$G500="High",ROW(Assessment!$G500),"")</f>
        <v/>
      </c>
    </row>
    <row r="501" spans="1:26" x14ac:dyDescent="0.25">
      <c r="A501" s="10" t="str">
        <f>IF($X501="","",485)</f>
        <v/>
      </c>
      <c r="B501" s="10" t="str">
        <f>IF($X501="","",INDEX(Assessment!$A:$A,$X501))</f>
        <v/>
      </c>
      <c r="C501" s="10" t="str">
        <f>IF($X501="","",INDEX(Assessment!$B:$B,$X501))</f>
        <v/>
      </c>
      <c r="D501" s="10" t="str">
        <f>IF($X501="","",INDEX(Assessment!$C:$C,$X501))</f>
        <v/>
      </c>
      <c r="E501" s="10" t="str">
        <f>IF($X501="","",INDEX(Assessment!$F:$F,$X501))</f>
        <v/>
      </c>
      <c r="F501" s="10" t="str">
        <f>IF($X501="","",INDEX(Assessment!$G:$G,$X501))</f>
        <v/>
      </c>
      <c r="G501" s="10" t="str">
        <f>IF($X501="","",INDEX(Assessment!$J:$J,$X501))</f>
        <v/>
      </c>
      <c r="H501" s="10" t="str">
        <f>IF($X501="","",INDEX(Assessment!$L:$L,$X501))</f>
        <v/>
      </c>
      <c r="I501" s="10" t="str">
        <f>IF($X501="","",INDEX(Assessment!$N:$N,$X501))</f>
        <v/>
      </c>
      <c r="X501" t="str">
        <f>IF(485&lt;=$B$6,SMALL($Y$2:$Y$593,485),IF(485&lt;=$B$6+$B$7,SMALL($Z$2:$Z$593,485-$B$6),""))</f>
        <v/>
      </c>
      <c r="Y501" t="str">
        <f>IF(Assessment!$G501="Critical",ROW(Assessment!$G501),"")</f>
        <v/>
      </c>
      <c r="Z501" t="str">
        <f>IF(Assessment!$G501="High",ROW(Assessment!$G501),"")</f>
        <v/>
      </c>
    </row>
    <row r="502" spans="1:26" x14ac:dyDescent="0.25">
      <c r="A502" s="10" t="str">
        <f>IF($X502="","",486)</f>
        <v/>
      </c>
      <c r="B502" s="10" t="str">
        <f>IF($X502="","",INDEX(Assessment!$A:$A,$X502))</f>
        <v/>
      </c>
      <c r="C502" s="10" t="str">
        <f>IF($X502="","",INDEX(Assessment!$B:$B,$X502))</f>
        <v/>
      </c>
      <c r="D502" s="10" t="str">
        <f>IF($X502="","",INDEX(Assessment!$C:$C,$X502))</f>
        <v/>
      </c>
      <c r="E502" s="10" t="str">
        <f>IF($X502="","",INDEX(Assessment!$F:$F,$X502))</f>
        <v/>
      </c>
      <c r="F502" s="10" t="str">
        <f>IF($X502="","",INDEX(Assessment!$G:$G,$X502))</f>
        <v/>
      </c>
      <c r="G502" s="10" t="str">
        <f>IF($X502="","",INDEX(Assessment!$J:$J,$X502))</f>
        <v/>
      </c>
      <c r="H502" s="10" t="str">
        <f>IF($X502="","",INDEX(Assessment!$L:$L,$X502))</f>
        <v/>
      </c>
      <c r="I502" s="10" t="str">
        <f>IF($X502="","",INDEX(Assessment!$N:$N,$X502))</f>
        <v/>
      </c>
      <c r="X502" t="str">
        <f>IF(486&lt;=$B$6,SMALL($Y$2:$Y$593,486),IF(486&lt;=$B$6+$B$7,SMALL($Z$2:$Z$593,486-$B$6),""))</f>
        <v/>
      </c>
      <c r="Y502" t="str">
        <f>IF(Assessment!$G502="Critical",ROW(Assessment!$G502),"")</f>
        <v/>
      </c>
      <c r="Z502" t="str">
        <f>IF(Assessment!$G502="High",ROW(Assessment!$G502),"")</f>
        <v/>
      </c>
    </row>
    <row r="503" spans="1:26" x14ac:dyDescent="0.25">
      <c r="A503" s="10" t="str">
        <f>IF($X503="","",487)</f>
        <v/>
      </c>
      <c r="B503" s="10" t="str">
        <f>IF($X503="","",INDEX(Assessment!$A:$A,$X503))</f>
        <v/>
      </c>
      <c r="C503" s="10" t="str">
        <f>IF($X503="","",INDEX(Assessment!$B:$B,$X503))</f>
        <v/>
      </c>
      <c r="D503" s="10" t="str">
        <f>IF($X503="","",INDEX(Assessment!$C:$C,$X503))</f>
        <v/>
      </c>
      <c r="E503" s="10" t="str">
        <f>IF($X503="","",INDEX(Assessment!$F:$F,$X503))</f>
        <v/>
      </c>
      <c r="F503" s="10" t="str">
        <f>IF($X503="","",INDEX(Assessment!$G:$G,$X503))</f>
        <v/>
      </c>
      <c r="G503" s="10" t="str">
        <f>IF($X503="","",INDEX(Assessment!$J:$J,$X503))</f>
        <v/>
      </c>
      <c r="H503" s="10" t="str">
        <f>IF($X503="","",INDEX(Assessment!$L:$L,$X503))</f>
        <v/>
      </c>
      <c r="I503" s="10" t="str">
        <f>IF($X503="","",INDEX(Assessment!$N:$N,$X503))</f>
        <v/>
      </c>
      <c r="X503" t="str">
        <f>IF(487&lt;=$B$6,SMALL($Y$2:$Y$593,487),IF(487&lt;=$B$6+$B$7,SMALL($Z$2:$Z$593,487-$B$6),""))</f>
        <v/>
      </c>
      <c r="Y503" t="str">
        <f>IF(Assessment!$G503="Critical",ROW(Assessment!$G503),"")</f>
        <v/>
      </c>
      <c r="Z503" t="str">
        <f>IF(Assessment!$G503="High",ROW(Assessment!$G503),"")</f>
        <v/>
      </c>
    </row>
    <row r="504" spans="1:26" x14ac:dyDescent="0.25">
      <c r="A504" s="10" t="str">
        <f>IF($X504="","",488)</f>
        <v/>
      </c>
      <c r="B504" s="10" t="str">
        <f>IF($X504="","",INDEX(Assessment!$A:$A,$X504))</f>
        <v/>
      </c>
      <c r="C504" s="10" t="str">
        <f>IF($X504="","",INDEX(Assessment!$B:$B,$X504))</f>
        <v/>
      </c>
      <c r="D504" s="10" t="str">
        <f>IF($X504="","",INDEX(Assessment!$C:$C,$X504))</f>
        <v/>
      </c>
      <c r="E504" s="10" t="str">
        <f>IF($X504="","",INDEX(Assessment!$F:$F,$X504))</f>
        <v/>
      </c>
      <c r="F504" s="10" t="str">
        <f>IF($X504="","",INDEX(Assessment!$G:$G,$X504))</f>
        <v/>
      </c>
      <c r="G504" s="10" t="str">
        <f>IF($X504="","",INDEX(Assessment!$J:$J,$X504))</f>
        <v/>
      </c>
      <c r="H504" s="10" t="str">
        <f>IF($X504="","",INDEX(Assessment!$L:$L,$X504))</f>
        <v/>
      </c>
      <c r="I504" s="10" t="str">
        <f>IF($X504="","",INDEX(Assessment!$N:$N,$X504))</f>
        <v/>
      </c>
      <c r="X504" t="str">
        <f>IF(488&lt;=$B$6,SMALL($Y$2:$Y$593,488),IF(488&lt;=$B$6+$B$7,SMALL($Z$2:$Z$593,488-$B$6),""))</f>
        <v/>
      </c>
      <c r="Y504" t="str">
        <f>IF(Assessment!$G504="Critical",ROW(Assessment!$G504),"")</f>
        <v/>
      </c>
      <c r="Z504" t="str">
        <f>IF(Assessment!$G504="High",ROW(Assessment!$G504),"")</f>
        <v/>
      </c>
    </row>
    <row r="505" spans="1:26" x14ac:dyDescent="0.25">
      <c r="A505" s="10" t="str">
        <f>IF($X505="","",489)</f>
        <v/>
      </c>
      <c r="B505" s="10" t="str">
        <f>IF($X505="","",INDEX(Assessment!$A:$A,$X505))</f>
        <v/>
      </c>
      <c r="C505" s="10" t="str">
        <f>IF($X505="","",INDEX(Assessment!$B:$B,$X505))</f>
        <v/>
      </c>
      <c r="D505" s="10" t="str">
        <f>IF($X505="","",INDEX(Assessment!$C:$C,$X505))</f>
        <v/>
      </c>
      <c r="E505" s="10" t="str">
        <f>IF($X505="","",INDEX(Assessment!$F:$F,$X505))</f>
        <v/>
      </c>
      <c r="F505" s="10" t="str">
        <f>IF($X505="","",INDEX(Assessment!$G:$G,$X505))</f>
        <v/>
      </c>
      <c r="G505" s="10" t="str">
        <f>IF($X505="","",INDEX(Assessment!$J:$J,$X505))</f>
        <v/>
      </c>
      <c r="H505" s="10" t="str">
        <f>IF($X505="","",INDEX(Assessment!$L:$L,$X505))</f>
        <v/>
      </c>
      <c r="I505" s="10" t="str">
        <f>IF($X505="","",INDEX(Assessment!$N:$N,$X505))</f>
        <v/>
      </c>
      <c r="X505" t="str">
        <f>IF(489&lt;=$B$6,SMALL($Y$2:$Y$593,489),IF(489&lt;=$B$6+$B$7,SMALL($Z$2:$Z$593,489-$B$6),""))</f>
        <v/>
      </c>
      <c r="Y505" t="str">
        <f>IF(Assessment!$G505="Critical",ROW(Assessment!$G505),"")</f>
        <v/>
      </c>
      <c r="Z505">
        <f>IF(Assessment!$G505="High",ROW(Assessment!$G505),"")</f>
        <v>505</v>
      </c>
    </row>
    <row r="506" spans="1:26" x14ac:dyDescent="0.25">
      <c r="A506" s="10" t="str">
        <f>IF($X506="","",490)</f>
        <v/>
      </c>
      <c r="B506" s="10" t="str">
        <f>IF($X506="","",INDEX(Assessment!$A:$A,$X506))</f>
        <v/>
      </c>
      <c r="C506" s="10" t="str">
        <f>IF($X506="","",INDEX(Assessment!$B:$B,$X506))</f>
        <v/>
      </c>
      <c r="D506" s="10" t="str">
        <f>IF($X506="","",INDEX(Assessment!$C:$C,$X506))</f>
        <v/>
      </c>
      <c r="E506" s="10" t="str">
        <f>IF($X506="","",INDEX(Assessment!$F:$F,$X506))</f>
        <v/>
      </c>
      <c r="F506" s="10" t="str">
        <f>IF($X506="","",INDEX(Assessment!$G:$G,$X506))</f>
        <v/>
      </c>
      <c r="G506" s="10" t="str">
        <f>IF($X506="","",INDEX(Assessment!$J:$J,$X506))</f>
        <v/>
      </c>
      <c r="H506" s="10" t="str">
        <f>IF($X506="","",INDEX(Assessment!$L:$L,$X506))</f>
        <v/>
      </c>
      <c r="I506" s="10" t="str">
        <f>IF($X506="","",INDEX(Assessment!$N:$N,$X506))</f>
        <v/>
      </c>
      <c r="X506" t="str">
        <f>IF(490&lt;=$B$6,SMALL($Y$2:$Y$593,490),IF(490&lt;=$B$6+$B$7,SMALL($Z$2:$Z$593,490-$B$6),""))</f>
        <v/>
      </c>
      <c r="Y506" t="str">
        <f>IF(Assessment!$G506="Critical",ROW(Assessment!$G506),"")</f>
        <v/>
      </c>
      <c r="Z506" t="str">
        <f>IF(Assessment!$G506="High",ROW(Assessment!$G506),"")</f>
        <v/>
      </c>
    </row>
    <row r="507" spans="1:26" x14ac:dyDescent="0.25">
      <c r="A507" s="10" t="str">
        <f>IF($X507="","",491)</f>
        <v/>
      </c>
      <c r="B507" s="10" t="str">
        <f>IF($X507="","",INDEX(Assessment!$A:$A,$X507))</f>
        <v/>
      </c>
      <c r="C507" s="10" t="str">
        <f>IF($X507="","",INDEX(Assessment!$B:$B,$X507))</f>
        <v/>
      </c>
      <c r="D507" s="10" t="str">
        <f>IF($X507="","",INDEX(Assessment!$C:$C,$X507))</f>
        <v/>
      </c>
      <c r="E507" s="10" t="str">
        <f>IF($X507="","",INDEX(Assessment!$F:$F,$X507))</f>
        <v/>
      </c>
      <c r="F507" s="10" t="str">
        <f>IF($X507="","",INDEX(Assessment!$G:$G,$X507))</f>
        <v/>
      </c>
      <c r="G507" s="10" t="str">
        <f>IF($X507="","",INDEX(Assessment!$J:$J,$X507))</f>
        <v/>
      </c>
      <c r="H507" s="10" t="str">
        <f>IF($X507="","",INDEX(Assessment!$L:$L,$X507))</f>
        <v/>
      </c>
      <c r="I507" s="10" t="str">
        <f>IF($X507="","",INDEX(Assessment!$N:$N,$X507))</f>
        <v/>
      </c>
      <c r="X507" t="str">
        <f>IF(491&lt;=$B$6,SMALL($Y$2:$Y$593,491),IF(491&lt;=$B$6+$B$7,SMALL($Z$2:$Z$593,491-$B$6),""))</f>
        <v/>
      </c>
      <c r="Y507" t="str">
        <f>IF(Assessment!$G507="Critical",ROW(Assessment!$G507),"")</f>
        <v/>
      </c>
      <c r="Z507" t="str">
        <f>IF(Assessment!$G507="High",ROW(Assessment!$G507),"")</f>
        <v/>
      </c>
    </row>
    <row r="508" spans="1:26" x14ac:dyDescent="0.25">
      <c r="A508" s="10" t="str">
        <f>IF($X508="","",492)</f>
        <v/>
      </c>
      <c r="B508" s="10" t="str">
        <f>IF($X508="","",INDEX(Assessment!$A:$A,$X508))</f>
        <v/>
      </c>
      <c r="C508" s="10" t="str">
        <f>IF($X508="","",INDEX(Assessment!$B:$B,$X508))</f>
        <v/>
      </c>
      <c r="D508" s="10" t="str">
        <f>IF($X508="","",INDEX(Assessment!$C:$C,$X508))</f>
        <v/>
      </c>
      <c r="E508" s="10" t="str">
        <f>IF($X508="","",INDEX(Assessment!$F:$F,$X508))</f>
        <v/>
      </c>
      <c r="F508" s="10" t="str">
        <f>IF($X508="","",INDEX(Assessment!$G:$G,$X508))</f>
        <v/>
      </c>
      <c r="G508" s="10" t="str">
        <f>IF($X508="","",INDEX(Assessment!$J:$J,$X508))</f>
        <v/>
      </c>
      <c r="H508" s="10" t="str">
        <f>IF($X508="","",INDEX(Assessment!$L:$L,$X508))</f>
        <v/>
      </c>
      <c r="I508" s="10" t="str">
        <f>IF($X508="","",INDEX(Assessment!$N:$N,$X508))</f>
        <v/>
      </c>
      <c r="X508" t="str">
        <f>IF(492&lt;=$B$6,SMALL($Y$2:$Y$593,492),IF(492&lt;=$B$6+$B$7,SMALL($Z$2:$Z$593,492-$B$6),""))</f>
        <v/>
      </c>
      <c r="Y508" t="str">
        <f>IF(Assessment!$G508="Critical",ROW(Assessment!$G508),"")</f>
        <v/>
      </c>
      <c r="Z508" t="str">
        <f>IF(Assessment!$G508="High",ROW(Assessment!$G508),"")</f>
        <v/>
      </c>
    </row>
    <row r="509" spans="1:26" x14ac:dyDescent="0.25">
      <c r="A509" s="10" t="str">
        <f>IF($X509="","",493)</f>
        <v/>
      </c>
      <c r="B509" s="10" t="str">
        <f>IF($X509="","",INDEX(Assessment!$A:$A,$X509))</f>
        <v/>
      </c>
      <c r="C509" s="10" t="str">
        <f>IF($X509="","",INDEX(Assessment!$B:$B,$X509))</f>
        <v/>
      </c>
      <c r="D509" s="10" t="str">
        <f>IF($X509="","",INDEX(Assessment!$C:$C,$X509))</f>
        <v/>
      </c>
      <c r="E509" s="10" t="str">
        <f>IF($X509="","",INDEX(Assessment!$F:$F,$X509))</f>
        <v/>
      </c>
      <c r="F509" s="10" t="str">
        <f>IF($X509="","",INDEX(Assessment!$G:$G,$X509))</f>
        <v/>
      </c>
      <c r="G509" s="10" t="str">
        <f>IF($X509="","",INDEX(Assessment!$J:$J,$X509))</f>
        <v/>
      </c>
      <c r="H509" s="10" t="str">
        <f>IF($X509="","",INDEX(Assessment!$L:$L,$X509))</f>
        <v/>
      </c>
      <c r="I509" s="10" t="str">
        <f>IF($X509="","",INDEX(Assessment!$N:$N,$X509))</f>
        <v/>
      </c>
      <c r="X509" t="str">
        <f>IF(493&lt;=$B$6,SMALL($Y$2:$Y$593,493),IF(493&lt;=$B$6+$B$7,SMALL($Z$2:$Z$593,493-$B$6),""))</f>
        <v/>
      </c>
      <c r="Y509" t="str">
        <f>IF(Assessment!$G509="Critical",ROW(Assessment!$G509),"")</f>
        <v/>
      </c>
      <c r="Z509" t="str">
        <f>IF(Assessment!$G509="High",ROW(Assessment!$G509),"")</f>
        <v/>
      </c>
    </row>
    <row r="510" spans="1:26" x14ac:dyDescent="0.25">
      <c r="A510" s="10" t="str">
        <f>IF($X510="","",494)</f>
        <v/>
      </c>
      <c r="B510" s="10" t="str">
        <f>IF($X510="","",INDEX(Assessment!$A:$A,$X510))</f>
        <v/>
      </c>
      <c r="C510" s="10" t="str">
        <f>IF($X510="","",INDEX(Assessment!$B:$B,$X510))</f>
        <v/>
      </c>
      <c r="D510" s="10" t="str">
        <f>IF($X510="","",INDEX(Assessment!$C:$C,$X510))</f>
        <v/>
      </c>
      <c r="E510" s="10" t="str">
        <f>IF($X510="","",INDEX(Assessment!$F:$F,$X510))</f>
        <v/>
      </c>
      <c r="F510" s="10" t="str">
        <f>IF($X510="","",INDEX(Assessment!$G:$G,$X510))</f>
        <v/>
      </c>
      <c r="G510" s="10" t="str">
        <f>IF($X510="","",INDEX(Assessment!$J:$J,$X510))</f>
        <v/>
      </c>
      <c r="H510" s="10" t="str">
        <f>IF($X510="","",INDEX(Assessment!$L:$L,$X510))</f>
        <v/>
      </c>
      <c r="I510" s="10" t="str">
        <f>IF($X510="","",INDEX(Assessment!$N:$N,$X510))</f>
        <v/>
      </c>
      <c r="X510" t="str">
        <f>IF(494&lt;=$B$6,SMALL($Y$2:$Y$593,494),IF(494&lt;=$B$6+$B$7,SMALL($Z$2:$Z$593,494-$B$6),""))</f>
        <v/>
      </c>
      <c r="Y510" t="str">
        <f>IF(Assessment!$G510="Critical",ROW(Assessment!$G510),"")</f>
        <v/>
      </c>
      <c r="Z510" t="str">
        <f>IF(Assessment!$G510="High",ROW(Assessment!$G510),"")</f>
        <v/>
      </c>
    </row>
    <row r="511" spans="1:26" x14ac:dyDescent="0.25">
      <c r="A511" s="10" t="str">
        <f>IF($X511="","",495)</f>
        <v/>
      </c>
      <c r="B511" s="10" t="str">
        <f>IF($X511="","",INDEX(Assessment!$A:$A,$X511))</f>
        <v/>
      </c>
      <c r="C511" s="10" t="str">
        <f>IF($X511="","",INDEX(Assessment!$B:$B,$X511))</f>
        <v/>
      </c>
      <c r="D511" s="10" t="str">
        <f>IF($X511="","",INDEX(Assessment!$C:$C,$X511))</f>
        <v/>
      </c>
      <c r="E511" s="10" t="str">
        <f>IF($X511="","",INDEX(Assessment!$F:$F,$X511))</f>
        <v/>
      </c>
      <c r="F511" s="10" t="str">
        <f>IF($X511="","",INDEX(Assessment!$G:$G,$X511))</f>
        <v/>
      </c>
      <c r="G511" s="10" t="str">
        <f>IF($X511="","",INDEX(Assessment!$J:$J,$X511))</f>
        <v/>
      </c>
      <c r="H511" s="10" t="str">
        <f>IF($X511="","",INDEX(Assessment!$L:$L,$X511))</f>
        <v/>
      </c>
      <c r="I511" s="10" t="str">
        <f>IF($X511="","",INDEX(Assessment!$N:$N,$X511))</f>
        <v/>
      </c>
      <c r="X511" t="str">
        <f>IF(495&lt;=$B$6,SMALL($Y$2:$Y$593,495),IF(495&lt;=$B$6+$B$7,SMALL($Z$2:$Z$593,495-$B$6),""))</f>
        <v/>
      </c>
      <c r="Y511" t="str">
        <f>IF(Assessment!$G511="Critical",ROW(Assessment!$G511),"")</f>
        <v/>
      </c>
      <c r="Z511" t="str">
        <f>IF(Assessment!$G511="High",ROW(Assessment!$G511),"")</f>
        <v/>
      </c>
    </row>
    <row r="512" spans="1:26" x14ac:dyDescent="0.25">
      <c r="A512" s="10" t="str">
        <f>IF($X512="","",496)</f>
        <v/>
      </c>
      <c r="B512" s="10" t="str">
        <f>IF($X512="","",INDEX(Assessment!$A:$A,$X512))</f>
        <v/>
      </c>
      <c r="C512" s="10" t="str">
        <f>IF($X512="","",INDEX(Assessment!$B:$B,$X512))</f>
        <v/>
      </c>
      <c r="D512" s="10" t="str">
        <f>IF($X512="","",INDEX(Assessment!$C:$C,$X512))</f>
        <v/>
      </c>
      <c r="E512" s="10" t="str">
        <f>IF($X512="","",INDEX(Assessment!$F:$F,$X512))</f>
        <v/>
      </c>
      <c r="F512" s="10" t="str">
        <f>IF($X512="","",INDEX(Assessment!$G:$G,$X512))</f>
        <v/>
      </c>
      <c r="G512" s="10" t="str">
        <f>IF($X512="","",INDEX(Assessment!$J:$J,$X512))</f>
        <v/>
      </c>
      <c r="H512" s="10" t="str">
        <f>IF($X512="","",INDEX(Assessment!$L:$L,$X512))</f>
        <v/>
      </c>
      <c r="I512" s="10" t="str">
        <f>IF($X512="","",INDEX(Assessment!$N:$N,$X512))</f>
        <v/>
      </c>
      <c r="X512" t="str">
        <f>IF(496&lt;=$B$6,SMALL($Y$2:$Y$593,496),IF(496&lt;=$B$6+$B$7,SMALL($Z$2:$Z$593,496-$B$6),""))</f>
        <v/>
      </c>
      <c r="Y512" t="str">
        <f>IF(Assessment!$G512="Critical",ROW(Assessment!$G512),"")</f>
        <v/>
      </c>
      <c r="Z512" t="str">
        <f>IF(Assessment!$G512="High",ROW(Assessment!$G512),"")</f>
        <v/>
      </c>
    </row>
    <row r="513" spans="1:26" x14ac:dyDescent="0.25">
      <c r="A513" s="10" t="str">
        <f>IF($X513="","",497)</f>
        <v/>
      </c>
      <c r="B513" s="10" t="str">
        <f>IF($X513="","",INDEX(Assessment!$A:$A,$X513))</f>
        <v/>
      </c>
      <c r="C513" s="10" t="str">
        <f>IF($X513="","",INDEX(Assessment!$B:$B,$X513))</f>
        <v/>
      </c>
      <c r="D513" s="10" t="str">
        <f>IF($X513="","",INDEX(Assessment!$C:$C,$X513))</f>
        <v/>
      </c>
      <c r="E513" s="10" t="str">
        <f>IF($X513="","",INDEX(Assessment!$F:$F,$X513))</f>
        <v/>
      </c>
      <c r="F513" s="10" t="str">
        <f>IF($X513="","",INDEX(Assessment!$G:$G,$X513))</f>
        <v/>
      </c>
      <c r="G513" s="10" t="str">
        <f>IF($X513="","",INDEX(Assessment!$J:$J,$X513))</f>
        <v/>
      </c>
      <c r="H513" s="10" t="str">
        <f>IF($X513="","",INDEX(Assessment!$L:$L,$X513))</f>
        <v/>
      </c>
      <c r="I513" s="10" t="str">
        <f>IF($X513="","",INDEX(Assessment!$N:$N,$X513))</f>
        <v/>
      </c>
      <c r="X513" t="str">
        <f>IF(497&lt;=$B$6,SMALL($Y$2:$Y$593,497),IF(497&lt;=$B$6+$B$7,SMALL($Z$2:$Z$593,497-$B$6),""))</f>
        <v/>
      </c>
      <c r="Y513" t="str">
        <f>IF(Assessment!$G513="Critical",ROW(Assessment!$G513),"")</f>
        <v/>
      </c>
      <c r="Z513" t="str">
        <f>IF(Assessment!$G513="High",ROW(Assessment!$G513),"")</f>
        <v/>
      </c>
    </row>
    <row r="514" spans="1:26" x14ac:dyDescent="0.25">
      <c r="A514" s="10" t="str">
        <f>IF($X514="","",498)</f>
        <v/>
      </c>
      <c r="B514" s="10" t="str">
        <f>IF($X514="","",INDEX(Assessment!$A:$A,$X514))</f>
        <v/>
      </c>
      <c r="C514" s="10" t="str">
        <f>IF($X514="","",INDEX(Assessment!$B:$B,$X514))</f>
        <v/>
      </c>
      <c r="D514" s="10" t="str">
        <f>IF($X514="","",INDEX(Assessment!$C:$C,$X514))</f>
        <v/>
      </c>
      <c r="E514" s="10" t="str">
        <f>IF($X514="","",INDEX(Assessment!$F:$F,$X514))</f>
        <v/>
      </c>
      <c r="F514" s="10" t="str">
        <f>IF($X514="","",INDEX(Assessment!$G:$G,$X514))</f>
        <v/>
      </c>
      <c r="G514" s="10" t="str">
        <f>IF($X514="","",INDEX(Assessment!$J:$J,$X514))</f>
        <v/>
      </c>
      <c r="H514" s="10" t="str">
        <f>IF($X514="","",INDEX(Assessment!$L:$L,$X514))</f>
        <v/>
      </c>
      <c r="I514" s="10" t="str">
        <f>IF($X514="","",INDEX(Assessment!$N:$N,$X514))</f>
        <v/>
      </c>
      <c r="X514" t="str">
        <f>IF(498&lt;=$B$6,SMALL($Y$2:$Y$593,498),IF(498&lt;=$B$6+$B$7,SMALL($Z$2:$Z$593,498-$B$6),""))</f>
        <v/>
      </c>
      <c r="Y514">
        <f>IF(Assessment!$G514="Critical",ROW(Assessment!$G514),"")</f>
        <v>514</v>
      </c>
      <c r="Z514" t="str">
        <f>IF(Assessment!$G514="High",ROW(Assessment!$G514),"")</f>
        <v/>
      </c>
    </row>
    <row r="515" spans="1:26" x14ac:dyDescent="0.25">
      <c r="A515" s="10" t="str">
        <f>IF($X515="","",499)</f>
        <v/>
      </c>
      <c r="B515" s="10" t="str">
        <f>IF($X515="","",INDEX(Assessment!$A:$A,$X515))</f>
        <v/>
      </c>
      <c r="C515" s="10" t="str">
        <f>IF($X515="","",INDEX(Assessment!$B:$B,$X515))</f>
        <v/>
      </c>
      <c r="D515" s="10" t="str">
        <f>IF($X515="","",INDEX(Assessment!$C:$C,$X515))</f>
        <v/>
      </c>
      <c r="E515" s="10" t="str">
        <f>IF($X515="","",INDEX(Assessment!$F:$F,$X515))</f>
        <v/>
      </c>
      <c r="F515" s="10" t="str">
        <f>IF($X515="","",INDEX(Assessment!$G:$G,$X515))</f>
        <v/>
      </c>
      <c r="G515" s="10" t="str">
        <f>IF($X515="","",INDEX(Assessment!$J:$J,$X515))</f>
        <v/>
      </c>
      <c r="H515" s="10" t="str">
        <f>IF($X515="","",INDEX(Assessment!$L:$L,$X515))</f>
        <v/>
      </c>
      <c r="I515" s="10" t="str">
        <f>IF($X515="","",INDEX(Assessment!$N:$N,$X515))</f>
        <v/>
      </c>
      <c r="X515" t="str">
        <f>IF(499&lt;=$B$6,SMALL($Y$2:$Y$593,499),IF(499&lt;=$B$6+$B$7,SMALL($Z$2:$Z$593,499-$B$6),""))</f>
        <v/>
      </c>
      <c r="Y515">
        <f>IF(Assessment!$G515="Critical",ROW(Assessment!$G515),"")</f>
        <v>515</v>
      </c>
      <c r="Z515" t="str">
        <f>IF(Assessment!$G515="High",ROW(Assessment!$G515),"")</f>
        <v/>
      </c>
    </row>
    <row r="516" spans="1:26" x14ac:dyDescent="0.25">
      <c r="A516" s="10" t="str">
        <f>IF($X516="","",500)</f>
        <v/>
      </c>
      <c r="B516" s="10" t="str">
        <f>IF($X516="","",INDEX(Assessment!$A:$A,$X516))</f>
        <v/>
      </c>
      <c r="C516" s="10" t="str">
        <f>IF($X516="","",INDEX(Assessment!$B:$B,$X516))</f>
        <v/>
      </c>
      <c r="D516" s="10" t="str">
        <f>IF($X516="","",INDEX(Assessment!$C:$C,$X516))</f>
        <v/>
      </c>
      <c r="E516" s="10" t="str">
        <f>IF($X516="","",INDEX(Assessment!$F:$F,$X516))</f>
        <v/>
      </c>
      <c r="F516" s="10" t="str">
        <f>IF($X516="","",INDEX(Assessment!$G:$G,$X516))</f>
        <v/>
      </c>
      <c r="G516" s="10" t="str">
        <f>IF($X516="","",INDEX(Assessment!$J:$J,$X516))</f>
        <v/>
      </c>
      <c r="H516" s="10" t="str">
        <f>IF($X516="","",INDEX(Assessment!$L:$L,$X516))</f>
        <v/>
      </c>
      <c r="I516" s="10" t="str">
        <f>IF($X516="","",INDEX(Assessment!$N:$N,$X516))</f>
        <v/>
      </c>
      <c r="X516" t="str">
        <f>IF(500&lt;=$B$6,SMALL($Y$2:$Y$593,500),IF(500&lt;=$B$6+$B$7,SMALL($Z$2:$Z$593,500-$B$6),""))</f>
        <v/>
      </c>
      <c r="Y516" t="str">
        <f>IF(Assessment!$G516="Critical",ROW(Assessment!$G516),"")</f>
        <v/>
      </c>
      <c r="Z516" t="str">
        <f>IF(Assessment!$G516="High",ROW(Assessment!$G516),"")</f>
        <v/>
      </c>
    </row>
    <row r="517" spans="1:26" x14ac:dyDescent="0.25">
      <c r="A517" s="10" t="str">
        <f>IF($X517="","",501)</f>
        <v/>
      </c>
      <c r="B517" s="10" t="str">
        <f>IF($X517="","",INDEX(Assessment!$A:$A,$X517))</f>
        <v/>
      </c>
      <c r="C517" s="10" t="str">
        <f>IF($X517="","",INDEX(Assessment!$B:$B,$X517))</f>
        <v/>
      </c>
      <c r="D517" s="10" t="str">
        <f>IF($X517="","",INDEX(Assessment!$C:$C,$X517))</f>
        <v/>
      </c>
      <c r="E517" s="10" t="str">
        <f>IF($X517="","",INDEX(Assessment!$F:$F,$X517))</f>
        <v/>
      </c>
      <c r="F517" s="10" t="str">
        <f>IF($X517="","",INDEX(Assessment!$G:$G,$X517))</f>
        <v/>
      </c>
      <c r="G517" s="10" t="str">
        <f>IF($X517="","",INDEX(Assessment!$J:$J,$X517))</f>
        <v/>
      </c>
      <c r="H517" s="10" t="str">
        <f>IF($X517="","",INDEX(Assessment!$L:$L,$X517))</f>
        <v/>
      </c>
      <c r="I517" s="10" t="str">
        <f>IF($X517="","",INDEX(Assessment!$N:$N,$X517))</f>
        <v/>
      </c>
      <c r="X517" t="str">
        <f>IF(501&lt;=$B$6,SMALL($Y$2:$Y$593,501),IF(501&lt;=$B$6+$B$7,SMALL($Z$2:$Z$593,501-$B$6),""))</f>
        <v/>
      </c>
      <c r="Y517" t="str">
        <f>IF(Assessment!$G517="Critical",ROW(Assessment!$G517),"")</f>
        <v/>
      </c>
      <c r="Z517" t="str">
        <f>IF(Assessment!$G517="High",ROW(Assessment!$G517),"")</f>
        <v/>
      </c>
    </row>
    <row r="518" spans="1:26" x14ac:dyDescent="0.25">
      <c r="A518" s="10" t="str">
        <f>IF($X518="","",502)</f>
        <v/>
      </c>
      <c r="B518" s="10" t="str">
        <f>IF($X518="","",INDEX(Assessment!$A:$A,$X518))</f>
        <v/>
      </c>
      <c r="C518" s="10" t="str">
        <f>IF($X518="","",INDEX(Assessment!$B:$B,$X518))</f>
        <v/>
      </c>
      <c r="D518" s="10" t="str">
        <f>IF($X518="","",INDEX(Assessment!$C:$C,$X518))</f>
        <v/>
      </c>
      <c r="E518" s="10" t="str">
        <f>IF($X518="","",INDEX(Assessment!$F:$F,$X518))</f>
        <v/>
      </c>
      <c r="F518" s="10" t="str">
        <f>IF($X518="","",INDEX(Assessment!$G:$G,$X518))</f>
        <v/>
      </c>
      <c r="G518" s="10" t="str">
        <f>IF($X518="","",INDEX(Assessment!$J:$J,$X518))</f>
        <v/>
      </c>
      <c r="H518" s="10" t="str">
        <f>IF($X518="","",INDEX(Assessment!$L:$L,$X518))</f>
        <v/>
      </c>
      <c r="I518" s="10" t="str">
        <f>IF($X518="","",INDEX(Assessment!$N:$N,$X518))</f>
        <v/>
      </c>
      <c r="X518" t="str">
        <f>IF(502&lt;=$B$6,SMALL($Y$2:$Y$593,502),IF(502&lt;=$B$6+$B$7,SMALL($Z$2:$Z$593,502-$B$6),""))</f>
        <v/>
      </c>
      <c r="Y518" t="str">
        <f>IF(Assessment!$G518="Critical",ROW(Assessment!$G518),"")</f>
        <v/>
      </c>
      <c r="Z518" t="str">
        <f>IF(Assessment!$G518="High",ROW(Assessment!$G518),"")</f>
        <v/>
      </c>
    </row>
    <row r="519" spans="1:26" x14ac:dyDescent="0.25">
      <c r="A519" s="10" t="str">
        <f>IF($X519="","",503)</f>
        <v/>
      </c>
      <c r="B519" s="10" t="str">
        <f>IF($X519="","",INDEX(Assessment!$A:$A,$X519))</f>
        <v/>
      </c>
      <c r="C519" s="10" t="str">
        <f>IF($X519="","",INDEX(Assessment!$B:$B,$X519))</f>
        <v/>
      </c>
      <c r="D519" s="10" t="str">
        <f>IF($X519="","",INDEX(Assessment!$C:$C,$X519))</f>
        <v/>
      </c>
      <c r="E519" s="10" t="str">
        <f>IF($X519="","",INDEX(Assessment!$F:$F,$X519))</f>
        <v/>
      </c>
      <c r="F519" s="10" t="str">
        <f>IF($X519="","",INDEX(Assessment!$G:$G,$X519))</f>
        <v/>
      </c>
      <c r="G519" s="10" t="str">
        <f>IF($X519="","",INDEX(Assessment!$J:$J,$X519))</f>
        <v/>
      </c>
      <c r="H519" s="10" t="str">
        <f>IF($X519="","",INDEX(Assessment!$L:$L,$X519))</f>
        <v/>
      </c>
      <c r="I519" s="10" t="str">
        <f>IF($X519="","",INDEX(Assessment!$N:$N,$X519))</f>
        <v/>
      </c>
      <c r="X519" t="str">
        <f>IF(503&lt;=$B$6,SMALL($Y$2:$Y$593,503),IF(503&lt;=$B$6+$B$7,SMALL($Z$2:$Z$593,503-$B$6),""))</f>
        <v/>
      </c>
      <c r="Y519" t="str">
        <f>IF(Assessment!$G519="Critical",ROW(Assessment!$G519),"")</f>
        <v/>
      </c>
      <c r="Z519" t="str">
        <f>IF(Assessment!$G519="High",ROW(Assessment!$G519),"")</f>
        <v/>
      </c>
    </row>
    <row r="520" spans="1:26" x14ac:dyDescent="0.25">
      <c r="A520" s="10" t="str">
        <f>IF($X520="","",504)</f>
        <v/>
      </c>
      <c r="B520" s="10" t="str">
        <f>IF($X520="","",INDEX(Assessment!$A:$A,$X520))</f>
        <v/>
      </c>
      <c r="C520" s="10" t="str">
        <f>IF($X520="","",INDEX(Assessment!$B:$B,$X520))</f>
        <v/>
      </c>
      <c r="D520" s="10" t="str">
        <f>IF($X520="","",INDEX(Assessment!$C:$C,$X520))</f>
        <v/>
      </c>
      <c r="E520" s="10" t="str">
        <f>IF($X520="","",INDEX(Assessment!$F:$F,$X520))</f>
        <v/>
      </c>
      <c r="F520" s="10" t="str">
        <f>IF($X520="","",INDEX(Assessment!$G:$G,$X520))</f>
        <v/>
      </c>
      <c r="G520" s="10" t="str">
        <f>IF($X520="","",INDEX(Assessment!$J:$J,$X520))</f>
        <v/>
      </c>
      <c r="H520" s="10" t="str">
        <f>IF($X520="","",INDEX(Assessment!$L:$L,$X520))</f>
        <v/>
      </c>
      <c r="I520" s="10" t="str">
        <f>IF($X520="","",INDEX(Assessment!$N:$N,$X520))</f>
        <v/>
      </c>
      <c r="X520" t="str">
        <f>IF(504&lt;=$B$6,SMALL($Y$2:$Y$593,504),IF(504&lt;=$B$6+$B$7,SMALL($Z$2:$Z$593,504-$B$6),""))</f>
        <v/>
      </c>
      <c r="Y520">
        <f>IF(Assessment!$G520="Critical",ROW(Assessment!$G520),"")</f>
        <v>520</v>
      </c>
      <c r="Z520" t="str">
        <f>IF(Assessment!$G520="High",ROW(Assessment!$G520),"")</f>
        <v/>
      </c>
    </row>
    <row r="521" spans="1:26" x14ac:dyDescent="0.25">
      <c r="A521" s="10" t="str">
        <f>IF($X521="","",505)</f>
        <v/>
      </c>
      <c r="B521" s="10" t="str">
        <f>IF($X521="","",INDEX(Assessment!$A:$A,$X521))</f>
        <v/>
      </c>
      <c r="C521" s="10" t="str">
        <f>IF($X521="","",INDEX(Assessment!$B:$B,$X521))</f>
        <v/>
      </c>
      <c r="D521" s="10" t="str">
        <f>IF($X521="","",INDEX(Assessment!$C:$C,$X521))</f>
        <v/>
      </c>
      <c r="E521" s="10" t="str">
        <f>IF($X521="","",INDEX(Assessment!$F:$F,$X521))</f>
        <v/>
      </c>
      <c r="F521" s="10" t="str">
        <f>IF($X521="","",INDEX(Assessment!$G:$G,$X521))</f>
        <v/>
      </c>
      <c r="G521" s="10" t="str">
        <f>IF($X521="","",INDEX(Assessment!$J:$J,$X521))</f>
        <v/>
      </c>
      <c r="H521" s="10" t="str">
        <f>IF($X521="","",INDEX(Assessment!$L:$L,$X521))</f>
        <v/>
      </c>
      <c r="I521" s="10" t="str">
        <f>IF($X521="","",INDEX(Assessment!$N:$N,$X521))</f>
        <v/>
      </c>
      <c r="X521" t="str">
        <f>IF(505&lt;=$B$6,SMALL($Y$2:$Y$593,505),IF(505&lt;=$B$6+$B$7,SMALL($Z$2:$Z$593,505-$B$6),""))</f>
        <v/>
      </c>
      <c r="Y521" t="str">
        <f>IF(Assessment!$G521="Critical",ROW(Assessment!$G521),"")</f>
        <v/>
      </c>
      <c r="Z521">
        <f>IF(Assessment!$G521="High",ROW(Assessment!$G521),"")</f>
        <v>521</v>
      </c>
    </row>
    <row r="522" spans="1:26" x14ac:dyDescent="0.25">
      <c r="A522" s="10" t="str">
        <f>IF($X522="","",506)</f>
        <v/>
      </c>
      <c r="B522" s="10" t="str">
        <f>IF($X522="","",INDEX(Assessment!$A:$A,$X522))</f>
        <v/>
      </c>
      <c r="C522" s="10" t="str">
        <f>IF($X522="","",INDEX(Assessment!$B:$B,$X522))</f>
        <v/>
      </c>
      <c r="D522" s="10" t="str">
        <f>IF($X522="","",INDEX(Assessment!$C:$C,$X522))</f>
        <v/>
      </c>
      <c r="E522" s="10" t="str">
        <f>IF($X522="","",INDEX(Assessment!$F:$F,$X522))</f>
        <v/>
      </c>
      <c r="F522" s="10" t="str">
        <f>IF($X522="","",INDEX(Assessment!$G:$G,$X522))</f>
        <v/>
      </c>
      <c r="G522" s="10" t="str">
        <f>IF($X522="","",INDEX(Assessment!$J:$J,$X522))</f>
        <v/>
      </c>
      <c r="H522" s="10" t="str">
        <f>IF($X522="","",INDEX(Assessment!$L:$L,$X522))</f>
        <v/>
      </c>
      <c r="I522" s="10" t="str">
        <f>IF($X522="","",INDEX(Assessment!$N:$N,$X522))</f>
        <v/>
      </c>
      <c r="X522" t="str">
        <f>IF(506&lt;=$B$6,SMALL($Y$2:$Y$593,506),IF(506&lt;=$B$6+$B$7,SMALL($Z$2:$Z$593,506-$B$6),""))</f>
        <v/>
      </c>
      <c r="Y522" t="str">
        <f>IF(Assessment!$G522="Critical",ROW(Assessment!$G522),"")</f>
        <v/>
      </c>
      <c r="Z522">
        <f>IF(Assessment!$G522="High",ROW(Assessment!$G522),"")</f>
        <v>522</v>
      </c>
    </row>
    <row r="523" spans="1:26" x14ac:dyDescent="0.25">
      <c r="A523" s="10" t="str">
        <f>IF($X523="","",507)</f>
        <v/>
      </c>
      <c r="B523" s="10" t="str">
        <f>IF($X523="","",INDEX(Assessment!$A:$A,$X523))</f>
        <v/>
      </c>
      <c r="C523" s="10" t="str">
        <f>IF($X523="","",INDEX(Assessment!$B:$B,$X523))</f>
        <v/>
      </c>
      <c r="D523" s="10" t="str">
        <f>IF($X523="","",INDEX(Assessment!$C:$C,$X523))</f>
        <v/>
      </c>
      <c r="E523" s="10" t="str">
        <f>IF($X523="","",INDEX(Assessment!$F:$F,$X523))</f>
        <v/>
      </c>
      <c r="F523" s="10" t="str">
        <f>IF($X523="","",INDEX(Assessment!$G:$G,$X523))</f>
        <v/>
      </c>
      <c r="G523" s="10" t="str">
        <f>IF($X523="","",INDEX(Assessment!$J:$J,$X523))</f>
        <v/>
      </c>
      <c r="H523" s="10" t="str">
        <f>IF($X523="","",INDEX(Assessment!$L:$L,$X523))</f>
        <v/>
      </c>
      <c r="I523" s="10" t="str">
        <f>IF($X523="","",INDEX(Assessment!$N:$N,$X523))</f>
        <v/>
      </c>
      <c r="X523" t="str">
        <f>IF(507&lt;=$B$6,SMALL($Y$2:$Y$593,507),IF(507&lt;=$B$6+$B$7,SMALL($Z$2:$Z$593,507-$B$6),""))</f>
        <v/>
      </c>
      <c r="Y523" t="str">
        <f>IF(Assessment!$G523="Critical",ROW(Assessment!$G523),"")</f>
        <v/>
      </c>
      <c r="Z523" t="str">
        <f>IF(Assessment!$G523="High",ROW(Assessment!$G523),"")</f>
        <v/>
      </c>
    </row>
    <row r="524" spans="1:26" x14ac:dyDescent="0.25">
      <c r="A524" s="10" t="str">
        <f>IF($X524="","",508)</f>
        <v/>
      </c>
      <c r="B524" s="10" t="str">
        <f>IF($X524="","",INDEX(Assessment!$A:$A,$X524))</f>
        <v/>
      </c>
      <c r="C524" s="10" t="str">
        <f>IF($X524="","",INDEX(Assessment!$B:$B,$X524))</f>
        <v/>
      </c>
      <c r="D524" s="10" t="str">
        <f>IF($X524="","",INDEX(Assessment!$C:$C,$X524))</f>
        <v/>
      </c>
      <c r="E524" s="10" t="str">
        <f>IF($X524="","",INDEX(Assessment!$F:$F,$X524))</f>
        <v/>
      </c>
      <c r="F524" s="10" t="str">
        <f>IF($X524="","",INDEX(Assessment!$G:$G,$X524))</f>
        <v/>
      </c>
      <c r="G524" s="10" t="str">
        <f>IF($X524="","",INDEX(Assessment!$J:$J,$X524))</f>
        <v/>
      </c>
      <c r="H524" s="10" t="str">
        <f>IF($X524="","",INDEX(Assessment!$L:$L,$X524))</f>
        <v/>
      </c>
      <c r="I524" s="10" t="str">
        <f>IF($X524="","",INDEX(Assessment!$N:$N,$X524))</f>
        <v/>
      </c>
      <c r="X524" t="str">
        <f>IF(508&lt;=$B$6,SMALL($Y$2:$Y$593,508),IF(508&lt;=$B$6+$B$7,SMALL($Z$2:$Z$593,508-$B$6),""))</f>
        <v/>
      </c>
      <c r="Y524" t="str">
        <f>IF(Assessment!$G524="Critical",ROW(Assessment!$G524),"")</f>
        <v/>
      </c>
      <c r="Z524" t="str">
        <f>IF(Assessment!$G524="High",ROW(Assessment!$G524),"")</f>
        <v/>
      </c>
    </row>
    <row r="525" spans="1:26" x14ac:dyDescent="0.25">
      <c r="A525" s="10" t="str">
        <f>IF($X525="","",509)</f>
        <v/>
      </c>
      <c r="B525" s="10" t="str">
        <f>IF($X525="","",INDEX(Assessment!$A:$A,$X525))</f>
        <v/>
      </c>
      <c r="C525" s="10" t="str">
        <f>IF($X525="","",INDEX(Assessment!$B:$B,$X525))</f>
        <v/>
      </c>
      <c r="D525" s="10" t="str">
        <f>IF($X525="","",INDEX(Assessment!$C:$C,$X525))</f>
        <v/>
      </c>
      <c r="E525" s="10" t="str">
        <f>IF($X525="","",INDEX(Assessment!$F:$F,$X525))</f>
        <v/>
      </c>
      <c r="F525" s="10" t="str">
        <f>IF($X525="","",INDEX(Assessment!$G:$G,$X525))</f>
        <v/>
      </c>
      <c r="G525" s="10" t="str">
        <f>IF($X525="","",INDEX(Assessment!$J:$J,$X525))</f>
        <v/>
      </c>
      <c r="H525" s="10" t="str">
        <f>IF($X525="","",INDEX(Assessment!$L:$L,$X525))</f>
        <v/>
      </c>
      <c r="I525" s="10" t="str">
        <f>IF($X525="","",INDEX(Assessment!$N:$N,$X525))</f>
        <v/>
      </c>
      <c r="X525" t="str">
        <f>IF(509&lt;=$B$6,SMALL($Y$2:$Y$593,509),IF(509&lt;=$B$6+$B$7,SMALL($Z$2:$Z$593,509-$B$6),""))</f>
        <v/>
      </c>
      <c r="Y525" t="str">
        <f>IF(Assessment!$G525="Critical",ROW(Assessment!$G525),"")</f>
        <v/>
      </c>
      <c r="Z525">
        <f>IF(Assessment!$G525="High",ROW(Assessment!$G525),"")</f>
        <v>525</v>
      </c>
    </row>
    <row r="526" spans="1:26" x14ac:dyDescent="0.25">
      <c r="A526" s="10" t="str">
        <f>IF($X526="","",510)</f>
        <v/>
      </c>
      <c r="B526" s="10" t="str">
        <f>IF($X526="","",INDEX(Assessment!$A:$A,$X526))</f>
        <v/>
      </c>
      <c r="C526" s="10" t="str">
        <f>IF($X526="","",INDEX(Assessment!$B:$B,$X526))</f>
        <v/>
      </c>
      <c r="D526" s="10" t="str">
        <f>IF($X526="","",INDEX(Assessment!$C:$C,$X526))</f>
        <v/>
      </c>
      <c r="E526" s="10" t="str">
        <f>IF($X526="","",INDEX(Assessment!$F:$F,$X526))</f>
        <v/>
      </c>
      <c r="F526" s="10" t="str">
        <f>IF($X526="","",INDEX(Assessment!$G:$G,$X526))</f>
        <v/>
      </c>
      <c r="G526" s="10" t="str">
        <f>IF($X526="","",INDEX(Assessment!$J:$J,$X526))</f>
        <v/>
      </c>
      <c r="H526" s="10" t="str">
        <f>IF($X526="","",INDEX(Assessment!$L:$L,$X526))</f>
        <v/>
      </c>
      <c r="I526" s="10" t="str">
        <f>IF($X526="","",INDEX(Assessment!$N:$N,$X526))</f>
        <v/>
      </c>
      <c r="X526" t="str">
        <f>IF(510&lt;=$B$6,SMALL($Y$2:$Y$593,510),IF(510&lt;=$B$6+$B$7,SMALL($Z$2:$Z$593,510-$B$6),""))</f>
        <v/>
      </c>
      <c r="Y526" t="str">
        <f>IF(Assessment!$G526="Critical",ROW(Assessment!$G526),"")</f>
        <v/>
      </c>
      <c r="Z526" t="str">
        <f>IF(Assessment!$G526="High",ROW(Assessment!$G526),"")</f>
        <v/>
      </c>
    </row>
    <row r="527" spans="1:26" x14ac:dyDescent="0.25">
      <c r="A527" s="10" t="str">
        <f>IF($X527="","",511)</f>
        <v/>
      </c>
      <c r="B527" s="10" t="str">
        <f>IF($X527="","",INDEX(Assessment!$A:$A,$X527))</f>
        <v/>
      </c>
      <c r="C527" s="10" t="str">
        <f>IF($X527="","",INDEX(Assessment!$B:$B,$X527))</f>
        <v/>
      </c>
      <c r="D527" s="10" t="str">
        <f>IF($X527="","",INDEX(Assessment!$C:$C,$X527))</f>
        <v/>
      </c>
      <c r="E527" s="10" t="str">
        <f>IF($X527="","",INDEX(Assessment!$F:$F,$X527))</f>
        <v/>
      </c>
      <c r="F527" s="10" t="str">
        <f>IF($X527="","",INDEX(Assessment!$G:$G,$X527))</f>
        <v/>
      </c>
      <c r="G527" s="10" t="str">
        <f>IF($X527="","",INDEX(Assessment!$J:$J,$X527))</f>
        <v/>
      </c>
      <c r="H527" s="10" t="str">
        <f>IF($X527="","",INDEX(Assessment!$L:$L,$X527))</f>
        <v/>
      </c>
      <c r="I527" s="10" t="str">
        <f>IF($X527="","",INDEX(Assessment!$N:$N,$X527))</f>
        <v/>
      </c>
      <c r="X527" t="str">
        <f>IF(511&lt;=$B$6,SMALL($Y$2:$Y$593,511),IF(511&lt;=$B$6+$B$7,SMALL($Z$2:$Z$593,511-$B$6),""))</f>
        <v/>
      </c>
      <c r="Y527" t="str">
        <f>IF(Assessment!$G527="Critical",ROW(Assessment!$G527),"")</f>
        <v/>
      </c>
      <c r="Z527">
        <f>IF(Assessment!$G527="High",ROW(Assessment!$G527),"")</f>
        <v>527</v>
      </c>
    </row>
    <row r="528" spans="1:26" x14ac:dyDescent="0.25">
      <c r="A528" s="10" t="str">
        <f>IF($X528="","",512)</f>
        <v/>
      </c>
      <c r="B528" s="10" t="str">
        <f>IF($X528="","",INDEX(Assessment!$A:$A,$X528))</f>
        <v/>
      </c>
      <c r="C528" s="10" t="str">
        <f>IF($X528="","",INDEX(Assessment!$B:$B,$X528))</f>
        <v/>
      </c>
      <c r="D528" s="10" t="str">
        <f>IF($X528="","",INDEX(Assessment!$C:$C,$X528))</f>
        <v/>
      </c>
      <c r="E528" s="10" t="str">
        <f>IF($X528="","",INDEX(Assessment!$F:$F,$X528))</f>
        <v/>
      </c>
      <c r="F528" s="10" t="str">
        <f>IF($X528="","",INDEX(Assessment!$G:$G,$X528))</f>
        <v/>
      </c>
      <c r="G528" s="10" t="str">
        <f>IF($X528="","",INDEX(Assessment!$J:$J,$X528))</f>
        <v/>
      </c>
      <c r="H528" s="10" t="str">
        <f>IF($X528="","",INDEX(Assessment!$L:$L,$X528))</f>
        <v/>
      </c>
      <c r="I528" s="10" t="str">
        <f>IF($X528="","",INDEX(Assessment!$N:$N,$X528))</f>
        <v/>
      </c>
      <c r="X528" t="str">
        <f>IF(512&lt;=$B$6,SMALL($Y$2:$Y$593,512),IF(512&lt;=$B$6+$B$7,SMALL($Z$2:$Z$593,512-$B$6),""))</f>
        <v/>
      </c>
      <c r="Y528" t="str">
        <f>IF(Assessment!$G528="Critical",ROW(Assessment!$G528),"")</f>
        <v/>
      </c>
      <c r="Z528">
        <f>IF(Assessment!$G528="High",ROW(Assessment!$G528),"")</f>
        <v>528</v>
      </c>
    </row>
    <row r="529" spans="1:26" x14ac:dyDescent="0.25">
      <c r="A529" s="10" t="str">
        <f>IF($X529="","",513)</f>
        <v/>
      </c>
      <c r="B529" s="10" t="str">
        <f>IF($X529="","",INDEX(Assessment!$A:$A,$X529))</f>
        <v/>
      </c>
      <c r="C529" s="10" t="str">
        <f>IF($X529="","",INDEX(Assessment!$B:$B,$X529))</f>
        <v/>
      </c>
      <c r="D529" s="10" t="str">
        <f>IF($X529="","",INDEX(Assessment!$C:$C,$X529))</f>
        <v/>
      </c>
      <c r="E529" s="10" t="str">
        <f>IF($X529="","",INDEX(Assessment!$F:$F,$X529))</f>
        <v/>
      </c>
      <c r="F529" s="10" t="str">
        <f>IF($X529="","",INDEX(Assessment!$G:$G,$X529))</f>
        <v/>
      </c>
      <c r="G529" s="10" t="str">
        <f>IF($X529="","",INDEX(Assessment!$J:$J,$X529))</f>
        <v/>
      </c>
      <c r="H529" s="10" t="str">
        <f>IF($X529="","",INDEX(Assessment!$L:$L,$X529))</f>
        <v/>
      </c>
      <c r="I529" s="10" t="str">
        <f>IF($X529="","",INDEX(Assessment!$N:$N,$X529))</f>
        <v/>
      </c>
      <c r="X529" t="str">
        <f>IF(513&lt;=$B$6,SMALL($Y$2:$Y$593,513),IF(513&lt;=$B$6+$B$7,SMALL($Z$2:$Z$593,513-$B$6),""))</f>
        <v/>
      </c>
      <c r="Y529" t="str">
        <f>IF(Assessment!$G529="Critical",ROW(Assessment!$G529),"")</f>
        <v/>
      </c>
      <c r="Z529" t="str">
        <f>IF(Assessment!$G529="High",ROW(Assessment!$G529),"")</f>
        <v/>
      </c>
    </row>
    <row r="530" spans="1:26" x14ac:dyDescent="0.25">
      <c r="A530" s="10" t="str">
        <f>IF($X530="","",514)</f>
        <v/>
      </c>
      <c r="B530" s="10" t="str">
        <f>IF($X530="","",INDEX(Assessment!$A:$A,$X530))</f>
        <v/>
      </c>
      <c r="C530" s="10" t="str">
        <f>IF($X530="","",INDEX(Assessment!$B:$B,$X530))</f>
        <v/>
      </c>
      <c r="D530" s="10" t="str">
        <f>IF($X530="","",INDEX(Assessment!$C:$C,$X530))</f>
        <v/>
      </c>
      <c r="E530" s="10" t="str">
        <f>IF($X530="","",INDEX(Assessment!$F:$F,$X530))</f>
        <v/>
      </c>
      <c r="F530" s="10" t="str">
        <f>IF($X530="","",INDEX(Assessment!$G:$G,$X530))</f>
        <v/>
      </c>
      <c r="G530" s="10" t="str">
        <f>IF($X530="","",INDEX(Assessment!$J:$J,$X530))</f>
        <v/>
      </c>
      <c r="H530" s="10" t="str">
        <f>IF($X530="","",INDEX(Assessment!$L:$L,$X530))</f>
        <v/>
      </c>
      <c r="I530" s="10" t="str">
        <f>IF($X530="","",INDEX(Assessment!$N:$N,$X530))</f>
        <v/>
      </c>
      <c r="X530" t="str">
        <f>IF(514&lt;=$B$6,SMALL($Y$2:$Y$593,514),IF(514&lt;=$B$6+$B$7,SMALL($Z$2:$Z$593,514-$B$6),""))</f>
        <v/>
      </c>
      <c r="Y530" t="str">
        <f>IF(Assessment!$G530="Critical",ROW(Assessment!$G530),"")</f>
        <v/>
      </c>
      <c r="Z530" t="str">
        <f>IF(Assessment!$G530="High",ROW(Assessment!$G530),"")</f>
        <v/>
      </c>
    </row>
    <row r="531" spans="1:26" x14ac:dyDescent="0.25">
      <c r="A531" s="10" t="str">
        <f>IF($X531="","",515)</f>
        <v/>
      </c>
      <c r="B531" s="10" t="str">
        <f>IF($X531="","",INDEX(Assessment!$A:$A,$X531))</f>
        <v/>
      </c>
      <c r="C531" s="10" t="str">
        <f>IF($X531="","",INDEX(Assessment!$B:$B,$X531))</f>
        <v/>
      </c>
      <c r="D531" s="10" t="str">
        <f>IF($X531="","",INDEX(Assessment!$C:$C,$X531))</f>
        <v/>
      </c>
      <c r="E531" s="10" t="str">
        <f>IF($X531="","",INDEX(Assessment!$F:$F,$X531))</f>
        <v/>
      </c>
      <c r="F531" s="10" t="str">
        <f>IF($X531="","",INDEX(Assessment!$G:$G,$X531))</f>
        <v/>
      </c>
      <c r="G531" s="10" t="str">
        <f>IF($X531="","",INDEX(Assessment!$J:$J,$X531))</f>
        <v/>
      </c>
      <c r="H531" s="10" t="str">
        <f>IF($X531="","",INDEX(Assessment!$L:$L,$X531))</f>
        <v/>
      </c>
      <c r="I531" s="10" t="str">
        <f>IF($X531="","",INDEX(Assessment!$N:$N,$X531))</f>
        <v/>
      </c>
      <c r="X531" t="str">
        <f>IF(515&lt;=$B$6,SMALL($Y$2:$Y$593,515),IF(515&lt;=$B$6+$B$7,SMALL($Z$2:$Z$593,515-$B$6),""))</f>
        <v/>
      </c>
      <c r="Y531" t="str">
        <f>IF(Assessment!$G531="Critical",ROW(Assessment!$G531),"")</f>
        <v/>
      </c>
      <c r="Z531" t="str">
        <f>IF(Assessment!$G531="High",ROW(Assessment!$G531),"")</f>
        <v/>
      </c>
    </row>
    <row r="532" spans="1:26" x14ac:dyDescent="0.25">
      <c r="A532" s="10" t="str">
        <f>IF($X532="","",516)</f>
        <v/>
      </c>
      <c r="B532" s="10" t="str">
        <f>IF($X532="","",INDEX(Assessment!$A:$A,$X532))</f>
        <v/>
      </c>
      <c r="C532" s="10" t="str">
        <f>IF($X532="","",INDEX(Assessment!$B:$B,$X532))</f>
        <v/>
      </c>
      <c r="D532" s="10" t="str">
        <f>IF($X532="","",INDEX(Assessment!$C:$C,$X532))</f>
        <v/>
      </c>
      <c r="E532" s="10" t="str">
        <f>IF($X532="","",INDEX(Assessment!$F:$F,$X532))</f>
        <v/>
      </c>
      <c r="F532" s="10" t="str">
        <f>IF($X532="","",INDEX(Assessment!$G:$G,$X532))</f>
        <v/>
      </c>
      <c r="G532" s="10" t="str">
        <f>IF($X532="","",INDEX(Assessment!$J:$J,$X532))</f>
        <v/>
      </c>
      <c r="H532" s="10" t="str">
        <f>IF($X532="","",INDEX(Assessment!$L:$L,$X532))</f>
        <v/>
      </c>
      <c r="I532" s="10" t="str">
        <f>IF($X532="","",INDEX(Assessment!$N:$N,$X532))</f>
        <v/>
      </c>
      <c r="X532" t="str">
        <f>IF(516&lt;=$B$6,SMALL($Y$2:$Y$593,516),IF(516&lt;=$B$6+$B$7,SMALL($Z$2:$Z$593,516-$B$6),""))</f>
        <v/>
      </c>
      <c r="Y532" t="str">
        <f>IF(Assessment!$G532="Critical",ROW(Assessment!$G532),"")</f>
        <v/>
      </c>
      <c r="Z532" t="str">
        <f>IF(Assessment!$G532="High",ROW(Assessment!$G532),"")</f>
        <v/>
      </c>
    </row>
    <row r="533" spans="1:26" x14ac:dyDescent="0.25">
      <c r="A533" s="10" t="str">
        <f>IF($X533="","",517)</f>
        <v/>
      </c>
      <c r="B533" s="10" t="str">
        <f>IF($X533="","",INDEX(Assessment!$A:$A,$X533))</f>
        <v/>
      </c>
      <c r="C533" s="10" t="str">
        <f>IF($X533="","",INDEX(Assessment!$B:$B,$X533))</f>
        <v/>
      </c>
      <c r="D533" s="10" t="str">
        <f>IF($X533="","",INDEX(Assessment!$C:$C,$X533))</f>
        <v/>
      </c>
      <c r="E533" s="10" t="str">
        <f>IF($X533="","",INDEX(Assessment!$F:$F,$X533))</f>
        <v/>
      </c>
      <c r="F533" s="10" t="str">
        <f>IF($X533="","",INDEX(Assessment!$G:$G,$X533))</f>
        <v/>
      </c>
      <c r="G533" s="10" t="str">
        <f>IF($X533="","",INDEX(Assessment!$J:$J,$X533))</f>
        <v/>
      </c>
      <c r="H533" s="10" t="str">
        <f>IF($X533="","",INDEX(Assessment!$L:$L,$X533))</f>
        <v/>
      </c>
      <c r="I533" s="10" t="str">
        <f>IF($X533="","",INDEX(Assessment!$N:$N,$X533))</f>
        <v/>
      </c>
      <c r="X533" t="str">
        <f>IF(517&lt;=$B$6,SMALL($Y$2:$Y$593,517),IF(517&lt;=$B$6+$B$7,SMALL($Z$2:$Z$593,517-$B$6),""))</f>
        <v/>
      </c>
      <c r="Y533" t="str">
        <f>IF(Assessment!$G533="Critical",ROW(Assessment!$G533),"")</f>
        <v/>
      </c>
      <c r="Z533" t="str">
        <f>IF(Assessment!$G533="High",ROW(Assessment!$G533),"")</f>
        <v/>
      </c>
    </row>
    <row r="534" spans="1:26" x14ac:dyDescent="0.25">
      <c r="A534" s="10" t="str">
        <f>IF($X534="","",518)</f>
        <v/>
      </c>
      <c r="B534" s="10" t="str">
        <f>IF($X534="","",INDEX(Assessment!$A:$A,$X534))</f>
        <v/>
      </c>
      <c r="C534" s="10" t="str">
        <f>IF($X534="","",INDEX(Assessment!$B:$B,$X534))</f>
        <v/>
      </c>
      <c r="D534" s="10" t="str">
        <f>IF($X534="","",INDEX(Assessment!$C:$C,$X534))</f>
        <v/>
      </c>
      <c r="E534" s="10" t="str">
        <f>IF($X534="","",INDEX(Assessment!$F:$F,$X534))</f>
        <v/>
      </c>
      <c r="F534" s="10" t="str">
        <f>IF($X534="","",INDEX(Assessment!$G:$G,$X534))</f>
        <v/>
      </c>
      <c r="G534" s="10" t="str">
        <f>IF($X534="","",INDEX(Assessment!$J:$J,$X534))</f>
        <v/>
      </c>
      <c r="H534" s="10" t="str">
        <f>IF($X534="","",INDEX(Assessment!$L:$L,$X534))</f>
        <v/>
      </c>
      <c r="I534" s="10" t="str">
        <f>IF($X534="","",INDEX(Assessment!$N:$N,$X534))</f>
        <v/>
      </c>
      <c r="X534" t="str">
        <f>IF(518&lt;=$B$6,SMALL($Y$2:$Y$593,518),IF(518&lt;=$B$6+$B$7,SMALL($Z$2:$Z$593,518-$B$6),""))</f>
        <v/>
      </c>
      <c r="Y534" t="str">
        <f>IF(Assessment!$G534="Critical",ROW(Assessment!$G534),"")</f>
        <v/>
      </c>
      <c r="Z534" t="str">
        <f>IF(Assessment!$G534="High",ROW(Assessment!$G534),"")</f>
        <v/>
      </c>
    </row>
    <row r="535" spans="1:26" x14ac:dyDescent="0.25">
      <c r="A535" s="10" t="str">
        <f>IF($X535="","",519)</f>
        <v/>
      </c>
      <c r="B535" s="10" t="str">
        <f>IF($X535="","",INDEX(Assessment!$A:$A,$X535))</f>
        <v/>
      </c>
      <c r="C535" s="10" t="str">
        <f>IF($X535="","",INDEX(Assessment!$B:$B,$X535))</f>
        <v/>
      </c>
      <c r="D535" s="10" t="str">
        <f>IF($X535="","",INDEX(Assessment!$C:$C,$X535))</f>
        <v/>
      </c>
      <c r="E535" s="10" t="str">
        <f>IF($X535="","",INDEX(Assessment!$F:$F,$X535))</f>
        <v/>
      </c>
      <c r="F535" s="10" t="str">
        <f>IF($X535="","",INDEX(Assessment!$G:$G,$X535))</f>
        <v/>
      </c>
      <c r="G535" s="10" t="str">
        <f>IF($X535="","",INDEX(Assessment!$J:$J,$X535))</f>
        <v/>
      </c>
      <c r="H535" s="10" t="str">
        <f>IF($X535="","",INDEX(Assessment!$L:$L,$X535))</f>
        <v/>
      </c>
      <c r="I535" s="10" t="str">
        <f>IF($X535="","",INDEX(Assessment!$N:$N,$X535))</f>
        <v/>
      </c>
      <c r="X535" t="str">
        <f>IF(519&lt;=$B$6,SMALL($Y$2:$Y$593,519),IF(519&lt;=$B$6+$B$7,SMALL($Z$2:$Z$593,519-$B$6),""))</f>
        <v/>
      </c>
      <c r="Y535" t="str">
        <f>IF(Assessment!$G535="Critical",ROW(Assessment!$G535),"")</f>
        <v/>
      </c>
      <c r="Z535" t="str">
        <f>IF(Assessment!$G535="High",ROW(Assessment!$G535),"")</f>
        <v/>
      </c>
    </row>
    <row r="536" spans="1:26" x14ac:dyDescent="0.25">
      <c r="A536" s="10" t="str">
        <f>IF($X536="","",520)</f>
        <v/>
      </c>
      <c r="B536" s="10" t="str">
        <f>IF($X536="","",INDEX(Assessment!$A:$A,$X536))</f>
        <v/>
      </c>
      <c r="C536" s="10" t="str">
        <f>IF($X536="","",INDEX(Assessment!$B:$B,$X536))</f>
        <v/>
      </c>
      <c r="D536" s="10" t="str">
        <f>IF($X536="","",INDEX(Assessment!$C:$C,$X536))</f>
        <v/>
      </c>
      <c r="E536" s="10" t="str">
        <f>IF($X536="","",INDEX(Assessment!$F:$F,$X536))</f>
        <v/>
      </c>
      <c r="F536" s="10" t="str">
        <f>IF($X536="","",INDEX(Assessment!$G:$G,$X536))</f>
        <v/>
      </c>
      <c r="G536" s="10" t="str">
        <f>IF($X536="","",INDEX(Assessment!$J:$J,$X536))</f>
        <v/>
      </c>
      <c r="H536" s="10" t="str">
        <f>IF($X536="","",INDEX(Assessment!$L:$L,$X536))</f>
        <v/>
      </c>
      <c r="I536" s="10" t="str">
        <f>IF($X536="","",INDEX(Assessment!$N:$N,$X536))</f>
        <v/>
      </c>
      <c r="X536" t="str">
        <f>IF(520&lt;=$B$6,SMALL($Y$2:$Y$593,520),IF(520&lt;=$B$6+$B$7,SMALL($Z$2:$Z$593,520-$B$6),""))</f>
        <v/>
      </c>
      <c r="Y536" t="str">
        <f>IF(Assessment!$G536="Critical",ROW(Assessment!$G536),"")</f>
        <v/>
      </c>
      <c r="Z536" t="str">
        <f>IF(Assessment!$G536="High",ROW(Assessment!$G536),"")</f>
        <v/>
      </c>
    </row>
    <row r="537" spans="1:26" x14ac:dyDescent="0.25">
      <c r="A537" s="10" t="str">
        <f>IF($X537="","",521)</f>
        <v/>
      </c>
      <c r="B537" s="10" t="str">
        <f>IF($X537="","",INDEX(Assessment!$A:$A,$X537))</f>
        <v/>
      </c>
      <c r="C537" s="10" t="str">
        <f>IF($X537="","",INDEX(Assessment!$B:$B,$X537))</f>
        <v/>
      </c>
      <c r="D537" s="10" t="str">
        <f>IF($X537="","",INDEX(Assessment!$C:$C,$X537))</f>
        <v/>
      </c>
      <c r="E537" s="10" t="str">
        <f>IF($X537="","",INDEX(Assessment!$F:$F,$X537))</f>
        <v/>
      </c>
      <c r="F537" s="10" t="str">
        <f>IF($X537="","",INDEX(Assessment!$G:$G,$X537))</f>
        <v/>
      </c>
      <c r="G537" s="10" t="str">
        <f>IF($X537="","",INDEX(Assessment!$J:$J,$X537))</f>
        <v/>
      </c>
      <c r="H537" s="10" t="str">
        <f>IF($X537="","",INDEX(Assessment!$L:$L,$X537))</f>
        <v/>
      </c>
      <c r="I537" s="10" t="str">
        <f>IF($X537="","",INDEX(Assessment!$N:$N,$X537))</f>
        <v/>
      </c>
      <c r="X537" t="str">
        <f>IF(521&lt;=$B$6,SMALL($Y$2:$Y$593,521),IF(521&lt;=$B$6+$B$7,SMALL($Z$2:$Z$593,521-$B$6),""))</f>
        <v/>
      </c>
      <c r="Y537" t="str">
        <f>IF(Assessment!$G537="Critical",ROW(Assessment!$G537),"")</f>
        <v/>
      </c>
      <c r="Z537" t="str">
        <f>IF(Assessment!$G537="High",ROW(Assessment!$G537),"")</f>
        <v/>
      </c>
    </row>
    <row r="538" spans="1:26" x14ac:dyDescent="0.25">
      <c r="A538" s="10" t="str">
        <f>IF($X538="","",522)</f>
        <v/>
      </c>
      <c r="B538" s="10" t="str">
        <f>IF($X538="","",INDEX(Assessment!$A:$A,$X538))</f>
        <v/>
      </c>
      <c r="C538" s="10" t="str">
        <f>IF($X538="","",INDEX(Assessment!$B:$B,$X538))</f>
        <v/>
      </c>
      <c r="D538" s="10" t="str">
        <f>IF($X538="","",INDEX(Assessment!$C:$C,$X538))</f>
        <v/>
      </c>
      <c r="E538" s="10" t="str">
        <f>IF($X538="","",INDEX(Assessment!$F:$F,$X538))</f>
        <v/>
      </c>
      <c r="F538" s="10" t="str">
        <f>IF($X538="","",INDEX(Assessment!$G:$G,$X538))</f>
        <v/>
      </c>
      <c r="G538" s="10" t="str">
        <f>IF($X538="","",INDEX(Assessment!$J:$J,$X538))</f>
        <v/>
      </c>
      <c r="H538" s="10" t="str">
        <f>IF($X538="","",INDEX(Assessment!$L:$L,$X538))</f>
        <v/>
      </c>
      <c r="I538" s="10" t="str">
        <f>IF($X538="","",INDEX(Assessment!$N:$N,$X538))</f>
        <v/>
      </c>
      <c r="X538" t="str">
        <f>IF(522&lt;=$B$6,SMALL($Y$2:$Y$593,522),IF(522&lt;=$B$6+$B$7,SMALL($Z$2:$Z$593,522-$B$6),""))</f>
        <v/>
      </c>
      <c r="Y538" t="str">
        <f>IF(Assessment!$G538="Critical",ROW(Assessment!$G538),"")</f>
        <v/>
      </c>
      <c r="Z538" t="str">
        <f>IF(Assessment!$G538="High",ROW(Assessment!$G538),"")</f>
        <v/>
      </c>
    </row>
    <row r="539" spans="1:26" x14ac:dyDescent="0.25">
      <c r="A539" s="10" t="str">
        <f>IF($X539="","",523)</f>
        <v/>
      </c>
      <c r="B539" s="10" t="str">
        <f>IF($X539="","",INDEX(Assessment!$A:$A,$X539))</f>
        <v/>
      </c>
      <c r="C539" s="10" t="str">
        <f>IF($X539="","",INDEX(Assessment!$B:$B,$X539))</f>
        <v/>
      </c>
      <c r="D539" s="10" t="str">
        <f>IF($X539="","",INDEX(Assessment!$C:$C,$X539))</f>
        <v/>
      </c>
      <c r="E539" s="10" t="str">
        <f>IF($X539="","",INDEX(Assessment!$F:$F,$X539))</f>
        <v/>
      </c>
      <c r="F539" s="10" t="str">
        <f>IF($X539="","",INDEX(Assessment!$G:$G,$X539))</f>
        <v/>
      </c>
      <c r="G539" s="10" t="str">
        <f>IF($X539="","",INDEX(Assessment!$J:$J,$X539))</f>
        <v/>
      </c>
      <c r="H539" s="10" t="str">
        <f>IF($X539="","",INDEX(Assessment!$L:$L,$X539))</f>
        <v/>
      </c>
      <c r="I539" s="10" t="str">
        <f>IF($X539="","",INDEX(Assessment!$N:$N,$X539))</f>
        <v/>
      </c>
      <c r="X539" t="str">
        <f>IF(523&lt;=$B$6,SMALL($Y$2:$Y$593,523),IF(523&lt;=$B$6+$B$7,SMALL($Z$2:$Z$593,523-$B$6),""))</f>
        <v/>
      </c>
      <c r="Y539" t="str">
        <f>IF(Assessment!$G539="Critical",ROW(Assessment!$G539),"")</f>
        <v/>
      </c>
      <c r="Z539" t="str">
        <f>IF(Assessment!$G539="High",ROW(Assessment!$G539),"")</f>
        <v/>
      </c>
    </row>
    <row r="540" spans="1:26" x14ac:dyDescent="0.25">
      <c r="A540" s="10" t="str">
        <f>IF($X540="","",524)</f>
        <v/>
      </c>
      <c r="B540" s="10" t="str">
        <f>IF($X540="","",INDEX(Assessment!$A:$A,$X540))</f>
        <v/>
      </c>
      <c r="C540" s="10" t="str">
        <f>IF($X540="","",INDEX(Assessment!$B:$B,$X540))</f>
        <v/>
      </c>
      <c r="D540" s="10" t="str">
        <f>IF($X540="","",INDEX(Assessment!$C:$C,$X540))</f>
        <v/>
      </c>
      <c r="E540" s="10" t="str">
        <f>IF($X540="","",INDEX(Assessment!$F:$F,$X540))</f>
        <v/>
      </c>
      <c r="F540" s="10" t="str">
        <f>IF($X540="","",INDEX(Assessment!$G:$G,$X540))</f>
        <v/>
      </c>
      <c r="G540" s="10" t="str">
        <f>IF($X540="","",INDEX(Assessment!$J:$J,$X540))</f>
        <v/>
      </c>
      <c r="H540" s="10" t="str">
        <f>IF($X540="","",INDEX(Assessment!$L:$L,$X540))</f>
        <v/>
      </c>
      <c r="I540" s="10" t="str">
        <f>IF($X540="","",INDEX(Assessment!$N:$N,$X540))</f>
        <v/>
      </c>
      <c r="X540" t="str">
        <f>IF(524&lt;=$B$6,SMALL($Y$2:$Y$593,524),IF(524&lt;=$B$6+$B$7,SMALL($Z$2:$Z$593,524-$B$6),""))</f>
        <v/>
      </c>
      <c r="Y540" t="str">
        <f>IF(Assessment!$G540="Critical",ROW(Assessment!$G540),"")</f>
        <v/>
      </c>
      <c r="Z540" t="str">
        <f>IF(Assessment!$G540="High",ROW(Assessment!$G540),"")</f>
        <v/>
      </c>
    </row>
    <row r="541" spans="1:26" x14ac:dyDescent="0.25">
      <c r="A541" s="10" t="str">
        <f>IF($X541="","",525)</f>
        <v/>
      </c>
      <c r="B541" s="10" t="str">
        <f>IF($X541="","",INDEX(Assessment!$A:$A,$X541))</f>
        <v/>
      </c>
      <c r="C541" s="10" t="str">
        <f>IF($X541="","",INDEX(Assessment!$B:$B,$X541))</f>
        <v/>
      </c>
      <c r="D541" s="10" t="str">
        <f>IF($X541="","",INDEX(Assessment!$C:$C,$X541))</f>
        <v/>
      </c>
      <c r="E541" s="10" t="str">
        <f>IF($X541="","",INDEX(Assessment!$F:$F,$X541))</f>
        <v/>
      </c>
      <c r="F541" s="10" t="str">
        <f>IF($X541="","",INDEX(Assessment!$G:$G,$X541))</f>
        <v/>
      </c>
      <c r="G541" s="10" t="str">
        <f>IF($X541="","",INDEX(Assessment!$J:$J,$X541))</f>
        <v/>
      </c>
      <c r="H541" s="10" t="str">
        <f>IF($X541="","",INDEX(Assessment!$L:$L,$X541))</f>
        <v/>
      </c>
      <c r="I541" s="10" t="str">
        <f>IF($X541="","",INDEX(Assessment!$N:$N,$X541))</f>
        <v/>
      </c>
      <c r="X541" t="str">
        <f>IF(525&lt;=$B$6,SMALL($Y$2:$Y$593,525),IF(525&lt;=$B$6+$B$7,SMALL($Z$2:$Z$593,525-$B$6),""))</f>
        <v/>
      </c>
      <c r="Y541" t="str">
        <f>IF(Assessment!$G541="Critical",ROW(Assessment!$G541),"")</f>
        <v/>
      </c>
      <c r="Z541" t="str">
        <f>IF(Assessment!$G541="High",ROW(Assessment!$G541),"")</f>
        <v/>
      </c>
    </row>
    <row r="542" spans="1:26" x14ac:dyDescent="0.25">
      <c r="A542" s="10" t="str">
        <f>IF($X542="","",526)</f>
        <v/>
      </c>
      <c r="B542" s="10" t="str">
        <f>IF($X542="","",INDEX(Assessment!$A:$A,$X542))</f>
        <v/>
      </c>
      <c r="C542" s="10" t="str">
        <f>IF($X542="","",INDEX(Assessment!$B:$B,$X542))</f>
        <v/>
      </c>
      <c r="D542" s="10" t="str">
        <f>IF($X542="","",INDEX(Assessment!$C:$C,$X542))</f>
        <v/>
      </c>
      <c r="E542" s="10" t="str">
        <f>IF($X542="","",INDEX(Assessment!$F:$F,$X542))</f>
        <v/>
      </c>
      <c r="F542" s="10" t="str">
        <f>IF($X542="","",INDEX(Assessment!$G:$G,$X542))</f>
        <v/>
      </c>
      <c r="G542" s="10" t="str">
        <f>IF($X542="","",INDEX(Assessment!$J:$J,$X542))</f>
        <v/>
      </c>
      <c r="H542" s="10" t="str">
        <f>IF($X542="","",INDEX(Assessment!$L:$L,$X542))</f>
        <v/>
      </c>
      <c r="I542" s="10" t="str">
        <f>IF($X542="","",INDEX(Assessment!$N:$N,$X542))</f>
        <v/>
      </c>
      <c r="X542" t="str">
        <f>IF(526&lt;=$B$6,SMALL($Y$2:$Y$593,526),IF(526&lt;=$B$6+$B$7,SMALL($Z$2:$Z$593,526-$B$6),""))</f>
        <v/>
      </c>
      <c r="Y542" t="str">
        <f>IF(Assessment!$G542="Critical",ROW(Assessment!$G542),"")</f>
        <v/>
      </c>
      <c r="Z542" t="str">
        <f>IF(Assessment!$G542="High",ROW(Assessment!$G542),"")</f>
        <v/>
      </c>
    </row>
    <row r="543" spans="1:26" x14ac:dyDescent="0.25">
      <c r="A543" s="10" t="str">
        <f>IF($X543="","",527)</f>
        <v/>
      </c>
      <c r="B543" s="10" t="str">
        <f>IF($X543="","",INDEX(Assessment!$A:$A,$X543))</f>
        <v/>
      </c>
      <c r="C543" s="10" t="str">
        <f>IF($X543="","",INDEX(Assessment!$B:$B,$X543))</f>
        <v/>
      </c>
      <c r="D543" s="10" t="str">
        <f>IF($X543="","",INDEX(Assessment!$C:$C,$X543))</f>
        <v/>
      </c>
      <c r="E543" s="10" t="str">
        <f>IF($X543="","",INDEX(Assessment!$F:$F,$X543))</f>
        <v/>
      </c>
      <c r="F543" s="10" t="str">
        <f>IF($X543="","",INDEX(Assessment!$G:$G,$X543))</f>
        <v/>
      </c>
      <c r="G543" s="10" t="str">
        <f>IF($X543="","",INDEX(Assessment!$J:$J,$X543))</f>
        <v/>
      </c>
      <c r="H543" s="10" t="str">
        <f>IF($X543="","",INDEX(Assessment!$L:$L,$X543))</f>
        <v/>
      </c>
      <c r="I543" s="10" t="str">
        <f>IF($X543="","",INDEX(Assessment!$N:$N,$X543))</f>
        <v/>
      </c>
      <c r="X543" t="str">
        <f>IF(527&lt;=$B$6,SMALL($Y$2:$Y$593,527),IF(527&lt;=$B$6+$B$7,SMALL($Z$2:$Z$593,527-$B$6),""))</f>
        <v/>
      </c>
      <c r="Y543" t="str">
        <f>IF(Assessment!$G543="Critical",ROW(Assessment!$G543),"")</f>
        <v/>
      </c>
      <c r="Z543" t="str">
        <f>IF(Assessment!$G543="High",ROW(Assessment!$G543),"")</f>
        <v/>
      </c>
    </row>
    <row r="544" spans="1:26" x14ac:dyDescent="0.25">
      <c r="A544" s="10" t="str">
        <f>IF($X544="","",528)</f>
        <v/>
      </c>
      <c r="B544" s="10" t="str">
        <f>IF($X544="","",INDEX(Assessment!$A:$A,$X544))</f>
        <v/>
      </c>
      <c r="C544" s="10" t="str">
        <f>IF($X544="","",INDEX(Assessment!$B:$B,$X544))</f>
        <v/>
      </c>
      <c r="D544" s="10" t="str">
        <f>IF($X544="","",INDEX(Assessment!$C:$C,$X544))</f>
        <v/>
      </c>
      <c r="E544" s="10" t="str">
        <f>IF($X544="","",INDEX(Assessment!$F:$F,$X544))</f>
        <v/>
      </c>
      <c r="F544" s="10" t="str">
        <f>IF($X544="","",INDEX(Assessment!$G:$G,$X544))</f>
        <v/>
      </c>
      <c r="G544" s="10" t="str">
        <f>IF($X544="","",INDEX(Assessment!$J:$J,$X544))</f>
        <v/>
      </c>
      <c r="H544" s="10" t="str">
        <f>IF($X544="","",INDEX(Assessment!$L:$L,$X544))</f>
        <v/>
      </c>
      <c r="I544" s="10" t="str">
        <f>IF($X544="","",INDEX(Assessment!$N:$N,$X544))</f>
        <v/>
      </c>
      <c r="X544" t="str">
        <f>IF(528&lt;=$B$6,SMALL($Y$2:$Y$593,528),IF(528&lt;=$B$6+$B$7,SMALL($Z$2:$Z$593,528-$B$6),""))</f>
        <v/>
      </c>
      <c r="Y544" t="str">
        <f>IF(Assessment!$G544="Critical",ROW(Assessment!$G544),"")</f>
        <v/>
      </c>
      <c r="Z544" t="str">
        <f>IF(Assessment!$G544="High",ROW(Assessment!$G544),"")</f>
        <v/>
      </c>
    </row>
    <row r="545" spans="1:26" x14ac:dyDescent="0.25">
      <c r="A545" s="10" t="str">
        <f>IF($X545="","",529)</f>
        <v/>
      </c>
      <c r="B545" s="10" t="str">
        <f>IF($X545="","",INDEX(Assessment!$A:$A,$X545))</f>
        <v/>
      </c>
      <c r="C545" s="10" t="str">
        <f>IF($X545="","",INDEX(Assessment!$B:$B,$X545))</f>
        <v/>
      </c>
      <c r="D545" s="10" t="str">
        <f>IF($X545="","",INDEX(Assessment!$C:$C,$X545))</f>
        <v/>
      </c>
      <c r="E545" s="10" t="str">
        <f>IF($X545="","",INDEX(Assessment!$F:$F,$X545))</f>
        <v/>
      </c>
      <c r="F545" s="10" t="str">
        <f>IF($X545="","",INDEX(Assessment!$G:$G,$X545))</f>
        <v/>
      </c>
      <c r="G545" s="10" t="str">
        <f>IF($X545="","",INDEX(Assessment!$J:$J,$X545))</f>
        <v/>
      </c>
      <c r="H545" s="10" t="str">
        <f>IF($X545="","",INDEX(Assessment!$L:$L,$X545))</f>
        <v/>
      </c>
      <c r="I545" s="10" t="str">
        <f>IF($X545="","",INDEX(Assessment!$N:$N,$X545))</f>
        <v/>
      </c>
      <c r="X545" t="str">
        <f>IF(529&lt;=$B$6,SMALL($Y$2:$Y$593,529),IF(529&lt;=$B$6+$B$7,SMALL($Z$2:$Z$593,529-$B$6),""))</f>
        <v/>
      </c>
      <c r="Y545" t="str">
        <f>IF(Assessment!$G545="Critical",ROW(Assessment!$G545),"")</f>
        <v/>
      </c>
      <c r="Z545" t="str">
        <f>IF(Assessment!$G545="High",ROW(Assessment!$G545),"")</f>
        <v/>
      </c>
    </row>
    <row r="546" spans="1:26" x14ac:dyDescent="0.25">
      <c r="A546" s="10" t="str">
        <f>IF($X546="","",530)</f>
        <v/>
      </c>
      <c r="B546" s="10" t="str">
        <f>IF($X546="","",INDEX(Assessment!$A:$A,$X546))</f>
        <v/>
      </c>
      <c r="C546" s="10" t="str">
        <f>IF($X546="","",INDEX(Assessment!$B:$B,$X546))</f>
        <v/>
      </c>
      <c r="D546" s="10" t="str">
        <f>IF($X546="","",INDEX(Assessment!$C:$C,$X546))</f>
        <v/>
      </c>
      <c r="E546" s="10" t="str">
        <f>IF($X546="","",INDEX(Assessment!$F:$F,$X546))</f>
        <v/>
      </c>
      <c r="F546" s="10" t="str">
        <f>IF($X546="","",INDEX(Assessment!$G:$G,$X546))</f>
        <v/>
      </c>
      <c r="G546" s="10" t="str">
        <f>IF($X546="","",INDEX(Assessment!$J:$J,$X546))</f>
        <v/>
      </c>
      <c r="H546" s="10" t="str">
        <f>IF($X546="","",INDEX(Assessment!$L:$L,$X546))</f>
        <v/>
      </c>
      <c r="I546" s="10" t="str">
        <f>IF($X546="","",INDEX(Assessment!$N:$N,$X546))</f>
        <v/>
      </c>
      <c r="X546" t="str">
        <f>IF(530&lt;=$B$6,SMALL($Y$2:$Y$593,530),IF(530&lt;=$B$6+$B$7,SMALL($Z$2:$Z$593,530-$B$6),""))</f>
        <v/>
      </c>
      <c r="Y546" t="str">
        <f>IF(Assessment!$G546="Critical",ROW(Assessment!$G546),"")</f>
        <v/>
      </c>
      <c r="Z546" t="str">
        <f>IF(Assessment!$G546="High",ROW(Assessment!$G546),"")</f>
        <v/>
      </c>
    </row>
    <row r="547" spans="1:26" x14ac:dyDescent="0.25">
      <c r="A547" s="10" t="str">
        <f>IF($X547="","",531)</f>
        <v/>
      </c>
      <c r="B547" s="10" t="str">
        <f>IF($X547="","",INDEX(Assessment!$A:$A,$X547))</f>
        <v/>
      </c>
      <c r="C547" s="10" t="str">
        <f>IF($X547="","",INDEX(Assessment!$B:$B,$X547))</f>
        <v/>
      </c>
      <c r="D547" s="10" t="str">
        <f>IF($X547="","",INDEX(Assessment!$C:$C,$X547))</f>
        <v/>
      </c>
      <c r="E547" s="10" t="str">
        <f>IF($X547="","",INDEX(Assessment!$F:$F,$X547))</f>
        <v/>
      </c>
      <c r="F547" s="10" t="str">
        <f>IF($X547="","",INDEX(Assessment!$G:$G,$X547))</f>
        <v/>
      </c>
      <c r="G547" s="10" t="str">
        <f>IF($X547="","",INDEX(Assessment!$J:$J,$X547))</f>
        <v/>
      </c>
      <c r="H547" s="10" t="str">
        <f>IF($X547="","",INDEX(Assessment!$L:$L,$X547))</f>
        <v/>
      </c>
      <c r="I547" s="10" t="str">
        <f>IF($X547="","",INDEX(Assessment!$N:$N,$X547))</f>
        <v/>
      </c>
      <c r="X547" t="str">
        <f>IF(531&lt;=$B$6,SMALL($Y$2:$Y$593,531),IF(531&lt;=$B$6+$B$7,SMALL($Z$2:$Z$593,531-$B$6),""))</f>
        <v/>
      </c>
      <c r="Y547" t="str">
        <f>IF(Assessment!$G547="Critical",ROW(Assessment!$G547),"")</f>
        <v/>
      </c>
      <c r="Z547" t="str">
        <f>IF(Assessment!$G547="High",ROW(Assessment!$G547),"")</f>
        <v/>
      </c>
    </row>
    <row r="548" spans="1:26" x14ac:dyDescent="0.25">
      <c r="A548" s="10" t="str">
        <f>IF($X548="","",532)</f>
        <v/>
      </c>
      <c r="B548" s="10" t="str">
        <f>IF($X548="","",INDEX(Assessment!$A:$A,$X548))</f>
        <v/>
      </c>
      <c r="C548" s="10" t="str">
        <f>IF($X548="","",INDEX(Assessment!$B:$B,$X548))</f>
        <v/>
      </c>
      <c r="D548" s="10" t="str">
        <f>IF($X548="","",INDEX(Assessment!$C:$C,$X548))</f>
        <v/>
      </c>
      <c r="E548" s="10" t="str">
        <f>IF($X548="","",INDEX(Assessment!$F:$F,$X548))</f>
        <v/>
      </c>
      <c r="F548" s="10" t="str">
        <f>IF($X548="","",INDEX(Assessment!$G:$G,$X548))</f>
        <v/>
      </c>
      <c r="G548" s="10" t="str">
        <f>IF($X548="","",INDEX(Assessment!$J:$J,$X548))</f>
        <v/>
      </c>
      <c r="H548" s="10" t="str">
        <f>IF($X548="","",INDEX(Assessment!$L:$L,$X548))</f>
        <v/>
      </c>
      <c r="I548" s="10" t="str">
        <f>IF($X548="","",INDEX(Assessment!$N:$N,$X548))</f>
        <v/>
      </c>
      <c r="X548" t="str">
        <f>IF(532&lt;=$B$6,SMALL($Y$2:$Y$593,532),IF(532&lt;=$B$6+$B$7,SMALL($Z$2:$Z$593,532-$B$6),""))</f>
        <v/>
      </c>
      <c r="Y548" t="str">
        <f>IF(Assessment!$G548="Critical",ROW(Assessment!$G548),"")</f>
        <v/>
      </c>
      <c r="Z548" t="str">
        <f>IF(Assessment!$G548="High",ROW(Assessment!$G548),"")</f>
        <v/>
      </c>
    </row>
    <row r="549" spans="1:26" x14ac:dyDescent="0.25">
      <c r="A549" s="10" t="str">
        <f>IF($X549="","",533)</f>
        <v/>
      </c>
      <c r="B549" s="10" t="str">
        <f>IF($X549="","",INDEX(Assessment!$A:$A,$X549))</f>
        <v/>
      </c>
      <c r="C549" s="10" t="str">
        <f>IF($X549="","",INDEX(Assessment!$B:$B,$X549))</f>
        <v/>
      </c>
      <c r="D549" s="10" t="str">
        <f>IF($X549="","",INDEX(Assessment!$C:$C,$X549))</f>
        <v/>
      </c>
      <c r="E549" s="10" t="str">
        <f>IF($X549="","",INDEX(Assessment!$F:$F,$X549))</f>
        <v/>
      </c>
      <c r="F549" s="10" t="str">
        <f>IF($X549="","",INDEX(Assessment!$G:$G,$X549))</f>
        <v/>
      </c>
      <c r="G549" s="10" t="str">
        <f>IF($X549="","",INDEX(Assessment!$J:$J,$X549))</f>
        <v/>
      </c>
      <c r="H549" s="10" t="str">
        <f>IF($X549="","",INDEX(Assessment!$L:$L,$X549))</f>
        <v/>
      </c>
      <c r="I549" s="10" t="str">
        <f>IF($X549="","",INDEX(Assessment!$N:$N,$X549))</f>
        <v/>
      </c>
      <c r="X549" t="str">
        <f>IF(533&lt;=$B$6,SMALL($Y$2:$Y$593,533),IF(533&lt;=$B$6+$B$7,SMALL($Z$2:$Z$593,533-$B$6),""))</f>
        <v/>
      </c>
      <c r="Y549" t="str">
        <f>IF(Assessment!$G549="Critical",ROW(Assessment!$G549),"")</f>
        <v/>
      </c>
      <c r="Z549" t="str">
        <f>IF(Assessment!$G549="High",ROW(Assessment!$G549),"")</f>
        <v/>
      </c>
    </row>
    <row r="550" spans="1:26" x14ac:dyDescent="0.25">
      <c r="A550" s="10" t="str">
        <f>IF($X550="","",534)</f>
        <v/>
      </c>
      <c r="B550" s="10" t="str">
        <f>IF($X550="","",INDEX(Assessment!$A:$A,$X550))</f>
        <v/>
      </c>
      <c r="C550" s="10" t="str">
        <f>IF($X550="","",INDEX(Assessment!$B:$B,$X550))</f>
        <v/>
      </c>
      <c r="D550" s="10" t="str">
        <f>IF($X550="","",INDEX(Assessment!$C:$C,$X550))</f>
        <v/>
      </c>
      <c r="E550" s="10" t="str">
        <f>IF($X550="","",INDEX(Assessment!$F:$F,$X550))</f>
        <v/>
      </c>
      <c r="F550" s="10" t="str">
        <f>IF($X550="","",INDEX(Assessment!$G:$G,$X550))</f>
        <v/>
      </c>
      <c r="G550" s="10" t="str">
        <f>IF($X550="","",INDEX(Assessment!$J:$J,$X550))</f>
        <v/>
      </c>
      <c r="H550" s="10" t="str">
        <f>IF($X550="","",INDEX(Assessment!$L:$L,$X550))</f>
        <v/>
      </c>
      <c r="I550" s="10" t="str">
        <f>IF($X550="","",INDEX(Assessment!$N:$N,$X550))</f>
        <v/>
      </c>
      <c r="X550" t="str">
        <f>IF(534&lt;=$B$6,SMALL($Y$2:$Y$593,534),IF(534&lt;=$B$6+$B$7,SMALL($Z$2:$Z$593,534-$B$6),""))</f>
        <v/>
      </c>
      <c r="Y550" t="str">
        <f>IF(Assessment!$G550="Critical",ROW(Assessment!$G550),"")</f>
        <v/>
      </c>
      <c r="Z550" t="str">
        <f>IF(Assessment!$G550="High",ROW(Assessment!$G550),"")</f>
        <v/>
      </c>
    </row>
    <row r="551" spans="1:26" x14ac:dyDescent="0.25">
      <c r="A551" s="10" t="str">
        <f>IF($X551="","",535)</f>
        <v/>
      </c>
      <c r="B551" s="10" t="str">
        <f>IF($X551="","",INDEX(Assessment!$A:$A,$X551))</f>
        <v/>
      </c>
      <c r="C551" s="10" t="str">
        <f>IF($X551="","",INDEX(Assessment!$B:$B,$X551))</f>
        <v/>
      </c>
      <c r="D551" s="10" t="str">
        <f>IF($X551="","",INDEX(Assessment!$C:$C,$X551))</f>
        <v/>
      </c>
      <c r="E551" s="10" t="str">
        <f>IF($X551="","",INDEX(Assessment!$F:$F,$X551))</f>
        <v/>
      </c>
      <c r="F551" s="10" t="str">
        <f>IF($X551="","",INDEX(Assessment!$G:$G,$X551))</f>
        <v/>
      </c>
      <c r="G551" s="10" t="str">
        <f>IF($X551="","",INDEX(Assessment!$J:$J,$X551))</f>
        <v/>
      </c>
      <c r="H551" s="10" t="str">
        <f>IF($X551="","",INDEX(Assessment!$L:$L,$X551))</f>
        <v/>
      </c>
      <c r="I551" s="10" t="str">
        <f>IF($X551="","",INDEX(Assessment!$N:$N,$X551))</f>
        <v/>
      </c>
      <c r="X551" t="str">
        <f>IF(535&lt;=$B$6,SMALL($Y$2:$Y$593,535),IF(535&lt;=$B$6+$B$7,SMALL($Z$2:$Z$593,535-$B$6),""))</f>
        <v/>
      </c>
      <c r="Y551" t="str">
        <f>IF(Assessment!$G551="Critical",ROW(Assessment!$G551),"")</f>
        <v/>
      </c>
      <c r="Z551" t="str">
        <f>IF(Assessment!$G551="High",ROW(Assessment!$G551),"")</f>
        <v/>
      </c>
    </row>
    <row r="552" spans="1:26" x14ac:dyDescent="0.25">
      <c r="A552" s="10" t="str">
        <f>IF($X552="","",536)</f>
        <v/>
      </c>
      <c r="B552" s="10" t="str">
        <f>IF($X552="","",INDEX(Assessment!$A:$A,$X552))</f>
        <v/>
      </c>
      <c r="C552" s="10" t="str">
        <f>IF($X552="","",INDEX(Assessment!$B:$B,$X552))</f>
        <v/>
      </c>
      <c r="D552" s="10" t="str">
        <f>IF($X552="","",INDEX(Assessment!$C:$C,$X552))</f>
        <v/>
      </c>
      <c r="E552" s="10" t="str">
        <f>IF($X552="","",INDEX(Assessment!$F:$F,$X552))</f>
        <v/>
      </c>
      <c r="F552" s="10" t="str">
        <f>IF($X552="","",INDEX(Assessment!$G:$G,$X552))</f>
        <v/>
      </c>
      <c r="G552" s="10" t="str">
        <f>IF($X552="","",INDEX(Assessment!$J:$J,$X552))</f>
        <v/>
      </c>
      <c r="H552" s="10" t="str">
        <f>IF($X552="","",INDEX(Assessment!$L:$L,$X552))</f>
        <v/>
      </c>
      <c r="I552" s="10" t="str">
        <f>IF($X552="","",INDEX(Assessment!$N:$N,$X552))</f>
        <v/>
      </c>
      <c r="X552" t="str">
        <f>IF(536&lt;=$B$6,SMALL($Y$2:$Y$593,536),IF(536&lt;=$B$6+$B$7,SMALL($Z$2:$Z$593,536-$B$6),""))</f>
        <v/>
      </c>
      <c r="Y552" t="str">
        <f>IF(Assessment!$G552="Critical",ROW(Assessment!$G552),"")</f>
        <v/>
      </c>
      <c r="Z552" t="str">
        <f>IF(Assessment!$G552="High",ROW(Assessment!$G552),"")</f>
        <v/>
      </c>
    </row>
    <row r="553" spans="1:26" x14ac:dyDescent="0.25">
      <c r="A553" s="10" t="str">
        <f>IF($X553="","",537)</f>
        <v/>
      </c>
      <c r="B553" s="10" t="str">
        <f>IF($X553="","",INDEX(Assessment!$A:$A,$X553))</f>
        <v/>
      </c>
      <c r="C553" s="10" t="str">
        <f>IF($X553="","",INDEX(Assessment!$B:$B,$X553))</f>
        <v/>
      </c>
      <c r="D553" s="10" t="str">
        <f>IF($X553="","",INDEX(Assessment!$C:$C,$X553))</f>
        <v/>
      </c>
      <c r="E553" s="10" t="str">
        <f>IF($X553="","",INDEX(Assessment!$F:$F,$X553))</f>
        <v/>
      </c>
      <c r="F553" s="10" t="str">
        <f>IF($X553="","",INDEX(Assessment!$G:$G,$X553))</f>
        <v/>
      </c>
      <c r="G553" s="10" t="str">
        <f>IF($X553="","",INDEX(Assessment!$J:$J,$X553))</f>
        <v/>
      </c>
      <c r="H553" s="10" t="str">
        <f>IF($X553="","",INDEX(Assessment!$L:$L,$X553))</f>
        <v/>
      </c>
      <c r="I553" s="10" t="str">
        <f>IF($X553="","",INDEX(Assessment!$N:$N,$X553))</f>
        <v/>
      </c>
      <c r="X553" t="str">
        <f>IF(537&lt;=$B$6,SMALL($Y$2:$Y$593,537),IF(537&lt;=$B$6+$B$7,SMALL($Z$2:$Z$593,537-$B$6),""))</f>
        <v/>
      </c>
      <c r="Y553" t="str">
        <f>IF(Assessment!$G553="Critical",ROW(Assessment!$G553),"")</f>
        <v/>
      </c>
      <c r="Z553">
        <f>IF(Assessment!$G553="High",ROW(Assessment!$G553),"")</f>
        <v>553</v>
      </c>
    </row>
    <row r="554" spans="1:26" x14ac:dyDescent="0.25">
      <c r="A554" s="10" t="str">
        <f>IF($X554="","",538)</f>
        <v/>
      </c>
      <c r="B554" s="10" t="str">
        <f>IF($X554="","",INDEX(Assessment!$A:$A,$X554))</f>
        <v/>
      </c>
      <c r="C554" s="10" t="str">
        <f>IF($X554="","",INDEX(Assessment!$B:$B,$X554))</f>
        <v/>
      </c>
      <c r="D554" s="10" t="str">
        <f>IF($X554="","",INDEX(Assessment!$C:$C,$X554))</f>
        <v/>
      </c>
      <c r="E554" s="10" t="str">
        <f>IF($X554="","",INDEX(Assessment!$F:$F,$X554))</f>
        <v/>
      </c>
      <c r="F554" s="10" t="str">
        <f>IF($X554="","",INDEX(Assessment!$G:$G,$X554))</f>
        <v/>
      </c>
      <c r="G554" s="10" t="str">
        <f>IF($X554="","",INDEX(Assessment!$J:$J,$X554))</f>
        <v/>
      </c>
      <c r="H554" s="10" t="str">
        <f>IF($X554="","",INDEX(Assessment!$L:$L,$X554))</f>
        <v/>
      </c>
      <c r="I554" s="10" t="str">
        <f>IF($X554="","",INDEX(Assessment!$N:$N,$X554))</f>
        <v/>
      </c>
      <c r="X554" t="str">
        <f>IF(538&lt;=$B$6,SMALL($Y$2:$Y$593,538),IF(538&lt;=$B$6+$B$7,SMALL($Z$2:$Z$593,538-$B$6),""))</f>
        <v/>
      </c>
      <c r="Y554" t="str">
        <f>IF(Assessment!$G554="Critical",ROW(Assessment!$G554),"")</f>
        <v/>
      </c>
      <c r="Z554">
        <f>IF(Assessment!$G554="High",ROW(Assessment!$G554),"")</f>
        <v>554</v>
      </c>
    </row>
    <row r="555" spans="1:26" x14ac:dyDescent="0.25">
      <c r="A555" s="10" t="str">
        <f>IF($X555="","",539)</f>
        <v/>
      </c>
      <c r="B555" s="10" t="str">
        <f>IF($X555="","",INDEX(Assessment!$A:$A,$X555))</f>
        <v/>
      </c>
      <c r="C555" s="10" t="str">
        <f>IF($X555="","",INDEX(Assessment!$B:$B,$X555))</f>
        <v/>
      </c>
      <c r="D555" s="10" t="str">
        <f>IF($X555="","",INDEX(Assessment!$C:$C,$X555))</f>
        <v/>
      </c>
      <c r="E555" s="10" t="str">
        <f>IF($X555="","",INDEX(Assessment!$F:$F,$X555))</f>
        <v/>
      </c>
      <c r="F555" s="10" t="str">
        <f>IF($X555="","",INDEX(Assessment!$G:$G,$X555))</f>
        <v/>
      </c>
      <c r="G555" s="10" t="str">
        <f>IF($X555="","",INDEX(Assessment!$J:$J,$X555))</f>
        <v/>
      </c>
      <c r="H555" s="10" t="str">
        <f>IF($X555="","",INDEX(Assessment!$L:$L,$X555))</f>
        <v/>
      </c>
      <c r="I555" s="10" t="str">
        <f>IF($X555="","",INDEX(Assessment!$N:$N,$X555))</f>
        <v/>
      </c>
      <c r="X555" t="str">
        <f>IF(539&lt;=$B$6,SMALL($Y$2:$Y$593,539),IF(539&lt;=$B$6+$B$7,SMALL($Z$2:$Z$593,539-$B$6),""))</f>
        <v/>
      </c>
      <c r="Y555" t="str">
        <f>IF(Assessment!$G555="Critical",ROW(Assessment!$G555),"")</f>
        <v/>
      </c>
      <c r="Z555" t="str">
        <f>IF(Assessment!$G555="High",ROW(Assessment!$G555),"")</f>
        <v/>
      </c>
    </row>
    <row r="556" spans="1:26" x14ac:dyDescent="0.25">
      <c r="A556" s="10" t="str">
        <f>IF($X556="","",540)</f>
        <v/>
      </c>
      <c r="B556" s="10" t="str">
        <f>IF($X556="","",INDEX(Assessment!$A:$A,$X556))</f>
        <v/>
      </c>
      <c r="C556" s="10" t="str">
        <f>IF($X556="","",INDEX(Assessment!$B:$B,$X556))</f>
        <v/>
      </c>
      <c r="D556" s="10" t="str">
        <f>IF($X556="","",INDEX(Assessment!$C:$C,$X556))</f>
        <v/>
      </c>
      <c r="E556" s="10" t="str">
        <f>IF($X556="","",INDEX(Assessment!$F:$F,$X556))</f>
        <v/>
      </c>
      <c r="F556" s="10" t="str">
        <f>IF($X556="","",INDEX(Assessment!$G:$G,$X556))</f>
        <v/>
      </c>
      <c r="G556" s="10" t="str">
        <f>IF($X556="","",INDEX(Assessment!$J:$J,$X556))</f>
        <v/>
      </c>
      <c r="H556" s="10" t="str">
        <f>IF($X556="","",INDEX(Assessment!$L:$L,$X556))</f>
        <v/>
      </c>
      <c r="I556" s="10" t="str">
        <f>IF($X556="","",INDEX(Assessment!$N:$N,$X556))</f>
        <v/>
      </c>
      <c r="X556" t="str">
        <f>IF(540&lt;=$B$6,SMALL($Y$2:$Y$593,540),IF(540&lt;=$B$6+$B$7,SMALL($Z$2:$Z$593,540-$B$6),""))</f>
        <v/>
      </c>
      <c r="Y556" t="str">
        <f>IF(Assessment!$G556="Critical",ROW(Assessment!$G556),"")</f>
        <v/>
      </c>
      <c r="Z556">
        <f>IF(Assessment!$G556="High",ROW(Assessment!$G556),"")</f>
        <v>556</v>
      </c>
    </row>
    <row r="557" spans="1:26" x14ac:dyDescent="0.25">
      <c r="A557" s="10" t="str">
        <f>IF($X557="","",541)</f>
        <v/>
      </c>
      <c r="B557" s="10" t="str">
        <f>IF($X557="","",INDEX(Assessment!$A:$A,$X557))</f>
        <v/>
      </c>
      <c r="C557" s="10" t="str">
        <f>IF($X557="","",INDEX(Assessment!$B:$B,$X557))</f>
        <v/>
      </c>
      <c r="D557" s="10" t="str">
        <f>IF($X557="","",INDEX(Assessment!$C:$C,$X557))</f>
        <v/>
      </c>
      <c r="E557" s="10" t="str">
        <f>IF($X557="","",INDEX(Assessment!$F:$F,$X557))</f>
        <v/>
      </c>
      <c r="F557" s="10" t="str">
        <f>IF($X557="","",INDEX(Assessment!$G:$G,$X557))</f>
        <v/>
      </c>
      <c r="G557" s="10" t="str">
        <f>IF($X557="","",INDEX(Assessment!$J:$J,$X557))</f>
        <v/>
      </c>
      <c r="H557" s="10" t="str">
        <f>IF($X557="","",INDEX(Assessment!$L:$L,$X557))</f>
        <v/>
      </c>
      <c r="I557" s="10" t="str">
        <f>IF($X557="","",INDEX(Assessment!$N:$N,$X557))</f>
        <v/>
      </c>
      <c r="X557" t="str">
        <f>IF(541&lt;=$B$6,SMALL($Y$2:$Y$593,541),IF(541&lt;=$B$6+$B$7,SMALL($Z$2:$Z$593,541-$B$6),""))</f>
        <v/>
      </c>
      <c r="Y557" t="str">
        <f>IF(Assessment!$G557="Critical",ROW(Assessment!$G557),"")</f>
        <v/>
      </c>
      <c r="Z557" t="str">
        <f>IF(Assessment!$G557="High",ROW(Assessment!$G557),"")</f>
        <v/>
      </c>
    </row>
    <row r="558" spans="1:26" x14ac:dyDescent="0.25">
      <c r="A558" s="10" t="str">
        <f>IF($X558="","",542)</f>
        <v/>
      </c>
      <c r="B558" s="10" t="str">
        <f>IF($X558="","",INDEX(Assessment!$A:$A,$X558))</f>
        <v/>
      </c>
      <c r="C558" s="10" t="str">
        <f>IF($X558="","",INDEX(Assessment!$B:$B,$X558))</f>
        <v/>
      </c>
      <c r="D558" s="10" t="str">
        <f>IF($X558="","",INDEX(Assessment!$C:$C,$X558))</f>
        <v/>
      </c>
      <c r="E558" s="10" t="str">
        <f>IF($X558="","",INDEX(Assessment!$F:$F,$X558))</f>
        <v/>
      </c>
      <c r="F558" s="10" t="str">
        <f>IF($X558="","",INDEX(Assessment!$G:$G,$X558))</f>
        <v/>
      </c>
      <c r="G558" s="10" t="str">
        <f>IF($X558="","",INDEX(Assessment!$J:$J,$X558))</f>
        <v/>
      </c>
      <c r="H558" s="10" t="str">
        <f>IF($X558="","",INDEX(Assessment!$L:$L,$X558))</f>
        <v/>
      </c>
      <c r="I558" s="10" t="str">
        <f>IF($X558="","",INDEX(Assessment!$N:$N,$X558))</f>
        <v/>
      </c>
      <c r="X558" t="str">
        <f>IF(542&lt;=$B$6,SMALL($Y$2:$Y$593,542),IF(542&lt;=$B$6+$B$7,SMALL($Z$2:$Z$593,542-$B$6),""))</f>
        <v/>
      </c>
      <c r="Y558" t="str">
        <f>IF(Assessment!$G558="Critical",ROW(Assessment!$G558),"")</f>
        <v/>
      </c>
      <c r="Z558" t="str">
        <f>IF(Assessment!$G558="High",ROW(Assessment!$G558),"")</f>
        <v/>
      </c>
    </row>
    <row r="559" spans="1:26" x14ac:dyDescent="0.25">
      <c r="A559" s="10" t="str">
        <f>IF($X559="","",543)</f>
        <v/>
      </c>
      <c r="B559" s="10" t="str">
        <f>IF($X559="","",INDEX(Assessment!$A:$A,$X559))</f>
        <v/>
      </c>
      <c r="C559" s="10" t="str">
        <f>IF($X559="","",INDEX(Assessment!$B:$B,$X559))</f>
        <v/>
      </c>
      <c r="D559" s="10" t="str">
        <f>IF($X559="","",INDEX(Assessment!$C:$C,$X559))</f>
        <v/>
      </c>
      <c r="E559" s="10" t="str">
        <f>IF($X559="","",INDEX(Assessment!$F:$F,$X559))</f>
        <v/>
      </c>
      <c r="F559" s="10" t="str">
        <f>IF($X559="","",INDEX(Assessment!$G:$G,$X559))</f>
        <v/>
      </c>
      <c r="G559" s="10" t="str">
        <f>IF($X559="","",INDEX(Assessment!$J:$J,$X559))</f>
        <v/>
      </c>
      <c r="H559" s="10" t="str">
        <f>IF($X559="","",INDEX(Assessment!$L:$L,$X559))</f>
        <v/>
      </c>
      <c r="I559" s="10" t="str">
        <f>IF($X559="","",INDEX(Assessment!$N:$N,$X559))</f>
        <v/>
      </c>
      <c r="X559" t="str">
        <f>IF(543&lt;=$B$6,SMALL($Y$2:$Y$593,543),IF(543&lt;=$B$6+$B$7,SMALL($Z$2:$Z$593,543-$B$6),""))</f>
        <v/>
      </c>
      <c r="Y559" t="str">
        <f>IF(Assessment!$G559="Critical",ROW(Assessment!$G559),"")</f>
        <v/>
      </c>
      <c r="Z559" t="str">
        <f>IF(Assessment!$G559="High",ROW(Assessment!$G559),"")</f>
        <v/>
      </c>
    </row>
    <row r="560" spans="1:26" x14ac:dyDescent="0.25">
      <c r="A560" s="10" t="str">
        <f>IF($X560="","",544)</f>
        <v/>
      </c>
      <c r="B560" s="10" t="str">
        <f>IF($X560="","",INDEX(Assessment!$A:$A,$X560))</f>
        <v/>
      </c>
      <c r="C560" s="10" t="str">
        <f>IF($X560="","",INDEX(Assessment!$B:$B,$X560))</f>
        <v/>
      </c>
      <c r="D560" s="10" t="str">
        <f>IF($X560="","",INDEX(Assessment!$C:$C,$X560))</f>
        <v/>
      </c>
      <c r="E560" s="10" t="str">
        <f>IF($X560="","",INDEX(Assessment!$F:$F,$X560))</f>
        <v/>
      </c>
      <c r="F560" s="10" t="str">
        <f>IF($X560="","",INDEX(Assessment!$G:$G,$X560))</f>
        <v/>
      </c>
      <c r="G560" s="10" t="str">
        <f>IF($X560="","",INDEX(Assessment!$J:$J,$X560))</f>
        <v/>
      </c>
      <c r="H560" s="10" t="str">
        <f>IF($X560="","",INDEX(Assessment!$L:$L,$X560))</f>
        <v/>
      </c>
      <c r="I560" s="10" t="str">
        <f>IF($X560="","",INDEX(Assessment!$N:$N,$X560))</f>
        <v/>
      </c>
      <c r="X560" t="str">
        <f>IF(544&lt;=$B$6,SMALL($Y$2:$Y$593,544),IF(544&lt;=$B$6+$B$7,SMALL($Z$2:$Z$593,544-$B$6),""))</f>
        <v/>
      </c>
      <c r="Y560" t="str">
        <f>IF(Assessment!$G560="Critical",ROW(Assessment!$G560),"")</f>
        <v/>
      </c>
      <c r="Z560" t="str">
        <f>IF(Assessment!$G560="High",ROW(Assessment!$G560),"")</f>
        <v/>
      </c>
    </row>
    <row r="561" spans="1:26" x14ac:dyDescent="0.25">
      <c r="A561" s="10" t="str">
        <f>IF($X561="","",545)</f>
        <v/>
      </c>
      <c r="B561" s="10" t="str">
        <f>IF($X561="","",INDEX(Assessment!$A:$A,$X561))</f>
        <v/>
      </c>
      <c r="C561" s="10" t="str">
        <f>IF($X561="","",INDEX(Assessment!$B:$B,$X561))</f>
        <v/>
      </c>
      <c r="D561" s="10" t="str">
        <f>IF($X561="","",INDEX(Assessment!$C:$C,$X561))</f>
        <v/>
      </c>
      <c r="E561" s="10" t="str">
        <f>IF($X561="","",INDEX(Assessment!$F:$F,$X561))</f>
        <v/>
      </c>
      <c r="F561" s="10" t="str">
        <f>IF($X561="","",INDEX(Assessment!$G:$G,$X561))</f>
        <v/>
      </c>
      <c r="G561" s="10" t="str">
        <f>IF($X561="","",INDEX(Assessment!$J:$J,$X561))</f>
        <v/>
      </c>
      <c r="H561" s="10" t="str">
        <f>IF($X561="","",INDEX(Assessment!$L:$L,$X561))</f>
        <v/>
      </c>
      <c r="I561" s="10" t="str">
        <f>IF($X561="","",INDEX(Assessment!$N:$N,$X561))</f>
        <v/>
      </c>
      <c r="X561" t="str">
        <f>IF(545&lt;=$B$6,SMALL($Y$2:$Y$593,545),IF(545&lt;=$B$6+$B$7,SMALL($Z$2:$Z$593,545-$B$6),""))</f>
        <v/>
      </c>
      <c r="Y561" t="str">
        <f>IF(Assessment!$G561="Critical",ROW(Assessment!$G561),"")</f>
        <v/>
      </c>
      <c r="Z561" t="str">
        <f>IF(Assessment!$G561="High",ROW(Assessment!$G561),"")</f>
        <v/>
      </c>
    </row>
    <row r="562" spans="1:26" x14ac:dyDescent="0.25">
      <c r="A562" s="10" t="str">
        <f>IF($X562="","",546)</f>
        <v/>
      </c>
      <c r="B562" s="10" t="str">
        <f>IF($X562="","",INDEX(Assessment!$A:$A,$X562))</f>
        <v/>
      </c>
      <c r="C562" s="10" t="str">
        <f>IF($X562="","",INDEX(Assessment!$B:$B,$X562))</f>
        <v/>
      </c>
      <c r="D562" s="10" t="str">
        <f>IF($X562="","",INDEX(Assessment!$C:$C,$X562))</f>
        <v/>
      </c>
      <c r="E562" s="10" t="str">
        <f>IF($X562="","",INDEX(Assessment!$F:$F,$X562))</f>
        <v/>
      </c>
      <c r="F562" s="10" t="str">
        <f>IF($X562="","",INDEX(Assessment!$G:$G,$X562))</f>
        <v/>
      </c>
      <c r="G562" s="10" t="str">
        <f>IF($X562="","",INDEX(Assessment!$J:$J,$X562))</f>
        <v/>
      </c>
      <c r="H562" s="10" t="str">
        <f>IF($X562="","",INDEX(Assessment!$L:$L,$X562))</f>
        <v/>
      </c>
      <c r="I562" s="10" t="str">
        <f>IF($X562="","",INDEX(Assessment!$N:$N,$X562))</f>
        <v/>
      </c>
      <c r="X562" t="str">
        <f>IF(546&lt;=$B$6,SMALL($Y$2:$Y$593,546),IF(546&lt;=$B$6+$B$7,SMALL($Z$2:$Z$593,546-$B$6),""))</f>
        <v/>
      </c>
      <c r="Y562" t="str">
        <f>IF(Assessment!$G562="Critical",ROW(Assessment!$G562),"")</f>
        <v/>
      </c>
      <c r="Z562" t="str">
        <f>IF(Assessment!$G562="High",ROW(Assessment!$G562),"")</f>
        <v/>
      </c>
    </row>
    <row r="563" spans="1:26" x14ac:dyDescent="0.25">
      <c r="A563" s="10" t="str">
        <f>IF($X563="","",547)</f>
        <v/>
      </c>
      <c r="B563" s="10" t="str">
        <f>IF($X563="","",INDEX(Assessment!$A:$A,$X563))</f>
        <v/>
      </c>
      <c r="C563" s="10" t="str">
        <f>IF($X563="","",INDEX(Assessment!$B:$B,$X563))</f>
        <v/>
      </c>
      <c r="D563" s="10" t="str">
        <f>IF($X563="","",INDEX(Assessment!$C:$C,$X563))</f>
        <v/>
      </c>
      <c r="E563" s="10" t="str">
        <f>IF($X563="","",INDEX(Assessment!$F:$F,$X563))</f>
        <v/>
      </c>
      <c r="F563" s="10" t="str">
        <f>IF($X563="","",INDEX(Assessment!$G:$G,$X563))</f>
        <v/>
      </c>
      <c r="G563" s="10" t="str">
        <f>IF($X563="","",INDEX(Assessment!$J:$J,$X563))</f>
        <v/>
      </c>
      <c r="H563" s="10" t="str">
        <f>IF($X563="","",INDEX(Assessment!$L:$L,$X563))</f>
        <v/>
      </c>
      <c r="I563" s="10" t="str">
        <f>IF($X563="","",INDEX(Assessment!$N:$N,$X563))</f>
        <v/>
      </c>
      <c r="X563" t="str">
        <f>IF(547&lt;=$B$6,SMALL($Y$2:$Y$593,547),IF(547&lt;=$B$6+$B$7,SMALL($Z$2:$Z$593,547-$B$6),""))</f>
        <v/>
      </c>
      <c r="Y563" t="str">
        <f>IF(Assessment!$G563="Critical",ROW(Assessment!$G563),"")</f>
        <v/>
      </c>
      <c r="Z563">
        <f>IF(Assessment!$G563="High",ROW(Assessment!$G563),"")</f>
        <v>563</v>
      </c>
    </row>
    <row r="564" spans="1:26" x14ac:dyDescent="0.25">
      <c r="A564" s="10" t="str">
        <f>IF($X564="","",548)</f>
        <v/>
      </c>
      <c r="B564" s="10" t="str">
        <f>IF($X564="","",INDEX(Assessment!$A:$A,$X564))</f>
        <v/>
      </c>
      <c r="C564" s="10" t="str">
        <f>IF($X564="","",INDEX(Assessment!$B:$B,$X564))</f>
        <v/>
      </c>
      <c r="D564" s="10" t="str">
        <f>IF($X564="","",INDEX(Assessment!$C:$C,$X564))</f>
        <v/>
      </c>
      <c r="E564" s="10" t="str">
        <f>IF($X564="","",INDEX(Assessment!$F:$F,$X564))</f>
        <v/>
      </c>
      <c r="F564" s="10" t="str">
        <f>IF($X564="","",INDEX(Assessment!$G:$G,$X564))</f>
        <v/>
      </c>
      <c r="G564" s="10" t="str">
        <f>IF($X564="","",INDEX(Assessment!$J:$J,$X564))</f>
        <v/>
      </c>
      <c r="H564" s="10" t="str">
        <f>IF($X564="","",INDEX(Assessment!$L:$L,$X564))</f>
        <v/>
      </c>
      <c r="I564" s="10" t="str">
        <f>IF($X564="","",INDEX(Assessment!$N:$N,$X564))</f>
        <v/>
      </c>
      <c r="X564" t="str">
        <f>IF(548&lt;=$B$6,SMALL($Y$2:$Y$593,548),IF(548&lt;=$B$6+$B$7,SMALL($Z$2:$Z$593,548-$B$6),""))</f>
        <v/>
      </c>
      <c r="Y564" t="str">
        <f>IF(Assessment!$G564="Critical",ROW(Assessment!$G564),"")</f>
        <v/>
      </c>
      <c r="Z564" t="str">
        <f>IF(Assessment!$G564="High",ROW(Assessment!$G564),"")</f>
        <v/>
      </c>
    </row>
    <row r="565" spans="1:26" x14ac:dyDescent="0.25">
      <c r="A565" s="10" t="str">
        <f>IF($X565="","",549)</f>
        <v/>
      </c>
      <c r="B565" s="10" t="str">
        <f>IF($X565="","",INDEX(Assessment!$A:$A,$X565))</f>
        <v/>
      </c>
      <c r="C565" s="10" t="str">
        <f>IF($X565="","",INDEX(Assessment!$B:$B,$X565))</f>
        <v/>
      </c>
      <c r="D565" s="10" t="str">
        <f>IF($X565="","",INDEX(Assessment!$C:$C,$X565))</f>
        <v/>
      </c>
      <c r="E565" s="10" t="str">
        <f>IF($X565="","",INDEX(Assessment!$F:$F,$X565))</f>
        <v/>
      </c>
      <c r="F565" s="10" t="str">
        <f>IF($X565="","",INDEX(Assessment!$G:$G,$X565))</f>
        <v/>
      </c>
      <c r="G565" s="10" t="str">
        <f>IF($X565="","",INDEX(Assessment!$J:$J,$X565))</f>
        <v/>
      </c>
      <c r="H565" s="10" t="str">
        <f>IF($X565="","",INDEX(Assessment!$L:$L,$X565))</f>
        <v/>
      </c>
      <c r="I565" s="10" t="str">
        <f>IF($X565="","",INDEX(Assessment!$N:$N,$X565))</f>
        <v/>
      </c>
      <c r="X565" t="str">
        <f>IF(549&lt;=$B$6,SMALL($Y$2:$Y$593,549),IF(549&lt;=$B$6+$B$7,SMALL($Z$2:$Z$593,549-$B$6),""))</f>
        <v/>
      </c>
      <c r="Y565" t="str">
        <f>IF(Assessment!$G565="Critical",ROW(Assessment!$G565),"")</f>
        <v/>
      </c>
      <c r="Z565" t="str">
        <f>IF(Assessment!$G565="High",ROW(Assessment!$G565),"")</f>
        <v/>
      </c>
    </row>
    <row r="566" spans="1:26" x14ac:dyDescent="0.25">
      <c r="A566" s="10" t="str">
        <f>IF($X566="","",550)</f>
        <v/>
      </c>
      <c r="B566" s="10" t="str">
        <f>IF($X566="","",INDEX(Assessment!$A:$A,$X566))</f>
        <v/>
      </c>
      <c r="C566" s="10" t="str">
        <f>IF($X566="","",INDEX(Assessment!$B:$B,$X566))</f>
        <v/>
      </c>
      <c r="D566" s="10" t="str">
        <f>IF($X566="","",INDEX(Assessment!$C:$C,$X566))</f>
        <v/>
      </c>
      <c r="E566" s="10" t="str">
        <f>IF($X566="","",INDEX(Assessment!$F:$F,$X566))</f>
        <v/>
      </c>
      <c r="F566" s="10" t="str">
        <f>IF($X566="","",INDEX(Assessment!$G:$G,$X566))</f>
        <v/>
      </c>
      <c r="G566" s="10" t="str">
        <f>IF($X566="","",INDEX(Assessment!$J:$J,$X566))</f>
        <v/>
      </c>
      <c r="H566" s="10" t="str">
        <f>IF($X566="","",INDEX(Assessment!$L:$L,$X566))</f>
        <v/>
      </c>
      <c r="I566" s="10" t="str">
        <f>IF($X566="","",INDEX(Assessment!$N:$N,$X566))</f>
        <v/>
      </c>
      <c r="X566" t="str">
        <f>IF(550&lt;=$B$6,SMALL($Y$2:$Y$593,550),IF(550&lt;=$B$6+$B$7,SMALL($Z$2:$Z$593,550-$B$6),""))</f>
        <v/>
      </c>
      <c r="Y566" t="str">
        <f>IF(Assessment!$G566="Critical",ROW(Assessment!$G566),"")</f>
        <v/>
      </c>
      <c r="Z566" t="str">
        <f>IF(Assessment!$G566="High",ROW(Assessment!$G566),"")</f>
        <v/>
      </c>
    </row>
    <row r="567" spans="1:26" x14ac:dyDescent="0.25">
      <c r="A567" s="10" t="str">
        <f>IF($X567="","",551)</f>
        <v/>
      </c>
      <c r="B567" s="10" t="str">
        <f>IF($X567="","",INDEX(Assessment!$A:$A,$X567))</f>
        <v/>
      </c>
      <c r="C567" s="10" t="str">
        <f>IF($X567="","",INDEX(Assessment!$B:$B,$X567))</f>
        <v/>
      </c>
      <c r="D567" s="10" t="str">
        <f>IF($X567="","",INDEX(Assessment!$C:$C,$X567))</f>
        <v/>
      </c>
      <c r="E567" s="10" t="str">
        <f>IF($X567="","",INDEX(Assessment!$F:$F,$X567))</f>
        <v/>
      </c>
      <c r="F567" s="10" t="str">
        <f>IF($X567="","",INDEX(Assessment!$G:$G,$X567))</f>
        <v/>
      </c>
      <c r="G567" s="10" t="str">
        <f>IF($X567="","",INDEX(Assessment!$J:$J,$X567))</f>
        <v/>
      </c>
      <c r="H567" s="10" t="str">
        <f>IF($X567="","",INDEX(Assessment!$L:$L,$X567))</f>
        <v/>
      </c>
      <c r="I567" s="10" t="str">
        <f>IF($X567="","",INDEX(Assessment!$N:$N,$X567))</f>
        <v/>
      </c>
      <c r="X567" t="str">
        <f>IF(551&lt;=$B$6,SMALL($Y$2:$Y$593,551),IF(551&lt;=$B$6+$B$7,SMALL($Z$2:$Z$593,551-$B$6),""))</f>
        <v/>
      </c>
      <c r="Y567" t="str">
        <f>IF(Assessment!$G567="Critical",ROW(Assessment!$G567),"")</f>
        <v/>
      </c>
      <c r="Z567" t="str">
        <f>IF(Assessment!$G567="High",ROW(Assessment!$G567),"")</f>
        <v/>
      </c>
    </row>
    <row r="568" spans="1:26" x14ac:dyDescent="0.25">
      <c r="A568" s="10" t="str">
        <f>IF($X568="","",552)</f>
        <v/>
      </c>
      <c r="B568" s="10" t="str">
        <f>IF($X568="","",INDEX(Assessment!$A:$A,$X568))</f>
        <v/>
      </c>
      <c r="C568" s="10" t="str">
        <f>IF($X568="","",INDEX(Assessment!$B:$B,$X568))</f>
        <v/>
      </c>
      <c r="D568" s="10" t="str">
        <f>IF($X568="","",INDEX(Assessment!$C:$C,$X568))</f>
        <v/>
      </c>
      <c r="E568" s="10" t="str">
        <f>IF($X568="","",INDEX(Assessment!$F:$F,$X568))</f>
        <v/>
      </c>
      <c r="F568" s="10" t="str">
        <f>IF($X568="","",INDEX(Assessment!$G:$G,$X568))</f>
        <v/>
      </c>
      <c r="G568" s="10" t="str">
        <f>IF($X568="","",INDEX(Assessment!$J:$J,$X568))</f>
        <v/>
      </c>
      <c r="H568" s="10" t="str">
        <f>IF($X568="","",INDEX(Assessment!$L:$L,$X568))</f>
        <v/>
      </c>
      <c r="I568" s="10" t="str">
        <f>IF($X568="","",INDEX(Assessment!$N:$N,$X568))</f>
        <v/>
      </c>
      <c r="X568" t="str">
        <f>IF(552&lt;=$B$6,SMALL($Y$2:$Y$593,552),IF(552&lt;=$B$6+$B$7,SMALL($Z$2:$Z$593,552-$B$6),""))</f>
        <v/>
      </c>
      <c r="Y568" t="str">
        <f>IF(Assessment!$G568="Critical",ROW(Assessment!$G568),"")</f>
        <v/>
      </c>
      <c r="Z568" t="str">
        <f>IF(Assessment!$G568="High",ROW(Assessment!$G568),"")</f>
        <v/>
      </c>
    </row>
    <row r="569" spans="1:26" x14ac:dyDescent="0.25">
      <c r="A569" s="10" t="str">
        <f>IF($X569="","",553)</f>
        <v/>
      </c>
      <c r="B569" s="10" t="str">
        <f>IF($X569="","",INDEX(Assessment!$A:$A,$X569))</f>
        <v/>
      </c>
      <c r="C569" s="10" t="str">
        <f>IF($X569="","",INDEX(Assessment!$B:$B,$X569))</f>
        <v/>
      </c>
      <c r="D569" s="10" t="str">
        <f>IF($X569="","",INDEX(Assessment!$C:$C,$X569))</f>
        <v/>
      </c>
      <c r="E569" s="10" t="str">
        <f>IF($X569="","",INDEX(Assessment!$F:$F,$X569))</f>
        <v/>
      </c>
      <c r="F569" s="10" t="str">
        <f>IF($X569="","",INDEX(Assessment!$G:$G,$X569))</f>
        <v/>
      </c>
      <c r="G569" s="10" t="str">
        <f>IF($X569="","",INDEX(Assessment!$J:$J,$X569))</f>
        <v/>
      </c>
      <c r="H569" s="10" t="str">
        <f>IF($X569="","",INDEX(Assessment!$L:$L,$X569))</f>
        <v/>
      </c>
      <c r="I569" s="10" t="str">
        <f>IF($X569="","",INDEX(Assessment!$N:$N,$X569))</f>
        <v/>
      </c>
      <c r="X569" t="str">
        <f>IF(553&lt;=$B$6,SMALL($Y$2:$Y$593,553),IF(553&lt;=$B$6+$B$7,SMALL($Z$2:$Z$593,553-$B$6),""))</f>
        <v/>
      </c>
      <c r="Y569" t="str">
        <f>IF(Assessment!$G569="Critical",ROW(Assessment!$G569),"")</f>
        <v/>
      </c>
      <c r="Z569" t="str">
        <f>IF(Assessment!$G569="High",ROW(Assessment!$G569),"")</f>
        <v/>
      </c>
    </row>
    <row r="570" spans="1:26" x14ac:dyDescent="0.25">
      <c r="A570" s="10" t="str">
        <f>IF($X570="","",554)</f>
        <v/>
      </c>
      <c r="B570" s="10" t="str">
        <f>IF($X570="","",INDEX(Assessment!$A:$A,$X570))</f>
        <v/>
      </c>
      <c r="C570" s="10" t="str">
        <f>IF($X570="","",INDEX(Assessment!$B:$B,$X570))</f>
        <v/>
      </c>
      <c r="D570" s="10" t="str">
        <f>IF($X570="","",INDEX(Assessment!$C:$C,$X570))</f>
        <v/>
      </c>
      <c r="E570" s="10" t="str">
        <f>IF($X570="","",INDEX(Assessment!$F:$F,$X570))</f>
        <v/>
      </c>
      <c r="F570" s="10" t="str">
        <f>IF($X570="","",INDEX(Assessment!$G:$G,$X570))</f>
        <v/>
      </c>
      <c r="G570" s="10" t="str">
        <f>IF($X570="","",INDEX(Assessment!$J:$J,$X570))</f>
        <v/>
      </c>
      <c r="H570" s="10" t="str">
        <f>IF($X570="","",INDEX(Assessment!$L:$L,$X570))</f>
        <v/>
      </c>
      <c r="I570" s="10" t="str">
        <f>IF($X570="","",INDEX(Assessment!$N:$N,$X570))</f>
        <v/>
      </c>
      <c r="X570" t="str">
        <f>IF(554&lt;=$B$6,SMALL($Y$2:$Y$593,554),IF(554&lt;=$B$6+$B$7,SMALL($Z$2:$Z$593,554-$B$6),""))</f>
        <v/>
      </c>
      <c r="Y570" t="str">
        <f>IF(Assessment!$G570="Critical",ROW(Assessment!$G570),"")</f>
        <v/>
      </c>
      <c r="Z570" t="str">
        <f>IF(Assessment!$G570="High",ROW(Assessment!$G570),"")</f>
        <v/>
      </c>
    </row>
    <row r="571" spans="1:26" x14ac:dyDescent="0.25">
      <c r="A571" s="10" t="str">
        <f>IF($X571="","",555)</f>
        <v/>
      </c>
      <c r="B571" s="10" t="str">
        <f>IF($X571="","",INDEX(Assessment!$A:$A,$X571))</f>
        <v/>
      </c>
      <c r="C571" s="10" t="str">
        <f>IF($X571="","",INDEX(Assessment!$B:$B,$X571))</f>
        <v/>
      </c>
      <c r="D571" s="10" t="str">
        <f>IF($X571="","",INDEX(Assessment!$C:$C,$X571))</f>
        <v/>
      </c>
      <c r="E571" s="10" t="str">
        <f>IF($X571="","",INDEX(Assessment!$F:$F,$X571))</f>
        <v/>
      </c>
      <c r="F571" s="10" t="str">
        <f>IF($X571="","",INDEX(Assessment!$G:$G,$X571))</f>
        <v/>
      </c>
      <c r="G571" s="10" t="str">
        <f>IF($X571="","",INDEX(Assessment!$J:$J,$X571))</f>
        <v/>
      </c>
      <c r="H571" s="10" t="str">
        <f>IF($X571="","",INDEX(Assessment!$L:$L,$X571))</f>
        <v/>
      </c>
      <c r="I571" s="10" t="str">
        <f>IF($X571="","",INDEX(Assessment!$N:$N,$X571))</f>
        <v/>
      </c>
      <c r="X571" t="str">
        <f>IF(555&lt;=$B$6,SMALL($Y$2:$Y$593,555),IF(555&lt;=$B$6+$B$7,SMALL($Z$2:$Z$593,555-$B$6),""))</f>
        <v/>
      </c>
      <c r="Y571" t="str">
        <f>IF(Assessment!$G571="Critical",ROW(Assessment!$G571),"")</f>
        <v/>
      </c>
      <c r="Z571" t="str">
        <f>IF(Assessment!$G571="High",ROW(Assessment!$G571),"")</f>
        <v/>
      </c>
    </row>
    <row r="572" spans="1:26" x14ac:dyDescent="0.25">
      <c r="A572" s="10" t="str">
        <f>IF($X572="","",556)</f>
        <v/>
      </c>
      <c r="B572" s="10" t="str">
        <f>IF($X572="","",INDEX(Assessment!$A:$A,$X572))</f>
        <v/>
      </c>
      <c r="C572" s="10" t="str">
        <f>IF($X572="","",INDEX(Assessment!$B:$B,$X572))</f>
        <v/>
      </c>
      <c r="D572" s="10" t="str">
        <f>IF($X572="","",INDEX(Assessment!$C:$C,$X572))</f>
        <v/>
      </c>
      <c r="E572" s="10" t="str">
        <f>IF($X572="","",INDEX(Assessment!$F:$F,$X572))</f>
        <v/>
      </c>
      <c r="F572" s="10" t="str">
        <f>IF($X572="","",INDEX(Assessment!$G:$G,$X572))</f>
        <v/>
      </c>
      <c r="G572" s="10" t="str">
        <f>IF($X572="","",INDEX(Assessment!$J:$J,$X572))</f>
        <v/>
      </c>
      <c r="H572" s="10" t="str">
        <f>IF($X572="","",INDEX(Assessment!$L:$L,$X572))</f>
        <v/>
      </c>
      <c r="I572" s="10" t="str">
        <f>IF($X572="","",INDEX(Assessment!$N:$N,$X572))</f>
        <v/>
      </c>
      <c r="X572" t="str">
        <f>IF(556&lt;=$B$6,SMALL($Y$2:$Y$593,556),IF(556&lt;=$B$6+$B$7,SMALL($Z$2:$Z$593,556-$B$6),""))</f>
        <v/>
      </c>
      <c r="Y572" t="str">
        <f>IF(Assessment!$G572="Critical",ROW(Assessment!$G572),"")</f>
        <v/>
      </c>
      <c r="Z572" t="str">
        <f>IF(Assessment!$G572="High",ROW(Assessment!$G572),"")</f>
        <v/>
      </c>
    </row>
    <row r="573" spans="1:26" x14ac:dyDescent="0.25">
      <c r="A573" s="10" t="str">
        <f>IF($X573="","",557)</f>
        <v/>
      </c>
      <c r="B573" s="10" t="str">
        <f>IF($X573="","",INDEX(Assessment!$A:$A,$X573))</f>
        <v/>
      </c>
      <c r="C573" s="10" t="str">
        <f>IF($X573="","",INDEX(Assessment!$B:$B,$X573))</f>
        <v/>
      </c>
      <c r="D573" s="10" t="str">
        <f>IF($X573="","",INDEX(Assessment!$C:$C,$X573))</f>
        <v/>
      </c>
      <c r="E573" s="10" t="str">
        <f>IF($X573="","",INDEX(Assessment!$F:$F,$X573))</f>
        <v/>
      </c>
      <c r="F573" s="10" t="str">
        <f>IF($X573="","",INDEX(Assessment!$G:$G,$X573))</f>
        <v/>
      </c>
      <c r="G573" s="10" t="str">
        <f>IF($X573="","",INDEX(Assessment!$J:$J,$X573))</f>
        <v/>
      </c>
      <c r="H573" s="10" t="str">
        <f>IF($X573="","",INDEX(Assessment!$L:$L,$X573))</f>
        <v/>
      </c>
      <c r="I573" s="10" t="str">
        <f>IF($X573="","",INDEX(Assessment!$N:$N,$X573))</f>
        <v/>
      </c>
      <c r="X573" t="str">
        <f>IF(557&lt;=$B$6,SMALL($Y$2:$Y$593,557),IF(557&lt;=$B$6+$B$7,SMALL($Z$2:$Z$593,557-$B$6),""))</f>
        <v/>
      </c>
      <c r="Y573" t="str">
        <f>IF(Assessment!$G573="Critical",ROW(Assessment!$G573),"")</f>
        <v/>
      </c>
      <c r="Z573" t="str">
        <f>IF(Assessment!$G573="High",ROW(Assessment!$G573),"")</f>
        <v/>
      </c>
    </row>
    <row r="574" spans="1:26" x14ac:dyDescent="0.25">
      <c r="A574" s="10" t="str">
        <f>IF($X574="","",558)</f>
        <v/>
      </c>
      <c r="B574" s="10" t="str">
        <f>IF($X574="","",INDEX(Assessment!$A:$A,$X574))</f>
        <v/>
      </c>
      <c r="C574" s="10" t="str">
        <f>IF($X574="","",INDEX(Assessment!$B:$B,$X574))</f>
        <v/>
      </c>
      <c r="D574" s="10" t="str">
        <f>IF($X574="","",INDEX(Assessment!$C:$C,$X574))</f>
        <v/>
      </c>
      <c r="E574" s="10" t="str">
        <f>IF($X574="","",INDEX(Assessment!$F:$F,$X574))</f>
        <v/>
      </c>
      <c r="F574" s="10" t="str">
        <f>IF($X574="","",INDEX(Assessment!$G:$G,$X574))</f>
        <v/>
      </c>
      <c r="G574" s="10" t="str">
        <f>IF($X574="","",INDEX(Assessment!$J:$J,$X574))</f>
        <v/>
      </c>
      <c r="H574" s="10" t="str">
        <f>IF($X574="","",INDEX(Assessment!$L:$L,$X574))</f>
        <v/>
      </c>
      <c r="I574" s="10" t="str">
        <f>IF($X574="","",INDEX(Assessment!$N:$N,$X574))</f>
        <v/>
      </c>
      <c r="X574" t="str">
        <f>IF(558&lt;=$B$6,SMALL($Y$2:$Y$593,558),IF(558&lt;=$B$6+$B$7,SMALL($Z$2:$Z$593,558-$B$6),""))</f>
        <v/>
      </c>
      <c r="Y574" t="str">
        <f>IF(Assessment!$G574="Critical",ROW(Assessment!$G574),"")</f>
        <v/>
      </c>
      <c r="Z574" t="str">
        <f>IF(Assessment!$G574="High",ROW(Assessment!$G574),"")</f>
        <v/>
      </c>
    </row>
    <row r="575" spans="1:26" x14ac:dyDescent="0.25">
      <c r="A575" s="10" t="str">
        <f>IF($X575="","",559)</f>
        <v/>
      </c>
      <c r="B575" s="10" t="str">
        <f>IF($X575="","",INDEX(Assessment!$A:$A,$X575))</f>
        <v/>
      </c>
      <c r="C575" s="10" t="str">
        <f>IF($X575="","",INDEX(Assessment!$B:$B,$X575))</f>
        <v/>
      </c>
      <c r="D575" s="10" t="str">
        <f>IF($X575="","",INDEX(Assessment!$C:$C,$X575))</f>
        <v/>
      </c>
      <c r="E575" s="10" t="str">
        <f>IF($X575="","",INDEX(Assessment!$F:$F,$X575))</f>
        <v/>
      </c>
      <c r="F575" s="10" t="str">
        <f>IF($X575="","",INDEX(Assessment!$G:$G,$X575))</f>
        <v/>
      </c>
      <c r="G575" s="10" t="str">
        <f>IF($X575="","",INDEX(Assessment!$J:$J,$X575))</f>
        <v/>
      </c>
      <c r="H575" s="10" t="str">
        <f>IF($X575="","",INDEX(Assessment!$L:$L,$X575))</f>
        <v/>
      </c>
      <c r="I575" s="10" t="str">
        <f>IF($X575="","",INDEX(Assessment!$N:$N,$X575))</f>
        <v/>
      </c>
      <c r="X575" t="str">
        <f>IF(559&lt;=$B$6,SMALL($Y$2:$Y$593,559),IF(559&lt;=$B$6+$B$7,SMALL($Z$2:$Z$593,559-$B$6),""))</f>
        <v/>
      </c>
      <c r="Y575" t="str">
        <f>IF(Assessment!$G575="Critical",ROW(Assessment!$G575),"")</f>
        <v/>
      </c>
      <c r="Z575" t="str">
        <f>IF(Assessment!$G575="High",ROW(Assessment!$G575),"")</f>
        <v/>
      </c>
    </row>
    <row r="576" spans="1:26" x14ac:dyDescent="0.25">
      <c r="A576" s="10" t="str">
        <f>IF($X576="","",560)</f>
        <v/>
      </c>
      <c r="B576" s="10" t="str">
        <f>IF($X576="","",INDEX(Assessment!$A:$A,$X576))</f>
        <v/>
      </c>
      <c r="C576" s="10" t="str">
        <f>IF($X576="","",INDEX(Assessment!$B:$B,$X576))</f>
        <v/>
      </c>
      <c r="D576" s="10" t="str">
        <f>IF($X576="","",INDEX(Assessment!$C:$C,$X576))</f>
        <v/>
      </c>
      <c r="E576" s="10" t="str">
        <f>IF($X576="","",INDEX(Assessment!$F:$F,$X576))</f>
        <v/>
      </c>
      <c r="F576" s="10" t="str">
        <f>IF($X576="","",INDEX(Assessment!$G:$G,$X576))</f>
        <v/>
      </c>
      <c r="G576" s="10" t="str">
        <f>IF($X576="","",INDEX(Assessment!$J:$J,$X576))</f>
        <v/>
      </c>
      <c r="H576" s="10" t="str">
        <f>IF($X576="","",INDEX(Assessment!$L:$L,$X576))</f>
        <v/>
      </c>
      <c r="I576" s="10" t="str">
        <f>IF($X576="","",INDEX(Assessment!$N:$N,$X576))</f>
        <v/>
      </c>
      <c r="X576" t="str">
        <f>IF(560&lt;=$B$6,SMALL($Y$2:$Y$593,560),IF(560&lt;=$B$6+$B$7,SMALL($Z$2:$Z$593,560-$B$6),""))</f>
        <v/>
      </c>
      <c r="Y576" t="str">
        <f>IF(Assessment!$G576="Critical",ROW(Assessment!$G576),"")</f>
        <v/>
      </c>
      <c r="Z576" t="str">
        <f>IF(Assessment!$G576="High",ROW(Assessment!$G576),"")</f>
        <v/>
      </c>
    </row>
    <row r="577" spans="1:26" x14ac:dyDescent="0.25">
      <c r="A577" s="10" t="str">
        <f>IF($X577="","",561)</f>
        <v/>
      </c>
      <c r="B577" s="10" t="str">
        <f>IF($X577="","",INDEX(Assessment!$A:$A,$X577))</f>
        <v/>
      </c>
      <c r="C577" s="10" t="str">
        <f>IF($X577="","",INDEX(Assessment!$B:$B,$X577))</f>
        <v/>
      </c>
      <c r="D577" s="10" t="str">
        <f>IF($X577="","",INDEX(Assessment!$C:$C,$X577))</f>
        <v/>
      </c>
      <c r="E577" s="10" t="str">
        <f>IF($X577="","",INDEX(Assessment!$F:$F,$X577))</f>
        <v/>
      </c>
      <c r="F577" s="10" t="str">
        <f>IF($X577="","",INDEX(Assessment!$G:$G,$X577))</f>
        <v/>
      </c>
      <c r="G577" s="10" t="str">
        <f>IF($X577="","",INDEX(Assessment!$J:$J,$X577))</f>
        <v/>
      </c>
      <c r="H577" s="10" t="str">
        <f>IF($X577="","",INDEX(Assessment!$L:$L,$X577))</f>
        <v/>
      </c>
      <c r="I577" s="10" t="str">
        <f>IF($X577="","",INDEX(Assessment!$N:$N,$X577))</f>
        <v/>
      </c>
      <c r="X577" t="str">
        <f>IF(561&lt;=$B$6,SMALL($Y$2:$Y$593,561),IF(561&lt;=$B$6+$B$7,SMALL($Z$2:$Z$593,561-$B$6),""))</f>
        <v/>
      </c>
      <c r="Y577" t="str">
        <f>IF(Assessment!$G577="Critical",ROW(Assessment!$G577),"")</f>
        <v/>
      </c>
      <c r="Z577" t="str">
        <f>IF(Assessment!$G577="High",ROW(Assessment!$G577),"")</f>
        <v/>
      </c>
    </row>
    <row r="578" spans="1:26" x14ac:dyDescent="0.25">
      <c r="A578" s="10" t="str">
        <f>IF($X578="","",562)</f>
        <v/>
      </c>
      <c r="B578" s="10" t="str">
        <f>IF($X578="","",INDEX(Assessment!$A:$A,$X578))</f>
        <v/>
      </c>
      <c r="C578" s="10" t="str">
        <f>IF($X578="","",INDEX(Assessment!$B:$B,$X578))</f>
        <v/>
      </c>
      <c r="D578" s="10" t="str">
        <f>IF($X578="","",INDEX(Assessment!$C:$C,$X578))</f>
        <v/>
      </c>
      <c r="E578" s="10" t="str">
        <f>IF($X578="","",INDEX(Assessment!$F:$F,$X578))</f>
        <v/>
      </c>
      <c r="F578" s="10" t="str">
        <f>IF($X578="","",INDEX(Assessment!$G:$G,$X578))</f>
        <v/>
      </c>
      <c r="G578" s="10" t="str">
        <f>IF($X578="","",INDEX(Assessment!$J:$J,$X578))</f>
        <v/>
      </c>
      <c r="H578" s="10" t="str">
        <f>IF($X578="","",INDEX(Assessment!$L:$L,$X578))</f>
        <v/>
      </c>
      <c r="I578" s="10" t="str">
        <f>IF($X578="","",INDEX(Assessment!$N:$N,$X578))</f>
        <v/>
      </c>
      <c r="X578" t="str">
        <f>IF(562&lt;=$B$6,SMALL($Y$2:$Y$593,562),IF(562&lt;=$B$6+$B$7,SMALL($Z$2:$Z$593,562-$B$6),""))</f>
        <v/>
      </c>
      <c r="Y578" t="str">
        <f>IF(Assessment!$G578="Critical",ROW(Assessment!$G578),"")</f>
        <v/>
      </c>
      <c r="Z578" t="str">
        <f>IF(Assessment!$G578="High",ROW(Assessment!$G578),"")</f>
        <v/>
      </c>
    </row>
    <row r="579" spans="1:26" x14ac:dyDescent="0.25">
      <c r="A579" s="10" t="str">
        <f>IF($X579="","",563)</f>
        <v/>
      </c>
      <c r="B579" s="10" t="str">
        <f>IF($X579="","",INDEX(Assessment!$A:$A,$X579))</f>
        <v/>
      </c>
      <c r="C579" s="10" t="str">
        <f>IF($X579="","",INDEX(Assessment!$B:$B,$X579))</f>
        <v/>
      </c>
      <c r="D579" s="10" t="str">
        <f>IF($X579="","",INDEX(Assessment!$C:$C,$X579))</f>
        <v/>
      </c>
      <c r="E579" s="10" t="str">
        <f>IF($X579="","",INDEX(Assessment!$F:$F,$X579))</f>
        <v/>
      </c>
      <c r="F579" s="10" t="str">
        <f>IF($X579="","",INDEX(Assessment!$G:$G,$X579))</f>
        <v/>
      </c>
      <c r="G579" s="10" t="str">
        <f>IF($X579="","",INDEX(Assessment!$J:$J,$X579))</f>
        <v/>
      </c>
      <c r="H579" s="10" t="str">
        <f>IF($X579="","",INDEX(Assessment!$L:$L,$X579))</f>
        <v/>
      </c>
      <c r="I579" s="10" t="str">
        <f>IF($X579="","",INDEX(Assessment!$N:$N,$X579))</f>
        <v/>
      </c>
      <c r="X579" t="str">
        <f>IF(563&lt;=$B$6,SMALL($Y$2:$Y$593,563),IF(563&lt;=$B$6+$B$7,SMALL($Z$2:$Z$593,563-$B$6),""))</f>
        <v/>
      </c>
      <c r="Y579" t="str">
        <f>IF(Assessment!$G579="Critical",ROW(Assessment!$G579),"")</f>
        <v/>
      </c>
      <c r="Z579" t="str">
        <f>IF(Assessment!$G579="High",ROW(Assessment!$G579),"")</f>
        <v/>
      </c>
    </row>
    <row r="580" spans="1:26" x14ac:dyDescent="0.25">
      <c r="A580" s="10" t="str">
        <f>IF($X580="","",564)</f>
        <v/>
      </c>
      <c r="B580" s="10" t="str">
        <f>IF($X580="","",INDEX(Assessment!$A:$A,$X580))</f>
        <v/>
      </c>
      <c r="C580" s="10" t="str">
        <f>IF($X580="","",INDEX(Assessment!$B:$B,$X580))</f>
        <v/>
      </c>
      <c r="D580" s="10" t="str">
        <f>IF($X580="","",INDEX(Assessment!$C:$C,$X580))</f>
        <v/>
      </c>
      <c r="E580" s="10" t="str">
        <f>IF($X580="","",INDEX(Assessment!$F:$F,$X580))</f>
        <v/>
      </c>
      <c r="F580" s="10" t="str">
        <f>IF($X580="","",INDEX(Assessment!$G:$G,$X580))</f>
        <v/>
      </c>
      <c r="G580" s="10" t="str">
        <f>IF($X580="","",INDEX(Assessment!$J:$J,$X580))</f>
        <v/>
      </c>
      <c r="H580" s="10" t="str">
        <f>IF($X580="","",INDEX(Assessment!$L:$L,$X580))</f>
        <v/>
      </c>
      <c r="I580" s="10" t="str">
        <f>IF($X580="","",INDEX(Assessment!$N:$N,$X580))</f>
        <v/>
      </c>
      <c r="X580" t="str">
        <f>IF(564&lt;=$B$6,SMALL($Y$2:$Y$593,564),IF(564&lt;=$B$6+$B$7,SMALL($Z$2:$Z$593,564-$B$6),""))</f>
        <v/>
      </c>
      <c r="Y580" t="str">
        <f>IF(Assessment!$G580="Critical",ROW(Assessment!$G580),"")</f>
        <v/>
      </c>
      <c r="Z580" t="str">
        <f>IF(Assessment!$G580="High",ROW(Assessment!$G580),"")</f>
        <v/>
      </c>
    </row>
    <row r="581" spans="1:26" x14ac:dyDescent="0.25">
      <c r="A581" s="10" t="str">
        <f>IF($X581="","",565)</f>
        <v/>
      </c>
      <c r="B581" s="10" t="str">
        <f>IF($X581="","",INDEX(Assessment!$A:$A,$X581))</f>
        <v/>
      </c>
      <c r="C581" s="10" t="str">
        <f>IF($X581="","",INDEX(Assessment!$B:$B,$X581))</f>
        <v/>
      </c>
      <c r="D581" s="10" t="str">
        <f>IF($X581="","",INDEX(Assessment!$C:$C,$X581))</f>
        <v/>
      </c>
      <c r="E581" s="10" t="str">
        <f>IF($X581="","",INDEX(Assessment!$F:$F,$X581))</f>
        <v/>
      </c>
      <c r="F581" s="10" t="str">
        <f>IF($X581="","",INDEX(Assessment!$G:$G,$X581))</f>
        <v/>
      </c>
      <c r="G581" s="10" t="str">
        <f>IF($X581="","",INDEX(Assessment!$J:$J,$X581))</f>
        <v/>
      </c>
      <c r="H581" s="10" t="str">
        <f>IF($X581="","",INDEX(Assessment!$L:$L,$X581))</f>
        <v/>
      </c>
      <c r="I581" s="10" t="str">
        <f>IF($X581="","",INDEX(Assessment!$N:$N,$X581))</f>
        <v/>
      </c>
      <c r="X581" t="str">
        <f>IF(565&lt;=$B$6,SMALL($Y$2:$Y$593,565),IF(565&lt;=$B$6+$B$7,SMALL($Z$2:$Z$593,565-$B$6),""))</f>
        <v/>
      </c>
      <c r="Y581" t="str">
        <f>IF(Assessment!$G581="Critical",ROW(Assessment!$G581),"")</f>
        <v/>
      </c>
      <c r="Z581" t="str">
        <f>IF(Assessment!$G581="High",ROW(Assessment!$G581),"")</f>
        <v/>
      </c>
    </row>
    <row r="582" spans="1:26" x14ac:dyDescent="0.25">
      <c r="A582" s="10" t="str">
        <f>IF($X582="","",566)</f>
        <v/>
      </c>
      <c r="B582" s="10" t="str">
        <f>IF($X582="","",INDEX(Assessment!$A:$A,$X582))</f>
        <v/>
      </c>
      <c r="C582" s="10" t="str">
        <f>IF($X582="","",INDEX(Assessment!$B:$B,$X582))</f>
        <v/>
      </c>
      <c r="D582" s="10" t="str">
        <f>IF($X582="","",INDEX(Assessment!$C:$C,$X582))</f>
        <v/>
      </c>
      <c r="E582" s="10" t="str">
        <f>IF($X582="","",INDEX(Assessment!$F:$F,$X582))</f>
        <v/>
      </c>
      <c r="F582" s="10" t="str">
        <f>IF($X582="","",INDEX(Assessment!$G:$G,$X582))</f>
        <v/>
      </c>
      <c r="G582" s="10" t="str">
        <f>IF($X582="","",INDEX(Assessment!$J:$J,$X582))</f>
        <v/>
      </c>
      <c r="H582" s="10" t="str">
        <f>IF($X582="","",INDEX(Assessment!$L:$L,$X582))</f>
        <v/>
      </c>
      <c r="I582" s="10" t="str">
        <f>IF($X582="","",INDEX(Assessment!$N:$N,$X582))</f>
        <v/>
      </c>
      <c r="X582" t="str">
        <f>IF(566&lt;=$B$6,SMALL($Y$2:$Y$593,566),IF(566&lt;=$B$6+$B$7,SMALL($Z$2:$Z$593,566-$B$6),""))</f>
        <v/>
      </c>
      <c r="Y582" t="str">
        <f>IF(Assessment!$G582="Critical",ROW(Assessment!$G582),"")</f>
        <v/>
      </c>
      <c r="Z582" t="str">
        <f>IF(Assessment!$G582="High",ROW(Assessment!$G582),"")</f>
        <v/>
      </c>
    </row>
    <row r="583" spans="1:26" x14ac:dyDescent="0.25">
      <c r="A583" s="10" t="str">
        <f>IF($X583="","",567)</f>
        <v/>
      </c>
      <c r="B583" s="10" t="str">
        <f>IF($X583="","",INDEX(Assessment!$A:$A,$X583))</f>
        <v/>
      </c>
      <c r="C583" s="10" t="str">
        <f>IF($X583="","",INDEX(Assessment!$B:$B,$X583))</f>
        <v/>
      </c>
      <c r="D583" s="10" t="str">
        <f>IF($X583="","",INDEX(Assessment!$C:$C,$X583))</f>
        <v/>
      </c>
      <c r="E583" s="10" t="str">
        <f>IF($X583="","",INDEX(Assessment!$F:$F,$X583))</f>
        <v/>
      </c>
      <c r="F583" s="10" t="str">
        <f>IF($X583="","",INDEX(Assessment!$G:$G,$X583))</f>
        <v/>
      </c>
      <c r="G583" s="10" t="str">
        <f>IF($X583="","",INDEX(Assessment!$J:$J,$X583))</f>
        <v/>
      </c>
      <c r="H583" s="10" t="str">
        <f>IF($X583="","",INDEX(Assessment!$L:$L,$X583))</f>
        <v/>
      </c>
      <c r="I583" s="10" t="str">
        <f>IF($X583="","",INDEX(Assessment!$N:$N,$X583))</f>
        <v/>
      </c>
      <c r="X583" t="str">
        <f>IF(567&lt;=$B$6,SMALL($Y$2:$Y$593,567),IF(567&lt;=$B$6+$B$7,SMALL($Z$2:$Z$593,567-$B$6),""))</f>
        <v/>
      </c>
      <c r="Y583" t="str">
        <f>IF(Assessment!$G583="Critical",ROW(Assessment!$G583),"")</f>
        <v/>
      </c>
      <c r="Z583" t="str">
        <f>IF(Assessment!$G583="High",ROW(Assessment!$G583),"")</f>
        <v/>
      </c>
    </row>
    <row r="584" spans="1:26" x14ac:dyDescent="0.25">
      <c r="A584" s="10" t="str">
        <f>IF($X584="","",568)</f>
        <v/>
      </c>
      <c r="B584" s="10" t="str">
        <f>IF($X584="","",INDEX(Assessment!$A:$A,$X584))</f>
        <v/>
      </c>
      <c r="C584" s="10" t="str">
        <f>IF($X584="","",INDEX(Assessment!$B:$B,$X584))</f>
        <v/>
      </c>
      <c r="D584" s="10" t="str">
        <f>IF($X584="","",INDEX(Assessment!$C:$C,$X584))</f>
        <v/>
      </c>
      <c r="E584" s="10" t="str">
        <f>IF($X584="","",INDEX(Assessment!$F:$F,$X584))</f>
        <v/>
      </c>
      <c r="F584" s="10" t="str">
        <f>IF($X584="","",INDEX(Assessment!$G:$G,$X584))</f>
        <v/>
      </c>
      <c r="G584" s="10" t="str">
        <f>IF($X584="","",INDEX(Assessment!$J:$J,$X584))</f>
        <v/>
      </c>
      <c r="H584" s="10" t="str">
        <f>IF($X584="","",INDEX(Assessment!$L:$L,$X584))</f>
        <v/>
      </c>
      <c r="I584" s="10" t="str">
        <f>IF($X584="","",INDEX(Assessment!$N:$N,$X584))</f>
        <v/>
      </c>
      <c r="X584" t="str">
        <f>IF(568&lt;=$B$6,SMALL($Y$2:$Y$593,568),IF(568&lt;=$B$6+$B$7,SMALL($Z$2:$Z$593,568-$B$6),""))</f>
        <v/>
      </c>
      <c r="Y584" t="str">
        <f>IF(Assessment!$G584="Critical",ROW(Assessment!$G584),"")</f>
        <v/>
      </c>
      <c r="Z584" t="str">
        <f>IF(Assessment!$G584="High",ROW(Assessment!$G584),"")</f>
        <v/>
      </c>
    </row>
    <row r="585" spans="1:26" x14ac:dyDescent="0.25">
      <c r="A585" s="10" t="str">
        <f>IF($X585="","",569)</f>
        <v/>
      </c>
      <c r="B585" s="10" t="str">
        <f>IF($X585="","",INDEX(Assessment!$A:$A,$X585))</f>
        <v/>
      </c>
      <c r="C585" s="10" t="str">
        <f>IF($X585="","",INDEX(Assessment!$B:$B,$X585))</f>
        <v/>
      </c>
      <c r="D585" s="10" t="str">
        <f>IF($X585="","",INDEX(Assessment!$C:$C,$X585))</f>
        <v/>
      </c>
      <c r="E585" s="10" t="str">
        <f>IF($X585="","",INDEX(Assessment!$F:$F,$X585))</f>
        <v/>
      </c>
      <c r="F585" s="10" t="str">
        <f>IF($X585="","",INDEX(Assessment!$G:$G,$X585))</f>
        <v/>
      </c>
      <c r="G585" s="10" t="str">
        <f>IF($X585="","",INDEX(Assessment!$J:$J,$X585))</f>
        <v/>
      </c>
      <c r="H585" s="10" t="str">
        <f>IF($X585="","",INDEX(Assessment!$L:$L,$X585))</f>
        <v/>
      </c>
      <c r="I585" s="10" t="str">
        <f>IF($X585="","",INDEX(Assessment!$N:$N,$X585))</f>
        <v/>
      </c>
      <c r="X585" t="str">
        <f>IF(569&lt;=$B$6,SMALL($Y$2:$Y$593,569),IF(569&lt;=$B$6+$B$7,SMALL($Z$2:$Z$593,569-$B$6),""))</f>
        <v/>
      </c>
      <c r="Y585" t="str">
        <f>IF(Assessment!$G585="Critical",ROW(Assessment!$G585),"")</f>
        <v/>
      </c>
      <c r="Z585" t="str">
        <f>IF(Assessment!$G585="High",ROW(Assessment!$G585),"")</f>
        <v/>
      </c>
    </row>
    <row r="586" spans="1:26" x14ac:dyDescent="0.25">
      <c r="A586" s="10" t="str">
        <f>IF($X586="","",570)</f>
        <v/>
      </c>
      <c r="B586" s="10" t="str">
        <f>IF($X586="","",INDEX(Assessment!$A:$A,$X586))</f>
        <v/>
      </c>
      <c r="C586" s="10" t="str">
        <f>IF($X586="","",INDEX(Assessment!$B:$B,$X586))</f>
        <v/>
      </c>
      <c r="D586" s="10" t="str">
        <f>IF($X586="","",INDEX(Assessment!$C:$C,$X586))</f>
        <v/>
      </c>
      <c r="E586" s="10" t="str">
        <f>IF($X586="","",INDEX(Assessment!$F:$F,$X586))</f>
        <v/>
      </c>
      <c r="F586" s="10" t="str">
        <f>IF($X586="","",INDEX(Assessment!$G:$G,$X586))</f>
        <v/>
      </c>
      <c r="G586" s="10" t="str">
        <f>IF($X586="","",INDEX(Assessment!$J:$J,$X586))</f>
        <v/>
      </c>
      <c r="H586" s="10" t="str">
        <f>IF($X586="","",INDEX(Assessment!$L:$L,$X586))</f>
        <v/>
      </c>
      <c r="I586" s="10" t="str">
        <f>IF($X586="","",INDEX(Assessment!$N:$N,$X586))</f>
        <v/>
      </c>
      <c r="X586" t="str">
        <f>IF(570&lt;=$B$6,SMALL($Y$2:$Y$593,570),IF(570&lt;=$B$6+$B$7,SMALL($Z$2:$Z$593,570-$B$6),""))</f>
        <v/>
      </c>
      <c r="Y586" t="str">
        <f>IF(Assessment!$G586="Critical",ROW(Assessment!$G586),"")</f>
        <v/>
      </c>
      <c r="Z586" t="str">
        <f>IF(Assessment!$G586="High",ROW(Assessment!$G586),"")</f>
        <v/>
      </c>
    </row>
    <row r="587" spans="1:26" x14ac:dyDescent="0.25">
      <c r="A587" s="10" t="str">
        <f>IF($X587="","",571)</f>
        <v/>
      </c>
      <c r="B587" s="10" t="str">
        <f>IF($X587="","",INDEX(Assessment!$A:$A,$X587))</f>
        <v/>
      </c>
      <c r="C587" s="10" t="str">
        <f>IF($X587="","",INDEX(Assessment!$B:$B,$X587))</f>
        <v/>
      </c>
      <c r="D587" s="10" t="str">
        <f>IF($X587="","",INDEX(Assessment!$C:$C,$X587))</f>
        <v/>
      </c>
      <c r="E587" s="10" t="str">
        <f>IF($X587="","",INDEX(Assessment!$F:$F,$X587))</f>
        <v/>
      </c>
      <c r="F587" s="10" t="str">
        <f>IF($X587="","",INDEX(Assessment!$G:$G,$X587))</f>
        <v/>
      </c>
      <c r="G587" s="10" t="str">
        <f>IF($X587="","",INDEX(Assessment!$J:$J,$X587))</f>
        <v/>
      </c>
      <c r="H587" s="10" t="str">
        <f>IF($X587="","",INDEX(Assessment!$L:$L,$X587))</f>
        <v/>
      </c>
      <c r="I587" s="10" t="str">
        <f>IF($X587="","",INDEX(Assessment!$N:$N,$X587))</f>
        <v/>
      </c>
      <c r="X587" t="str">
        <f>IF(571&lt;=$B$6,SMALL($Y$2:$Y$593,571),IF(571&lt;=$B$6+$B$7,SMALL($Z$2:$Z$593,571-$B$6),""))</f>
        <v/>
      </c>
      <c r="Y587" t="str">
        <f>IF(Assessment!$G587="Critical",ROW(Assessment!$G587),"")</f>
        <v/>
      </c>
      <c r="Z587" t="str">
        <f>IF(Assessment!$G587="High",ROW(Assessment!$G587),"")</f>
        <v/>
      </c>
    </row>
    <row r="588" spans="1:26" x14ac:dyDescent="0.25">
      <c r="A588" s="10" t="str">
        <f>IF($X588="","",572)</f>
        <v/>
      </c>
      <c r="B588" s="10" t="str">
        <f>IF($X588="","",INDEX(Assessment!$A:$A,$X588))</f>
        <v/>
      </c>
      <c r="C588" s="10" t="str">
        <f>IF($X588="","",INDEX(Assessment!$B:$B,$X588))</f>
        <v/>
      </c>
      <c r="D588" s="10" t="str">
        <f>IF($X588="","",INDEX(Assessment!$C:$C,$X588))</f>
        <v/>
      </c>
      <c r="E588" s="10" t="str">
        <f>IF($X588="","",INDEX(Assessment!$F:$F,$X588))</f>
        <v/>
      </c>
      <c r="F588" s="10" t="str">
        <f>IF($X588="","",INDEX(Assessment!$G:$G,$X588))</f>
        <v/>
      </c>
      <c r="G588" s="10" t="str">
        <f>IF($X588="","",INDEX(Assessment!$J:$J,$X588))</f>
        <v/>
      </c>
      <c r="H588" s="10" t="str">
        <f>IF($X588="","",INDEX(Assessment!$L:$L,$X588))</f>
        <v/>
      </c>
      <c r="I588" s="10" t="str">
        <f>IF($X588="","",INDEX(Assessment!$N:$N,$X588))</f>
        <v/>
      </c>
      <c r="X588" t="str">
        <f>IF(572&lt;=$B$6,SMALL($Y$2:$Y$593,572),IF(572&lt;=$B$6+$B$7,SMALL($Z$2:$Z$593,572-$B$6),""))</f>
        <v/>
      </c>
      <c r="Y588" t="str">
        <f>IF(Assessment!$G588="Critical",ROW(Assessment!$G588),"")</f>
        <v/>
      </c>
      <c r="Z588" t="str">
        <f>IF(Assessment!$G588="High",ROW(Assessment!$G588),"")</f>
        <v/>
      </c>
    </row>
    <row r="589" spans="1:26" x14ac:dyDescent="0.25">
      <c r="A589" s="10" t="str">
        <f>IF($X589="","",573)</f>
        <v/>
      </c>
      <c r="B589" s="10" t="str">
        <f>IF($X589="","",INDEX(Assessment!$A:$A,$X589))</f>
        <v/>
      </c>
      <c r="C589" s="10" t="str">
        <f>IF($X589="","",INDEX(Assessment!$B:$B,$X589))</f>
        <v/>
      </c>
      <c r="D589" s="10" t="str">
        <f>IF($X589="","",INDEX(Assessment!$C:$C,$X589))</f>
        <v/>
      </c>
      <c r="E589" s="10" t="str">
        <f>IF($X589="","",INDEX(Assessment!$F:$F,$X589))</f>
        <v/>
      </c>
      <c r="F589" s="10" t="str">
        <f>IF($X589="","",INDEX(Assessment!$G:$G,$X589))</f>
        <v/>
      </c>
      <c r="G589" s="10" t="str">
        <f>IF($X589="","",INDEX(Assessment!$J:$J,$X589))</f>
        <v/>
      </c>
      <c r="H589" s="10" t="str">
        <f>IF($X589="","",INDEX(Assessment!$L:$L,$X589))</f>
        <v/>
      </c>
      <c r="I589" s="10" t="str">
        <f>IF($X589="","",INDEX(Assessment!$N:$N,$X589))</f>
        <v/>
      </c>
      <c r="X589" t="str">
        <f>IF(573&lt;=$B$6,SMALL($Y$2:$Y$593,573),IF(573&lt;=$B$6+$B$7,SMALL($Z$2:$Z$593,573-$B$6),""))</f>
        <v/>
      </c>
      <c r="Y589" t="str">
        <f>IF(Assessment!$G589="Critical",ROW(Assessment!$G589),"")</f>
        <v/>
      </c>
      <c r="Z589" t="str">
        <f>IF(Assessment!$G589="High",ROW(Assessment!$G589),"")</f>
        <v/>
      </c>
    </row>
    <row r="590" spans="1:26" x14ac:dyDescent="0.25">
      <c r="A590" s="10" t="str">
        <f>IF($X590="","",574)</f>
        <v/>
      </c>
      <c r="B590" s="10" t="str">
        <f>IF($X590="","",INDEX(Assessment!$A:$A,$X590))</f>
        <v/>
      </c>
      <c r="C590" s="10" t="str">
        <f>IF($X590="","",INDEX(Assessment!$B:$B,$X590))</f>
        <v/>
      </c>
      <c r="D590" s="10" t="str">
        <f>IF($X590="","",INDEX(Assessment!$C:$C,$X590))</f>
        <v/>
      </c>
      <c r="E590" s="10" t="str">
        <f>IF($X590="","",INDEX(Assessment!$F:$F,$X590))</f>
        <v/>
      </c>
      <c r="F590" s="10" t="str">
        <f>IF($X590="","",INDEX(Assessment!$G:$G,$X590))</f>
        <v/>
      </c>
      <c r="G590" s="10" t="str">
        <f>IF($X590="","",INDEX(Assessment!$J:$J,$X590))</f>
        <v/>
      </c>
      <c r="H590" s="10" t="str">
        <f>IF($X590="","",INDEX(Assessment!$L:$L,$X590))</f>
        <v/>
      </c>
      <c r="I590" s="10" t="str">
        <f>IF($X590="","",INDEX(Assessment!$N:$N,$X590))</f>
        <v/>
      </c>
      <c r="X590" t="str">
        <f>IF(574&lt;=$B$6,SMALL($Y$2:$Y$593,574),IF(574&lt;=$B$6+$B$7,SMALL($Z$2:$Z$593,574-$B$6),""))</f>
        <v/>
      </c>
      <c r="Y590" t="str">
        <f>IF(Assessment!$G590="Critical",ROW(Assessment!$G590),"")</f>
        <v/>
      </c>
      <c r="Z590" t="str">
        <f>IF(Assessment!$G590="High",ROW(Assessment!$G590),"")</f>
        <v/>
      </c>
    </row>
    <row r="591" spans="1:26" x14ac:dyDescent="0.25">
      <c r="A591" s="10" t="str">
        <f>IF($X591="","",575)</f>
        <v/>
      </c>
      <c r="B591" s="10" t="str">
        <f>IF($X591="","",INDEX(Assessment!$A:$A,$X591))</f>
        <v/>
      </c>
      <c r="C591" s="10" t="str">
        <f>IF($X591="","",INDEX(Assessment!$B:$B,$X591))</f>
        <v/>
      </c>
      <c r="D591" s="10" t="str">
        <f>IF($X591="","",INDEX(Assessment!$C:$C,$X591))</f>
        <v/>
      </c>
      <c r="E591" s="10" t="str">
        <f>IF($X591="","",INDEX(Assessment!$F:$F,$X591))</f>
        <v/>
      </c>
      <c r="F591" s="10" t="str">
        <f>IF($X591="","",INDEX(Assessment!$G:$G,$X591))</f>
        <v/>
      </c>
      <c r="G591" s="10" t="str">
        <f>IF($X591="","",INDEX(Assessment!$J:$J,$X591))</f>
        <v/>
      </c>
      <c r="H591" s="10" t="str">
        <f>IF($X591="","",INDEX(Assessment!$L:$L,$X591))</f>
        <v/>
      </c>
      <c r="I591" s="10" t="str">
        <f>IF($X591="","",INDEX(Assessment!$N:$N,$X591))</f>
        <v/>
      </c>
      <c r="X591" t="str">
        <f>IF(575&lt;=$B$6,SMALL($Y$2:$Y$593,575),IF(575&lt;=$B$6+$B$7,SMALL($Z$2:$Z$593,575-$B$6),""))</f>
        <v/>
      </c>
      <c r="Y591" t="str">
        <f>IF(Assessment!$G591="Critical",ROW(Assessment!$G591),"")</f>
        <v/>
      </c>
      <c r="Z591" t="str">
        <f>IF(Assessment!$G591="High",ROW(Assessment!$G591),"")</f>
        <v/>
      </c>
    </row>
    <row r="592" spans="1:26" x14ac:dyDescent="0.25">
      <c r="A592" s="10" t="str">
        <f>IF($X592="","",576)</f>
        <v/>
      </c>
      <c r="B592" s="10" t="str">
        <f>IF($X592="","",INDEX(Assessment!$A:$A,$X592))</f>
        <v/>
      </c>
      <c r="C592" s="10" t="str">
        <f>IF($X592="","",INDEX(Assessment!$B:$B,$X592))</f>
        <v/>
      </c>
      <c r="D592" s="10" t="str">
        <f>IF($X592="","",INDEX(Assessment!$C:$C,$X592))</f>
        <v/>
      </c>
      <c r="E592" s="10" t="str">
        <f>IF($X592="","",INDEX(Assessment!$F:$F,$X592))</f>
        <v/>
      </c>
      <c r="F592" s="10" t="str">
        <f>IF($X592="","",INDEX(Assessment!$G:$G,$X592))</f>
        <v/>
      </c>
      <c r="G592" s="10" t="str">
        <f>IF($X592="","",INDEX(Assessment!$J:$J,$X592))</f>
        <v/>
      </c>
      <c r="H592" s="10" t="str">
        <f>IF($X592="","",INDEX(Assessment!$L:$L,$X592))</f>
        <v/>
      </c>
      <c r="I592" s="10" t="str">
        <f>IF($X592="","",INDEX(Assessment!$N:$N,$X592))</f>
        <v/>
      </c>
      <c r="X592" t="str">
        <f>IF(576&lt;=$B$6,SMALL($Y$2:$Y$593,576),IF(576&lt;=$B$6+$B$7,SMALL($Z$2:$Z$593,576-$B$6),""))</f>
        <v/>
      </c>
      <c r="Y592" t="str">
        <f>IF(Assessment!$G592="Critical",ROW(Assessment!$G592),"")</f>
        <v/>
      </c>
      <c r="Z592" t="str">
        <f>IF(Assessment!$G592="High",ROW(Assessment!$G592),"")</f>
        <v/>
      </c>
    </row>
    <row r="593" spans="1:26" x14ac:dyDescent="0.25">
      <c r="A593" s="10" t="str">
        <f>IF($X593="","",577)</f>
        <v/>
      </c>
      <c r="B593" s="10" t="str">
        <f>IF($X593="","",INDEX(Assessment!$A:$A,$X593))</f>
        <v/>
      </c>
      <c r="C593" s="10" t="str">
        <f>IF($X593="","",INDEX(Assessment!$B:$B,$X593))</f>
        <v/>
      </c>
      <c r="D593" s="10" t="str">
        <f>IF($X593="","",INDEX(Assessment!$C:$C,$X593))</f>
        <v/>
      </c>
      <c r="E593" s="10" t="str">
        <f>IF($X593="","",INDEX(Assessment!$F:$F,$X593))</f>
        <v/>
      </c>
      <c r="F593" s="10" t="str">
        <f>IF($X593="","",INDEX(Assessment!$G:$G,$X593))</f>
        <v/>
      </c>
      <c r="G593" s="10" t="str">
        <f>IF($X593="","",INDEX(Assessment!$J:$J,$X593))</f>
        <v/>
      </c>
      <c r="H593" s="10" t="str">
        <f>IF($X593="","",INDEX(Assessment!$L:$L,$X593))</f>
        <v/>
      </c>
      <c r="I593" s="10" t="str">
        <f>IF($X593="","",INDEX(Assessment!$N:$N,$X593))</f>
        <v/>
      </c>
      <c r="X593" t="str">
        <f>IF(577&lt;=$B$6,SMALL($Y$2:$Y$593,577),IF(577&lt;=$B$6+$B$7,SMALL($Z$2:$Z$593,577-$B$6),""))</f>
        <v/>
      </c>
      <c r="Y593" t="str">
        <f>IF(Assessment!$G593="Critical",ROW(Assessment!$G593),"")</f>
        <v/>
      </c>
      <c r="Z593" t="str">
        <f>IF(Assessment!$G593="High",ROW(Assessment!$G593),"")</f>
        <v/>
      </c>
    </row>
    <row r="594" spans="1:26" x14ac:dyDescent="0.25">
      <c r="A594" s="10" t="str">
        <f>IF($X594="","",578)</f>
        <v/>
      </c>
      <c r="B594" s="10" t="str">
        <f>IF($X594="","",INDEX(Assessment!$A:$A,$X594))</f>
        <v/>
      </c>
      <c r="C594" s="10" t="str">
        <f>IF($X594="","",INDEX(Assessment!$B:$B,$X594))</f>
        <v/>
      </c>
      <c r="D594" s="10" t="str">
        <f>IF($X594="","",INDEX(Assessment!$C:$C,$X594))</f>
        <v/>
      </c>
      <c r="E594" s="10" t="str">
        <f>IF($X594="","",INDEX(Assessment!$F:$F,$X594))</f>
        <v/>
      </c>
      <c r="F594" s="10" t="str">
        <f>IF($X594="","",INDEX(Assessment!$G:$G,$X594))</f>
        <v/>
      </c>
      <c r="G594" s="10" t="str">
        <f>IF($X594="","",INDEX(Assessment!$J:$J,$X594))</f>
        <v/>
      </c>
      <c r="H594" s="10" t="str">
        <f>IF($X594="","",INDEX(Assessment!$L:$L,$X594))</f>
        <v/>
      </c>
      <c r="I594" s="10" t="str">
        <f>IF($X594="","",INDEX(Assessment!$N:$N,$X594))</f>
        <v/>
      </c>
      <c r="X594" t="str">
        <f>IF(578&lt;=$B$6,SMALL($Y$2:$Y$593,578),IF(578&lt;=$B$6+$B$7,SMALL($Z$2:$Z$593,578-$B$6),""))</f>
        <v/>
      </c>
    </row>
    <row r="595" spans="1:26" x14ac:dyDescent="0.25">
      <c r="A595" s="10" t="str">
        <f>IF($X595="","",579)</f>
        <v/>
      </c>
      <c r="B595" s="10" t="str">
        <f>IF($X595="","",INDEX(Assessment!$A:$A,$X595))</f>
        <v/>
      </c>
      <c r="C595" s="10" t="str">
        <f>IF($X595="","",INDEX(Assessment!$B:$B,$X595))</f>
        <v/>
      </c>
      <c r="D595" s="10" t="str">
        <f>IF($X595="","",INDEX(Assessment!$C:$C,$X595))</f>
        <v/>
      </c>
      <c r="E595" s="10" t="str">
        <f>IF($X595="","",INDEX(Assessment!$F:$F,$X595))</f>
        <v/>
      </c>
      <c r="F595" s="10" t="str">
        <f>IF($X595="","",INDEX(Assessment!$G:$G,$X595))</f>
        <v/>
      </c>
      <c r="G595" s="10" t="str">
        <f>IF($X595="","",INDEX(Assessment!$J:$J,$X595))</f>
        <v/>
      </c>
      <c r="H595" s="10" t="str">
        <f>IF($X595="","",INDEX(Assessment!$L:$L,$X595))</f>
        <v/>
      </c>
      <c r="I595" s="10" t="str">
        <f>IF($X595="","",INDEX(Assessment!$N:$N,$X595))</f>
        <v/>
      </c>
      <c r="X595" t="str">
        <f>IF(579&lt;=$B$6,SMALL($Y$2:$Y$593,579),IF(579&lt;=$B$6+$B$7,SMALL($Z$2:$Z$593,579-$B$6),""))</f>
        <v/>
      </c>
    </row>
    <row r="596" spans="1:26" x14ac:dyDescent="0.25">
      <c r="A596" s="10" t="str">
        <f>IF($X596="","",580)</f>
        <v/>
      </c>
      <c r="B596" s="10" t="str">
        <f>IF($X596="","",INDEX(Assessment!$A:$A,$X596))</f>
        <v/>
      </c>
      <c r="C596" s="10" t="str">
        <f>IF($X596="","",INDEX(Assessment!$B:$B,$X596))</f>
        <v/>
      </c>
      <c r="D596" s="10" t="str">
        <f>IF($X596="","",INDEX(Assessment!$C:$C,$X596))</f>
        <v/>
      </c>
      <c r="E596" s="10" t="str">
        <f>IF($X596="","",INDEX(Assessment!$F:$F,$X596))</f>
        <v/>
      </c>
      <c r="F596" s="10" t="str">
        <f>IF($X596="","",INDEX(Assessment!$G:$G,$X596))</f>
        <v/>
      </c>
      <c r="G596" s="10" t="str">
        <f>IF($X596="","",INDEX(Assessment!$J:$J,$X596))</f>
        <v/>
      </c>
      <c r="H596" s="10" t="str">
        <f>IF($X596="","",INDEX(Assessment!$L:$L,$X596))</f>
        <v/>
      </c>
      <c r="I596" s="10" t="str">
        <f>IF($X596="","",INDEX(Assessment!$N:$N,$X596))</f>
        <v/>
      </c>
      <c r="X596" t="str">
        <f>IF(580&lt;=$B$6,SMALL($Y$2:$Y$593,580),IF(580&lt;=$B$6+$B$7,SMALL($Z$2:$Z$593,580-$B$6),""))</f>
        <v/>
      </c>
    </row>
    <row r="597" spans="1:26" x14ac:dyDescent="0.25">
      <c r="A597" s="10" t="str">
        <f>IF($X597="","",581)</f>
        <v/>
      </c>
      <c r="B597" s="10" t="str">
        <f>IF($X597="","",INDEX(Assessment!$A:$A,$X597))</f>
        <v/>
      </c>
      <c r="C597" s="10" t="str">
        <f>IF($X597="","",INDEX(Assessment!$B:$B,$X597))</f>
        <v/>
      </c>
      <c r="D597" s="10" t="str">
        <f>IF($X597="","",INDEX(Assessment!$C:$C,$X597))</f>
        <v/>
      </c>
      <c r="E597" s="10" t="str">
        <f>IF($X597="","",INDEX(Assessment!$F:$F,$X597))</f>
        <v/>
      </c>
      <c r="F597" s="10" t="str">
        <f>IF($X597="","",INDEX(Assessment!$G:$G,$X597))</f>
        <v/>
      </c>
      <c r="G597" s="10" t="str">
        <f>IF($X597="","",INDEX(Assessment!$J:$J,$X597))</f>
        <v/>
      </c>
      <c r="H597" s="10" t="str">
        <f>IF($X597="","",INDEX(Assessment!$L:$L,$X597))</f>
        <v/>
      </c>
      <c r="I597" s="10" t="str">
        <f>IF($X597="","",INDEX(Assessment!$N:$N,$X597))</f>
        <v/>
      </c>
      <c r="X597" t="str">
        <f>IF(581&lt;=$B$6,SMALL($Y$2:$Y$593,581),IF(581&lt;=$B$6+$B$7,SMALL($Z$2:$Z$593,581-$B$6),""))</f>
        <v/>
      </c>
    </row>
    <row r="598" spans="1:26" x14ac:dyDescent="0.25">
      <c r="A598" s="10" t="str">
        <f>IF($X598="","",582)</f>
        <v/>
      </c>
      <c r="B598" s="10" t="str">
        <f>IF($X598="","",INDEX(Assessment!$A:$A,$X598))</f>
        <v/>
      </c>
      <c r="C598" s="10" t="str">
        <f>IF($X598="","",INDEX(Assessment!$B:$B,$X598))</f>
        <v/>
      </c>
      <c r="D598" s="10" t="str">
        <f>IF($X598="","",INDEX(Assessment!$C:$C,$X598))</f>
        <v/>
      </c>
      <c r="E598" s="10" t="str">
        <f>IF($X598="","",INDEX(Assessment!$F:$F,$X598))</f>
        <v/>
      </c>
      <c r="F598" s="10" t="str">
        <f>IF($X598="","",INDEX(Assessment!$G:$G,$X598))</f>
        <v/>
      </c>
      <c r="G598" s="10" t="str">
        <f>IF($X598="","",INDEX(Assessment!$J:$J,$X598))</f>
        <v/>
      </c>
      <c r="H598" s="10" t="str">
        <f>IF($X598="","",INDEX(Assessment!$L:$L,$X598))</f>
        <v/>
      </c>
      <c r="I598" s="10" t="str">
        <f>IF($X598="","",INDEX(Assessment!$N:$N,$X598))</f>
        <v/>
      </c>
      <c r="X598" t="str">
        <f>IF(582&lt;=$B$6,SMALL($Y$2:$Y$593,582),IF(582&lt;=$B$6+$B$7,SMALL($Z$2:$Z$593,582-$B$6),""))</f>
        <v/>
      </c>
    </row>
    <row r="599" spans="1:26" x14ac:dyDescent="0.25">
      <c r="A599" s="10" t="str">
        <f>IF($X599="","",583)</f>
        <v/>
      </c>
      <c r="B599" s="10" t="str">
        <f>IF($X599="","",INDEX(Assessment!$A:$A,$X599))</f>
        <v/>
      </c>
      <c r="C599" s="10" t="str">
        <f>IF($X599="","",INDEX(Assessment!$B:$B,$X599))</f>
        <v/>
      </c>
      <c r="D599" s="10" t="str">
        <f>IF($X599="","",INDEX(Assessment!$C:$C,$X599))</f>
        <v/>
      </c>
      <c r="E599" s="10" t="str">
        <f>IF($X599="","",INDEX(Assessment!$F:$F,$X599))</f>
        <v/>
      </c>
      <c r="F599" s="10" t="str">
        <f>IF($X599="","",INDEX(Assessment!$G:$G,$X599))</f>
        <v/>
      </c>
      <c r="G599" s="10" t="str">
        <f>IF($X599="","",INDEX(Assessment!$J:$J,$X599))</f>
        <v/>
      </c>
      <c r="H599" s="10" t="str">
        <f>IF($X599="","",INDEX(Assessment!$L:$L,$X599))</f>
        <v/>
      </c>
      <c r="I599" s="10" t="str">
        <f>IF($X599="","",INDEX(Assessment!$N:$N,$X599))</f>
        <v/>
      </c>
      <c r="X599" t="str">
        <f>IF(583&lt;=$B$6,SMALL($Y$2:$Y$593,583),IF(583&lt;=$B$6+$B$7,SMALL($Z$2:$Z$593,583-$B$6),""))</f>
        <v/>
      </c>
    </row>
    <row r="600" spans="1:26" x14ac:dyDescent="0.25">
      <c r="A600" s="10" t="str">
        <f>IF($X600="","",584)</f>
        <v/>
      </c>
      <c r="B600" s="10" t="str">
        <f>IF($X600="","",INDEX(Assessment!$A:$A,$X600))</f>
        <v/>
      </c>
      <c r="C600" s="10" t="str">
        <f>IF($X600="","",INDEX(Assessment!$B:$B,$X600))</f>
        <v/>
      </c>
      <c r="D600" s="10" t="str">
        <f>IF($X600="","",INDEX(Assessment!$C:$C,$X600))</f>
        <v/>
      </c>
      <c r="E600" s="10" t="str">
        <f>IF($X600="","",INDEX(Assessment!$F:$F,$X600))</f>
        <v/>
      </c>
      <c r="F600" s="10" t="str">
        <f>IF($X600="","",INDEX(Assessment!$G:$G,$X600))</f>
        <v/>
      </c>
      <c r="G600" s="10" t="str">
        <f>IF($X600="","",INDEX(Assessment!$J:$J,$X600))</f>
        <v/>
      </c>
      <c r="H600" s="10" t="str">
        <f>IF($X600="","",INDEX(Assessment!$L:$L,$X600))</f>
        <v/>
      </c>
      <c r="I600" s="10" t="str">
        <f>IF($X600="","",INDEX(Assessment!$N:$N,$X600))</f>
        <v/>
      </c>
      <c r="X600" t="str">
        <f>IF(584&lt;=$B$6,SMALL($Y$2:$Y$593,584),IF(584&lt;=$B$6+$B$7,SMALL($Z$2:$Z$593,584-$B$6),""))</f>
        <v/>
      </c>
    </row>
    <row r="601" spans="1:26" x14ac:dyDescent="0.25">
      <c r="A601" s="10" t="str">
        <f>IF($X601="","",585)</f>
        <v/>
      </c>
      <c r="B601" s="10" t="str">
        <f>IF($X601="","",INDEX(Assessment!$A:$A,$X601))</f>
        <v/>
      </c>
      <c r="C601" s="10" t="str">
        <f>IF($X601="","",INDEX(Assessment!$B:$B,$X601))</f>
        <v/>
      </c>
      <c r="D601" s="10" t="str">
        <f>IF($X601="","",INDEX(Assessment!$C:$C,$X601))</f>
        <v/>
      </c>
      <c r="E601" s="10" t="str">
        <f>IF($X601="","",INDEX(Assessment!$F:$F,$X601))</f>
        <v/>
      </c>
      <c r="F601" s="10" t="str">
        <f>IF($X601="","",INDEX(Assessment!$G:$G,$X601))</f>
        <v/>
      </c>
      <c r="G601" s="10" t="str">
        <f>IF($X601="","",INDEX(Assessment!$J:$J,$X601))</f>
        <v/>
      </c>
      <c r="H601" s="10" t="str">
        <f>IF($X601="","",INDEX(Assessment!$L:$L,$X601))</f>
        <v/>
      </c>
      <c r="I601" s="10" t="str">
        <f>IF($X601="","",INDEX(Assessment!$N:$N,$X601))</f>
        <v/>
      </c>
      <c r="X601" t="str">
        <f>IF(585&lt;=$B$6,SMALL($Y$2:$Y$593,585),IF(585&lt;=$B$6+$B$7,SMALL($Z$2:$Z$593,585-$B$6),""))</f>
        <v/>
      </c>
    </row>
    <row r="602" spans="1:26" x14ac:dyDescent="0.25">
      <c r="A602" s="10" t="str">
        <f>IF($X602="","",586)</f>
        <v/>
      </c>
      <c r="B602" s="10" t="str">
        <f>IF($X602="","",INDEX(Assessment!$A:$A,$X602))</f>
        <v/>
      </c>
      <c r="C602" s="10" t="str">
        <f>IF($X602="","",INDEX(Assessment!$B:$B,$X602))</f>
        <v/>
      </c>
      <c r="D602" s="10" t="str">
        <f>IF($X602="","",INDEX(Assessment!$C:$C,$X602))</f>
        <v/>
      </c>
      <c r="E602" s="10" t="str">
        <f>IF($X602="","",INDEX(Assessment!$F:$F,$X602))</f>
        <v/>
      </c>
      <c r="F602" s="10" t="str">
        <f>IF($X602="","",INDEX(Assessment!$G:$G,$X602))</f>
        <v/>
      </c>
      <c r="G602" s="10" t="str">
        <f>IF($X602="","",INDEX(Assessment!$J:$J,$X602))</f>
        <v/>
      </c>
      <c r="H602" s="10" t="str">
        <f>IF($X602="","",INDEX(Assessment!$L:$L,$X602))</f>
        <v/>
      </c>
      <c r="I602" s="10" t="str">
        <f>IF($X602="","",INDEX(Assessment!$N:$N,$X602))</f>
        <v/>
      </c>
      <c r="X602" t="str">
        <f>IF(586&lt;=$B$6,SMALL($Y$2:$Y$593,586),IF(586&lt;=$B$6+$B$7,SMALL($Z$2:$Z$593,586-$B$6),""))</f>
        <v/>
      </c>
    </row>
    <row r="603" spans="1:26" x14ac:dyDescent="0.25">
      <c r="A603" s="10" t="str">
        <f>IF($X603="","",587)</f>
        <v/>
      </c>
      <c r="B603" s="10" t="str">
        <f>IF($X603="","",INDEX(Assessment!$A:$A,$X603))</f>
        <v/>
      </c>
      <c r="C603" s="10" t="str">
        <f>IF($X603="","",INDEX(Assessment!$B:$B,$X603))</f>
        <v/>
      </c>
      <c r="D603" s="10" t="str">
        <f>IF($X603="","",INDEX(Assessment!$C:$C,$X603))</f>
        <v/>
      </c>
      <c r="E603" s="10" t="str">
        <f>IF($X603="","",INDEX(Assessment!$F:$F,$X603))</f>
        <v/>
      </c>
      <c r="F603" s="10" t="str">
        <f>IF($X603="","",INDEX(Assessment!$G:$G,$X603))</f>
        <v/>
      </c>
      <c r="G603" s="10" t="str">
        <f>IF($X603="","",INDEX(Assessment!$J:$J,$X603))</f>
        <v/>
      </c>
      <c r="H603" s="10" t="str">
        <f>IF($X603="","",INDEX(Assessment!$L:$L,$X603))</f>
        <v/>
      </c>
      <c r="I603" s="10" t="str">
        <f>IF($X603="","",INDEX(Assessment!$N:$N,$X603))</f>
        <v/>
      </c>
      <c r="X603" t="str">
        <f>IF(587&lt;=$B$6,SMALL($Y$2:$Y$593,587),IF(587&lt;=$B$6+$B$7,SMALL($Z$2:$Z$593,587-$B$6),""))</f>
        <v/>
      </c>
    </row>
    <row r="604" spans="1:26" x14ac:dyDescent="0.25">
      <c r="A604" s="10" t="str">
        <f>IF($X604="","",588)</f>
        <v/>
      </c>
      <c r="B604" s="10" t="str">
        <f>IF($X604="","",INDEX(Assessment!$A:$A,$X604))</f>
        <v/>
      </c>
      <c r="C604" s="10" t="str">
        <f>IF($X604="","",INDEX(Assessment!$B:$B,$X604))</f>
        <v/>
      </c>
      <c r="D604" s="10" t="str">
        <f>IF($X604="","",INDEX(Assessment!$C:$C,$X604))</f>
        <v/>
      </c>
      <c r="E604" s="10" t="str">
        <f>IF($X604="","",INDEX(Assessment!$F:$F,$X604))</f>
        <v/>
      </c>
      <c r="F604" s="10" t="str">
        <f>IF($X604="","",INDEX(Assessment!$G:$G,$X604))</f>
        <v/>
      </c>
      <c r="G604" s="10" t="str">
        <f>IF($X604="","",INDEX(Assessment!$J:$J,$X604))</f>
        <v/>
      </c>
      <c r="H604" s="10" t="str">
        <f>IF($X604="","",INDEX(Assessment!$L:$L,$X604))</f>
        <v/>
      </c>
      <c r="I604" s="10" t="str">
        <f>IF($X604="","",INDEX(Assessment!$N:$N,$X604))</f>
        <v/>
      </c>
      <c r="X604" t="str">
        <f>IF(588&lt;=$B$6,SMALL($Y$2:$Y$593,588),IF(588&lt;=$B$6+$B$7,SMALL($Z$2:$Z$593,588-$B$6),""))</f>
        <v/>
      </c>
    </row>
    <row r="605" spans="1:26" x14ac:dyDescent="0.25">
      <c r="A605" s="10" t="str">
        <f>IF($X605="","",589)</f>
        <v/>
      </c>
      <c r="B605" s="10" t="str">
        <f>IF($X605="","",INDEX(Assessment!$A:$A,$X605))</f>
        <v/>
      </c>
      <c r="C605" s="10" t="str">
        <f>IF($X605="","",INDEX(Assessment!$B:$B,$X605))</f>
        <v/>
      </c>
      <c r="D605" s="10" t="str">
        <f>IF($X605="","",INDEX(Assessment!$C:$C,$X605))</f>
        <v/>
      </c>
      <c r="E605" s="10" t="str">
        <f>IF($X605="","",INDEX(Assessment!$F:$F,$X605))</f>
        <v/>
      </c>
      <c r="F605" s="10" t="str">
        <f>IF($X605="","",INDEX(Assessment!$G:$G,$X605))</f>
        <v/>
      </c>
      <c r="G605" s="10" t="str">
        <f>IF($X605="","",INDEX(Assessment!$J:$J,$X605))</f>
        <v/>
      </c>
      <c r="H605" s="10" t="str">
        <f>IF($X605="","",INDEX(Assessment!$L:$L,$X605))</f>
        <v/>
      </c>
      <c r="I605" s="10" t="str">
        <f>IF($X605="","",INDEX(Assessment!$N:$N,$X605))</f>
        <v/>
      </c>
      <c r="X605" t="str">
        <f>IF(589&lt;=$B$6,SMALL($Y$2:$Y$593,589),IF(589&lt;=$B$6+$B$7,SMALL($Z$2:$Z$593,589-$B$6),""))</f>
        <v/>
      </c>
    </row>
    <row r="606" spans="1:26" x14ac:dyDescent="0.25">
      <c r="A606" s="10" t="str">
        <f>IF($X606="","",590)</f>
        <v/>
      </c>
      <c r="B606" s="10" t="str">
        <f>IF($X606="","",INDEX(Assessment!$A:$A,$X606))</f>
        <v/>
      </c>
      <c r="C606" s="10" t="str">
        <f>IF($X606="","",INDEX(Assessment!$B:$B,$X606))</f>
        <v/>
      </c>
      <c r="D606" s="10" t="str">
        <f>IF($X606="","",INDEX(Assessment!$C:$C,$X606))</f>
        <v/>
      </c>
      <c r="E606" s="10" t="str">
        <f>IF($X606="","",INDEX(Assessment!$F:$F,$X606))</f>
        <v/>
      </c>
      <c r="F606" s="10" t="str">
        <f>IF($X606="","",INDEX(Assessment!$G:$G,$X606))</f>
        <v/>
      </c>
      <c r="G606" s="10" t="str">
        <f>IF($X606="","",INDEX(Assessment!$J:$J,$X606))</f>
        <v/>
      </c>
      <c r="H606" s="10" t="str">
        <f>IF($X606="","",INDEX(Assessment!$L:$L,$X606))</f>
        <v/>
      </c>
      <c r="I606" s="10" t="str">
        <f>IF($X606="","",INDEX(Assessment!$N:$N,$X606))</f>
        <v/>
      </c>
      <c r="X606" t="str">
        <f>IF(590&lt;=$B$6,SMALL($Y$2:$Y$593,590),IF(590&lt;=$B$6+$B$7,SMALL($Z$2:$Z$593,590-$B$6),""))</f>
        <v/>
      </c>
    </row>
    <row r="607" spans="1:26" x14ac:dyDescent="0.25">
      <c r="A607" s="10" t="str">
        <f>IF($X607="","",591)</f>
        <v/>
      </c>
      <c r="B607" s="10" t="str">
        <f>IF($X607="","",INDEX(Assessment!$A:$A,$X607))</f>
        <v/>
      </c>
      <c r="C607" s="10" t="str">
        <f>IF($X607="","",INDEX(Assessment!$B:$B,$X607))</f>
        <v/>
      </c>
      <c r="D607" s="10" t="str">
        <f>IF($X607="","",INDEX(Assessment!$C:$C,$X607))</f>
        <v/>
      </c>
      <c r="E607" s="10" t="str">
        <f>IF($X607="","",INDEX(Assessment!$F:$F,$X607))</f>
        <v/>
      </c>
      <c r="F607" s="10" t="str">
        <f>IF($X607="","",INDEX(Assessment!$G:$G,$X607))</f>
        <v/>
      </c>
      <c r="G607" s="10" t="str">
        <f>IF($X607="","",INDEX(Assessment!$J:$J,$X607))</f>
        <v/>
      </c>
      <c r="H607" s="10" t="str">
        <f>IF($X607="","",INDEX(Assessment!$L:$L,$X607))</f>
        <v/>
      </c>
      <c r="I607" s="10" t="str">
        <f>IF($X607="","",INDEX(Assessment!$N:$N,$X607))</f>
        <v/>
      </c>
      <c r="X607" t="str">
        <f>IF(591&lt;=$B$6,SMALL($Y$2:$Y$593,591),IF(591&lt;=$B$6+$B$7,SMALL($Z$2:$Z$593,591-$B$6),""))</f>
        <v/>
      </c>
    </row>
    <row r="608" spans="1:26" x14ac:dyDescent="0.25">
      <c r="A608" s="10" t="str">
        <f>IF($X608="","",592)</f>
        <v/>
      </c>
      <c r="B608" s="10" t="str">
        <f>IF($X608="","",INDEX(Assessment!$A:$A,$X608))</f>
        <v/>
      </c>
      <c r="C608" s="10" t="str">
        <f>IF($X608="","",INDEX(Assessment!$B:$B,$X608))</f>
        <v/>
      </c>
      <c r="D608" s="10" t="str">
        <f>IF($X608="","",INDEX(Assessment!$C:$C,$X608))</f>
        <v/>
      </c>
      <c r="E608" s="10" t="str">
        <f>IF($X608="","",INDEX(Assessment!$F:$F,$X608))</f>
        <v/>
      </c>
      <c r="F608" s="10" t="str">
        <f>IF($X608="","",INDEX(Assessment!$G:$G,$X608))</f>
        <v/>
      </c>
      <c r="G608" s="10" t="str">
        <f>IF($X608="","",INDEX(Assessment!$J:$J,$X608))</f>
        <v/>
      </c>
      <c r="H608" s="10" t="str">
        <f>IF($X608="","",INDEX(Assessment!$L:$L,$X608))</f>
        <v/>
      </c>
      <c r="I608" s="10" t="str">
        <f>IF($X608="","",INDEX(Assessment!$N:$N,$X608))</f>
        <v/>
      </c>
      <c r="X608" t="str">
        <f>IF(592&lt;=$B$6,SMALL($Y$2:$Y$593,592),IF(592&lt;=$B$6+$B$7,SMALL($Z$2:$Z$593,592-$B$6),""))</f>
        <v/>
      </c>
    </row>
  </sheetData>
  <conditionalFormatting sqref="A6:A10">
    <cfRule type="cellIs" dxfId="9" priority="1" operator="equal">
      <formula>"Critical"</formula>
    </cfRule>
    <cfRule type="cellIs" dxfId="8" priority="2" operator="equal">
      <formula>"High"</formula>
    </cfRule>
    <cfRule type="cellIs" dxfId="7" priority="3" operator="equal">
      <formula>"Medium"</formula>
    </cfRule>
    <cfRule type="cellIs" dxfId="6" priority="4" operator="equal">
      <formula>"Low"</formula>
    </cfRule>
    <cfRule type="cellIs" dxfId="5" priority="5" operator="equal">
      <formula>"Nil"</formula>
    </cfRule>
  </conditionalFormatting>
  <conditionalFormatting sqref="F17:F608">
    <cfRule type="cellIs" dxfId="4" priority="6" operator="equal">
      <formula>"Critical"</formula>
    </cfRule>
    <cfRule type="cellIs" dxfId="3" priority="7" operator="equal">
      <formula>"High"</formula>
    </cfRule>
    <cfRule type="cellIs" dxfId="2" priority="8" operator="equal">
      <formula>"Medium"</formula>
    </cfRule>
    <cfRule type="cellIs" dxfId="1" priority="9" operator="equal">
      <formula>"Low"</formula>
    </cfRule>
    <cfRule type="cellIs" dxfId="0" priority="10" operator="equal">
      <formula>"Nil"</formula>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57"/>
  <sheetViews>
    <sheetView workbookViewId="0"/>
  </sheetViews>
  <sheetFormatPr defaultRowHeight="15" x14ac:dyDescent="0.25"/>
  <cols>
    <col min="1" max="1" width="30" customWidth="1"/>
    <col min="2" max="2" width="120" customWidth="1"/>
  </cols>
  <sheetData>
    <row r="1" spans="1:2" ht="18" x14ac:dyDescent="0.25">
      <c r="A1" s="4" t="s">
        <v>2405</v>
      </c>
    </row>
    <row r="2" spans="1:2" x14ac:dyDescent="0.25">
      <c r="A2" s="3" t="s">
        <v>2406</v>
      </c>
      <c r="B2" s="2" t="s">
        <v>2407</v>
      </c>
    </row>
    <row r="3" spans="1:2" x14ac:dyDescent="0.25">
      <c r="A3" s="3" t="s">
        <v>2408</v>
      </c>
      <c r="B3" s="2" t="s">
        <v>2409</v>
      </c>
    </row>
    <row r="4" spans="1:2" ht="25.5" x14ac:dyDescent="0.25">
      <c r="A4" s="3" t="s">
        <v>2410</v>
      </c>
      <c r="B4" s="2" t="s">
        <v>2411</v>
      </c>
    </row>
    <row r="6" spans="1:2" x14ac:dyDescent="0.25">
      <c r="A6" s="11" t="s">
        <v>2412</v>
      </c>
      <c r="B6" s="12"/>
    </row>
    <row r="7" spans="1:2" x14ac:dyDescent="0.25">
      <c r="A7" s="3" t="s">
        <v>2413</v>
      </c>
      <c r="B7" s="2" t="s">
        <v>2414</v>
      </c>
    </row>
    <row r="8" spans="1:2" x14ac:dyDescent="0.25">
      <c r="A8" s="3" t="s">
        <v>2415</v>
      </c>
      <c r="B8" s="2" t="s">
        <v>2416</v>
      </c>
    </row>
    <row r="9" spans="1:2" ht="25.5" x14ac:dyDescent="0.25">
      <c r="A9" s="3" t="s">
        <v>2417</v>
      </c>
      <c r="B9" s="2" t="s">
        <v>2418</v>
      </c>
    </row>
    <row r="10" spans="1:2" ht="38.25" x14ac:dyDescent="0.25">
      <c r="A10" s="3" t="s">
        <v>2419</v>
      </c>
      <c r="B10" s="2" t="s">
        <v>2420</v>
      </c>
    </row>
    <row r="12" spans="1:2" x14ac:dyDescent="0.25">
      <c r="A12" s="11" t="s">
        <v>2421</v>
      </c>
      <c r="B12" s="12"/>
    </row>
    <row r="13" spans="1:2" ht="25.5" x14ac:dyDescent="0.25">
      <c r="A13" s="3" t="s">
        <v>2422</v>
      </c>
      <c r="B13" s="2" t="s">
        <v>2423</v>
      </c>
    </row>
    <row r="14" spans="1:2" ht="25.5" x14ac:dyDescent="0.25">
      <c r="A14" s="3" t="s">
        <v>2424</v>
      </c>
      <c r="B14" s="2" t="s">
        <v>2425</v>
      </c>
    </row>
    <row r="15" spans="1:2" ht="38.25" x14ac:dyDescent="0.25">
      <c r="A15" s="3" t="s">
        <v>2426</v>
      </c>
      <c r="B15" s="2" t="s">
        <v>2427</v>
      </c>
    </row>
    <row r="16" spans="1:2" x14ac:dyDescent="0.25">
      <c r="A16" s="3" t="s">
        <v>2428</v>
      </c>
      <c r="B16" s="2" t="s">
        <v>2429</v>
      </c>
    </row>
    <row r="17" spans="1:2" x14ac:dyDescent="0.25">
      <c r="A17" s="3" t="s">
        <v>2430</v>
      </c>
      <c r="B17" s="2" t="s">
        <v>2431</v>
      </c>
    </row>
    <row r="18" spans="1:2" ht="38.25" x14ac:dyDescent="0.25">
      <c r="A18" s="3" t="s">
        <v>2432</v>
      </c>
      <c r="B18" s="2" t="s">
        <v>2433</v>
      </c>
    </row>
    <row r="19" spans="1:2" x14ac:dyDescent="0.25">
      <c r="A19" s="3" t="s">
        <v>2434</v>
      </c>
      <c r="B19" s="2" t="s">
        <v>2435</v>
      </c>
    </row>
    <row r="20" spans="1:2" x14ac:dyDescent="0.25">
      <c r="A20" s="3" t="s">
        <v>2436</v>
      </c>
      <c r="B20" s="2" t="s">
        <v>2437</v>
      </c>
    </row>
    <row r="22" spans="1:2" x14ac:dyDescent="0.25">
      <c r="A22" s="11" t="s">
        <v>2438</v>
      </c>
      <c r="B22" s="12"/>
    </row>
    <row r="23" spans="1:2" x14ac:dyDescent="0.25">
      <c r="A23" s="13" t="s">
        <v>67</v>
      </c>
      <c r="B23" s="2" t="s">
        <v>2439</v>
      </c>
    </row>
    <row r="24" spans="1:2" x14ac:dyDescent="0.25">
      <c r="A24" s="14" t="s">
        <v>93</v>
      </c>
      <c r="B24" s="2" t="s">
        <v>2440</v>
      </c>
    </row>
    <row r="25" spans="1:2" x14ac:dyDescent="0.25">
      <c r="A25" s="15" t="s">
        <v>21</v>
      </c>
      <c r="B25" s="2" t="s">
        <v>2441</v>
      </c>
    </row>
    <row r="26" spans="1:2" x14ac:dyDescent="0.25">
      <c r="A26" s="16" t="s">
        <v>34</v>
      </c>
      <c r="B26" s="2" t="s">
        <v>2442</v>
      </c>
    </row>
    <row r="27" spans="1:2" x14ac:dyDescent="0.25">
      <c r="A27" s="17" t="s">
        <v>45</v>
      </c>
      <c r="B27" s="2" t="s">
        <v>2443</v>
      </c>
    </row>
    <row r="28" spans="1:2" x14ac:dyDescent="0.25">
      <c r="A28" s="3" t="s">
        <v>13</v>
      </c>
      <c r="B28" s="2" t="s">
        <v>2444</v>
      </c>
    </row>
    <row r="30" spans="1:2" x14ac:dyDescent="0.25">
      <c r="A30" s="11" t="s">
        <v>2445</v>
      </c>
      <c r="B30" s="12"/>
    </row>
    <row r="31" spans="1:2" x14ac:dyDescent="0.25">
      <c r="A31" s="3" t="s">
        <v>2446</v>
      </c>
      <c r="B31" s="2" t="s">
        <v>2447</v>
      </c>
    </row>
    <row r="32" spans="1:2" x14ac:dyDescent="0.25">
      <c r="A32" s="3" t="s">
        <v>2448</v>
      </c>
      <c r="B32" s="2" t="s">
        <v>2449</v>
      </c>
    </row>
    <row r="33" spans="1:2" x14ac:dyDescent="0.25">
      <c r="A33" s="3" t="s">
        <v>2450</v>
      </c>
      <c r="B33" s="2" t="s">
        <v>2451</v>
      </c>
    </row>
    <row r="34" spans="1:2" ht="25.5" x14ac:dyDescent="0.25">
      <c r="A34" s="3" t="s">
        <v>2452</v>
      </c>
      <c r="B34" s="2" t="s">
        <v>2453</v>
      </c>
    </row>
    <row r="35" spans="1:2" ht="25.5" x14ac:dyDescent="0.25">
      <c r="A35" s="18" t="s">
        <v>2454</v>
      </c>
      <c r="B35" s="19" t="s">
        <v>2455</v>
      </c>
    </row>
    <row r="36" spans="1:2" x14ac:dyDescent="0.25">
      <c r="A36" s="3" t="s">
        <v>2456</v>
      </c>
      <c r="B36" s="2" t="s">
        <v>2457</v>
      </c>
    </row>
    <row r="38" spans="1:2" x14ac:dyDescent="0.25">
      <c r="A38" s="11" t="s">
        <v>2458</v>
      </c>
      <c r="B38" s="12"/>
    </row>
    <row r="39" spans="1:2" ht="38.25" x14ac:dyDescent="0.25">
      <c r="A39" s="3" t="s">
        <v>2459</v>
      </c>
      <c r="B39" s="2" t="s">
        <v>2460</v>
      </c>
    </row>
    <row r="40" spans="1:2" ht="51" x14ac:dyDescent="0.25">
      <c r="A40" s="3" t="s">
        <v>2461</v>
      </c>
      <c r="B40" s="2" t="s">
        <v>2462</v>
      </c>
    </row>
    <row r="41" spans="1:2" ht="38.25" x14ac:dyDescent="0.25">
      <c r="A41" s="3" t="s">
        <v>2463</v>
      </c>
      <c r="B41" s="2" t="s">
        <v>2464</v>
      </c>
    </row>
    <row r="42" spans="1:2" ht="38.25" x14ac:dyDescent="0.25">
      <c r="A42" s="3" t="s">
        <v>2465</v>
      </c>
      <c r="B42" s="2" t="s">
        <v>2466</v>
      </c>
    </row>
    <row r="43" spans="1:2" ht="38.25" x14ac:dyDescent="0.25">
      <c r="A43" s="3" t="s">
        <v>2467</v>
      </c>
      <c r="B43" s="2" t="s">
        <v>2468</v>
      </c>
    </row>
    <row r="44" spans="1:2" x14ac:dyDescent="0.25">
      <c r="A44" s="3" t="s">
        <v>2469</v>
      </c>
      <c r="B44" s="2" t="str">
        <f>"Total "&amp;(COUNTA(Assessment!$A:$A)-1)&amp;" rows: TR-03183-1 = "&amp;COUNTIF(Assessment!$B:$B,"BSI TR-03183-1 v1.0.0")&amp;", TR-03183-2 = "&amp;COUNTIF(Assessment!$B:$B,"BSI TR-03183-2 v2.1.0")&amp;", TR-03183-3 = "&amp;COUNTIF(Assessment!$B:$B,"BSI TR-03183-3 v1.0.0")</f>
        <v>Total 592 rows: TR-03183-1 = 282, TR-03183-2 = 128, TR-03183-3 = 182</v>
      </c>
    </row>
    <row r="46" spans="1:2" x14ac:dyDescent="0.25">
      <c r="A46" s="11" t="s">
        <v>2470</v>
      </c>
      <c r="B46" s="12"/>
    </row>
    <row r="47" spans="1:2" ht="25.5" x14ac:dyDescent="0.25">
      <c r="A47" s="3" t="s">
        <v>2471</v>
      </c>
      <c r="B47" s="2" t="s">
        <v>2472</v>
      </c>
    </row>
    <row r="48" spans="1:2" ht="25.5" x14ac:dyDescent="0.25">
      <c r="A48" s="3" t="s">
        <v>2473</v>
      </c>
      <c r="B48" s="2" t="s">
        <v>2474</v>
      </c>
    </row>
    <row r="50" spans="1:2" x14ac:dyDescent="0.25">
      <c r="A50" s="11" t="s">
        <v>2475</v>
      </c>
      <c r="B50" s="12"/>
    </row>
    <row r="51" spans="1:2" ht="25.5" x14ac:dyDescent="0.25">
      <c r="A51" s="3" t="s">
        <v>2476</v>
      </c>
      <c r="B51" s="2" t="s">
        <v>2477</v>
      </c>
    </row>
    <row r="52" spans="1:2" x14ac:dyDescent="0.25">
      <c r="A52" s="3" t="s">
        <v>2478</v>
      </c>
      <c r="B52" s="2" t="s">
        <v>2479</v>
      </c>
    </row>
    <row r="53" spans="1:2" ht="25.5" x14ac:dyDescent="0.25">
      <c r="A53" s="3" t="s">
        <v>2480</v>
      </c>
      <c r="B53" s="2" t="s">
        <v>2481</v>
      </c>
    </row>
    <row r="54" spans="1:2" x14ac:dyDescent="0.25">
      <c r="A54" s="3" t="s">
        <v>2482</v>
      </c>
      <c r="B54" s="2" t="s">
        <v>2483</v>
      </c>
    </row>
    <row r="55" spans="1:2" x14ac:dyDescent="0.25">
      <c r="A55" s="3" t="s">
        <v>2484</v>
      </c>
      <c r="B55" s="2" t="s">
        <v>2485</v>
      </c>
    </row>
    <row r="56" spans="1:2" ht="25.5" x14ac:dyDescent="0.25">
      <c r="A56" s="3" t="s">
        <v>2486</v>
      </c>
      <c r="B56" s="2" t="s">
        <v>2487</v>
      </c>
    </row>
    <row r="57" spans="1:2" x14ac:dyDescent="0.25">
      <c r="A57" s="3" t="s">
        <v>2488</v>
      </c>
      <c r="B57" s="2" t="s">
        <v>2489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Assessment</vt:lpstr>
      <vt:lpstr>Summary</vt:lpstr>
      <vt:lpstr>Method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MAHMOUD SAHI</cp:lastModifiedBy>
  <dcterms:created xsi:type="dcterms:W3CDTF">2026-10-18T14:27:02Z</dcterms:created>
  <dcterms:modified xsi:type="dcterms:W3CDTF">2026-10-18T14:27:16Z</dcterms:modified>
</cp:coreProperties>
</file>