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487BE75A-961E-4D3F-AA37-A87993A4A86A}"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X439" i="2"/>
  <c r="I439" i="2" s="1"/>
  <c r="Z438" i="2"/>
  <c r="Y438" i="2"/>
  <c r="Z437" i="2"/>
  <c r="Y437" i="2"/>
  <c r="Z436" i="2"/>
  <c r="Y436" i="2"/>
  <c r="Z435" i="2"/>
  <c r="Y435" i="2"/>
  <c r="Z434" i="2"/>
  <c r="Y434" i="2"/>
  <c r="Z433" i="2"/>
  <c r="Y433" i="2"/>
  <c r="Z432" i="2"/>
  <c r="Y432" i="2"/>
  <c r="Z431" i="2"/>
  <c r="Y431" i="2"/>
  <c r="Z430" i="2"/>
  <c r="Y430" i="2"/>
  <c r="Z429" i="2"/>
  <c r="Y429" i="2"/>
  <c r="Z428" i="2"/>
  <c r="Y428" i="2"/>
  <c r="X428" i="2"/>
  <c r="F428" i="2" s="1"/>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X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Z357" i="2"/>
  <c r="Y357" i="2"/>
  <c r="Z356" i="2"/>
  <c r="Y356" i="2"/>
  <c r="Z355" i="2"/>
  <c r="Y355" i="2"/>
  <c r="Z354" i="2"/>
  <c r="Y354" i="2"/>
  <c r="Z353" i="2"/>
  <c r="Y353" i="2"/>
  <c r="Z352" i="2"/>
  <c r="Y352" i="2"/>
  <c r="Z351" i="2"/>
  <c r="Y351" i="2"/>
  <c r="Z350" i="2"/>
  <c r="Y350" i="2"/>
  <c r="X350" i="2"/>
  <c r="C350" i="2" s="1"/>
  <c r="I350" i="2"/>
  <c r="D350" i="2"/>
  <c r="Z349" i="2"/>
  <c r="Y349" i="2"/>
  <c r="Z348" i="2"/>
  <c r="Y348" i="2"/>
  <c r="X348" i="2"/>
  <c r="D348" i="2" s="1"/>
  <c r="F348" i="2"/>
  <c r="Z347" i="2"/>
  <c r="Y347" i="2"/>
  <c r="Z346" i="2"/>
  <c r="Y346" i="2"/>
  <c r="Z345" i="2"/>
  <c r="Y345" i="2"/>
  <c r="Z344" i="2"/>
  <c r="Y344" i="2"/>
  <c r="Z343" i="2"/>
  <c r="Y343" i="2"/>
  <c r="Z342" i="2"/>
  <c r="Y342" i="2"/>
  <c r="Z341" i="2"/>
  <c r="Y341" i="2"/>
  <c r="Z340" i="2"/>
  <c r="Y340" i="2"/>
  <c r="Z339" i="2"/>
  <c r="Y339" i="2"/>
  <c r="Z338" i="2"/>
  <c r="Y338" i="2"/>
  <c r="Z337" i="2"/>
  <c r="Y337" i="2"/>
  <c r="Z336" i="2"/>
  <c r="Y336" i="2"/>
  <c r="X336" i="2"/>
  <c r="I336" i="2" s="1"/>
  <c r="F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Z271" i="2"/>
  <c r="Y271" i="2"/>
  <c r="Z270" i="2"/>
  <c r="Y270" i="2"/>
  <c r="Z269" i="2"/>
  <c r="Y269" i="2"/>
  <c r="Z268" i="2"/>
  <c r="Y268" i="2"/>
  <c r="Z267" i="2"/>
  <c r="Y267" i="2"/>
  <c r="Z266" i="2"/>
  <c r="Y266" i="2"/>
  <c r="X266" i="2"/>
  <c r="F266" i="2" s="1"/>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Z222" i="2"/>
  <c r="Y222" i="2"/>
  <c r="Z221" i="2"/>
  <c r="Y221" i="2"/>
  <c r="Z220" i="2"/>
  <c r="Y220" i="2"/>
  <c r="X220" i="2"/>
  <c r="G220" i="2" s="1"/>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X150" i="2"/>
  <c r="G150" i="2" s="1"/>
  <c r="I150" i="2"/>
  <c r="Z149" i="2"/>
  <c r="Y149" i="2"/>
  <c r="Z148" i="2"/>
  <c r="Y148" i="2"/>
  <c r="Z147" i="2"/>
  <c r="Y147" i="2"/>
  <c r="Z146" i="2"/>
  <c r="Y146" i="2"/>
  <c r="Z145" i="2"/>
  <c r="Y145" i="2"/>
  <c r="Z144" i="2"/>
  <c r="Y144" i="2"/>
  <c r="Z143" i="2"/>
  <c r="Y143" i="2"/>
  <c r="Z142" i="2"/>
  <c r="Y142" i="2"/>
  <c r="Z141" i="2"/>
  <c r="Y141" i="2"/>
  <c r="Z140" i="2"/>
  <c r="Y140" i="2"/>
  <c r="Z139" i="2"/>
  <c r="Y139" i="2"/>
  <c r="X139" i="2"/>
  <c r="G139" i="2" s="1"/>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Z116" i="2"/>
  <c r="Y116" i="2"/>
  <c r="Z115" i="2"/>
  <c r="Y115" i="2"/>
  <c r="Z114" i="2"/>
  <c r="Y114" i="2"/>
  <c r="Z113" i="2"/>
  <c r="Y113" i="2"/>
  <c r="Z112" i="2"/>
  <c r="Y112" i="2"/>
  <c r="Z111" i="2"/>
  <c r="Y111" i="2"/>
  <c r="Z110" i="2"/>
  <c r="Y110" i="2"/>
  <c r="X110" i="2"/>
  <c r="Z109" i="2"/>
  <c r="Y109" i="2"/>
  <c r="Z108" i="2"/>
  <c r="Y108" i="2"/>
  <c r="Z107" i="2"/>
  <c r="Y107" i="2"/>
  <c r="Z106" i="2"/>
  <c r="Y106" i="2"/>
  <c r="Z105" i="2"/>
  <c r="Y105" i="2"/>
  <c r="Z104" i="2"/>
  <c r="Y104" i="2"/>
  <c r="Z103" i="2"/>
  <c r="Y103" i="2"/>
  <c r="Z102" i="2"/>
  <c r="Y102" i="2"/>
  <c r="Z101" i="2"/>
  <c r="Y101" i="2"/>
  <c r="Z100" i="2"/>
  <c r="Y100" i="2"/>
  <c r="Z99" i="2"/>
  <c r="Y99" i="2"/>
  <c r="Z98" i="2"/>
  <c r="Y98" i="2"/>
  <c r="Z97" i="2"/>
  <c r="Y97" i="2"/>
  <c r="Z96" i="2"/>
  <c r="Y96" i="2"/>
  <c r="Z95" i="2"/>
  <c r="Y95" i="2"/>
  <c r="Z94" i="2"/>
  <c r="Y94" i="2"/>
  <c r="Z93" i="2"/>
  <c r="Y93" i="2"/>
  <c r="X93" i="2"/>
  <c r="F93" i="2" s="1"/>
  <c r="I93" i="2"/>
  <c r="C93" i="2"/>
  <c r="Z92" i="2"/>
  <c r="Y92" i="2"/>
  <c r="Z91" i="2"/>
  <c r="Y91" i="2"/>
  <c r="Z90" i="2"/>
  <c r="Y90" i="2"/>
  <c r="Z89" i="2"/>
  <c r="Y89" i="2"/>
  <c r="Z88" i="2"/>
  <c r="Y88" i="2"/>
  <c r="Z87" i="2"/>
  <c r="Y87" i="2"/>
  <c r="Z86" i="2"/>
  <c r="Y86" i="2"/>
  <c r="Z85" i="2"/>
  <c r="Y85" i="2"/>
  <c r="Z84" i="2"/>
  <c r="Y84" i="2"/>
  <c r="Z83" i="2"/>
  <c r="Y83" i="2"/>
  <c r="Z82" i="2"/>
  <c r="Y82" i="2"/>
  <c r="Z81" i="2"/>
  <c r="Y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Z59" i="2"/>
  <c r="Y59" i="2"/>
  <c r="Z58" i="2"/>
  <c r="Y58" i="2"/>
  <c r="Z57" i="2"/>
  <c r="Y57" i="2"/>
  <c r="Z56" i="2"/>
  <c r="Y56" i="2"/>
  <c r="Z55" i="2"/>
  <c r="Y55" i="2"/>
  <c r="Z54" i="2"/>
  <c r="Y54" i="2"/>
  <c r="Z53" i="2"/>
  <c r="Y53" i="2"/>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Z10" i="2"/>
  <c r="Y10" i="2"/>
  <c r="E10" i="2"/>
  <c r="D10" i="2"/>
  <c r="C10" i="2"/>
  <c r="B10" i="2"/>
  <c r="Z9" i="2"/>
  <c r="Y9" i="2"/>
  <c r="E9" i="2"/>
  <c r="D9" i="2"/>
  <c r="C9" i="2"/>
  <c r="B9" i="2"/>
  <c r="Z8" i="2"/>
  <c r="Y8" i="2"/>
  <c r="E8" i="2"/>
  <c r="D8" i="2"/>
  <c r="C8" i="2"/>
  <c r="B8" i="2"/>
  <c r="Z7" i="2"/>
  <c r="Y7" i="2"/>
  <c r="E7" i="2"/>
  <c r="D7" i="2"/>
  <c r="C7" i="2"/>
  <c r="B7" i="2"/>
  <c r="Z6" i="2"/>
  <c r="Y6" i="2"/>
  <c r="E6" i="2"/>
  <c r="D6" i="2"/>
  <c r="C6" i="2"/>
  <c r="B6" i="2"/>
  <c r="X271" i="2" s="1"/>
  <c r="Z5" i="2"/>
  <c r="Y5" i="2"/>
  <c r="Z4" i="2"/>
  <c r="Y4" i="2"/>
  <c r="Z3" i="2"/>
  <c r="Y3" i="2"/>
  <c r="Z2" i="2"/>
  <c r="Y2" i="2"/>
  <c r="D93" i="2" l="1"/>
  <c r="H220" i="2"/>
  <c r="X394" i="2"/>
  <c r="H139" i="2"/>
  <c r="X195" i="2"/>
  <c r="X294" i="2"/>
  <c r="I294" i="2" s="1"/>
  <c r="E350" i="2"/>
  <c r="D428" i="2"/>
  <c r="X457" i="2"/>
  <c r="X268" i="2"/>
  <c r="X38" i="2"/>
  <c r="G38" i="2" s="1"/>
  <c r="X27" i="2"/>
  <c r="E27" i="2" s="1"/>
  <c r="X53" i="2"/>
  <c r="E53" i="2" s="1"/>
  <c r="X295" i="2"/>
  <c r="X241" i="2"/>
  <c r="X17" i="2"/>
  <c r="I17" i="2" s="1"/>
  <c r="X171" i="2"/>
  <c r="D11" i="2"/>
  <c r="D13" i="2" s="1"/>
  <c r="X102" i="2"/>
  <c r="A102" i="2" s="1"/>
  <c r="X115" i="2"/>
  <c r="B115" i="2" s="1"/>
  <c r="X199" i="2"/>
  <c r="X313" i="2"/>
  <c r="H313" i="2" s="1"/>
  <c r="X258" i="2"/>
  <c r="X18" i="2"/>
  <c r="G18" i="2" s="1"/>
  <c r="X131" i="2"/>
  <c r="X60" i="2"/>
  <c r="E60" i="2" s="1"/>
  <c r="X287" i="2"/>
  <c r="F287" i="2" s="1"/>
  <c r="X314" i="2"/>
  <c r="B314" i="2" s="1"/>
  <c r="X92" i="2"/>
  <c r="G92" i="2" s="1"/>
  <c r="X358" i="2"/>
  <c r="I358" i="2" s="1"/>
  <c r="X48" i="2"/>
  <c r="H48" i="2" s="1"/>
  <c r="X31" i="2"/>
  <c r="G31" i="2" s="1"/>
  <c r="X190" i="2"/>
  <c r="X75" i="2"/>
  <c r="A93" i="2"/>
  <c r="X162" i="2"/>
  <c r="X247" i="2"/>
  <c r="I247" i="2" s="1"/>
  <c r="F27" i="2"/>
  <c r="D27" i="2"/>
  <c r="C27" i="2"/>
  <c r="G27" i="2"/>
  <c r="B27" i="2"/>
  <c r="H27" i="2"/>
  <c r="I27" i="2"/>
  <c r="A27" i="2"/>
  <c r="I271" i="2"/>
  <c r="F271" i="2"/>
  <c r="E271" i="2"/>
  <c r="A271" i="2"/>
  <c r="H271" i="2"/>
  <c r="D271" i="2"/>
  <c r="B271" i="2"/>
  <c r="C271" i="2"/>
  <c r="G271" i="2"/>
  <c r="I75" i="2"/>
  <c r="H75" i="2"/>
  <c r="D75" i="2"/>
  <c r="C75" i="2"/>
  <c r="B75" i="2"/>
  <c r="A75" i="2"/>
  <c r="F75" i="2"/>
  <c r="G75" i="2"/>
  <c r="E75" i="2"/>
  <c r="I38" i="2"/>
  <c r="H38" i="2"/>
  <c r="E38" i="2"/>
  <c r="D38" i="2"/>
  <c r="C38" i="2"/>
  <c r="C17" i="2"/>
  <c r="E17" i="2"/>
  <c r="B195" i="2"/>
  <c r="A195" i="2"/>
  <c r="I195" i="2"/>
  <c r="D195" i="2"/>
  <c r="C115" i="2"/>
  <c r="I266" i="2"/>
  <c r="H266" i="2"/>
  <c r="G266" i="2"/>
  <c r="E266" i="2"/>
  <c r="D266" i="2"/>
  <c r="C266" i="2"/>
  <c r="B266" i="2"/>
  <c r="A266" i="2"/>
  <c r="C314" i="2"/>
  <c r="G348" i="2"/>
  <c r="E348" i="2"/>
  <c r="H348" i="2"/>
  <c r="C348" i="2"/>
  <c r="B348" i="2"/>
  <c r="A348" i="2"/>
  <c r="I348" i="2"/>
  <c r="C428" i="2"/>
  <c r="B428" i="2"/>
  <c r="A428" i="2"/>
  <c r="I428" i="2"/>
  <c r="E428" i="2"/>
  <c r="H428" i="2"/>
  <c r="G428" i="2"/>
  <c r="E295" i="2"/>
  <c r="H295" i="2"/>
  <c r="D295" i="2"/>
  <c r="C295" i="2"/>
  <c r="G190" i="2"/>
  <c r="F190" i="2"/>
  <c r="E190" i="2"/>
  <c r="D190" i="2"/>
  <c r="C190" i="2"/>
  <c r="B190" i="2"/>
  <c r="A190" i="2"/>
  <c r="X87" i="2"/>
  <c r="X216" i="2"/>
  <c r="X341" i="2"/>
  <c r="X28" i="2"/>
  <c r="X175" i="2"/>
  <c r="X184" i="2"/>
  <c r="X343" i="2"/>
  <c r="C439" i="2"/>
  <c r="B439" i="2"/>
  <c r="A439" i="2"/>
  <c r="G439" i="2"/>
  <c r="F439" i="2"/>
  <c r="E439" i="2"/>
  <c r="D439" i="2"/>
  <c r="H439" i="2"/>
  <c r="I313" i="2"/>
  <c r="D313" i="2"/>
  <c r="B313" i="2"/>
  <c r="G313" i="2"/>
  <c r="C336" i="2"/>
  <c r="B336" i="2"/>
  <c r="A336" i="2"/>
  <c r="E336" i="2"/>
  <c r="D336" i="2"/>
  <c r="H336" i="2"/>
  <c r="G336" i="2"/>
  <c r="D394" i="2"/>
  <c r="B394" i="2"/>
  <c r="F394" i="2"/>
  <c r="E394" i="2"/>
  <c r="C394" i="2"/>
  <c r="A394" i="2"/>
  <c r="I394" i="2"/>
  <c r="H394" i="2"/>
  <c r="G394" i="2"/>
  <c r="I110" i="2"/>
  <c r="G110" i="2"/>
  <c r="D110" i="2"/>
  <c r="C110" i="2"/>
  <c r="B110" i="2"/>
  <c r="A110" i="2"/>
  <c r="H110" i="2"/>
  <c r="F110" i="2"/>
  <c r="E110" i="2"/>
  <c r="B457" i="2"/>
  <c r="H457" i="2"/>
  <c r="G457" i="2"/>
  <c r="F457" i="2"/>
  <c r="I457" i="2"/>
  <c r="C457" i="2"/>
  <c r="D457" i="2"/>
  <c r="X608" i="2"/>
  <c r="X587" i="2"/>
  <c r="X579" i="2"/>
  <c r="X571" i="2"/>
  <c r="X563" i="2"/>
  <c r="X555" i="2"/>
  <c r="X547" i="2"/>
  <c r="X539" i="2"/>
  <c r="X531" i="2"/>
  <c r="X523" i="2"/>
  <c r="X515" i="2"/>
  <c r="X507" i="2"/>
  <c r="X499" i="2"/>
  <c r="X491" i="2"/>
  <c r="X483" i="2"/>
  <c r="X475" i="2"/>
  <c r="X467" i="2"/>
  <c r="X459" i="2"/>
  <c r="X451" i="2"/>
  <c r="X443" i="2"/>
  <c r="X435" i="2"/>
  <c r="X427" i="2"/>
  <c r="X419" i="2"/>
  <c r="X411" i="2"/>
  <c r="X403" i="2"/>
  <c r="X395" i="2"/>
  <c r="X387" i="2"/>
  <c r="X595" i="2"/>
  <c r="X598" i="2"/>
  <c r="X592" i="2"/>
  <c r="X584" i="2"/>
  <c r="X576" i="2"/>
  <c r="X568" i="2"/>
  <c r="X560" i="2"/>
  <c r="X552" i="2"/>
  <c r="X544" i="2"/>
  <c r="X536" i="2"/>
  <c r="X528" i="2"/>
  <c r="X520" i="2"/>
  <c r="X512" i="2"/>
  <c r="X604" i="2"/>
  <c r="X432" i="2"/>
  <c r="X421" i="2"/>
  <c r="X410" i="2"/>
  <c r="X399" i="2"/>
  <c r="X388" i="2"/>
  <c r="X603" i="2"/>
  <c r="X490" i="2"/>
  <c r="X476" i="2"/>
  <c r="X465" i="2"/>
  <c r="X454" i="2"/>
  <c r="X599" i="2"/>
  <c r="X513" i="2"/>
  <c r="X522" i="2"/>
  <c r="X516" i="2"/>
  <c r="X510" i="2"/>
  <c r="X504" i="2"/>
  <c r="X487" i="2"/>
  <c r="X607" i="2"/>
  <c r="X585" i="2"/>
  <c r="X582" i="2"/>
  <c r="X569" i="2"/>
  <c r="X566" i="2"/>
  <c r="X553" i="2"/>
  <c r="X550" i="2"/>
  <c r="X525" i="2"/>
  <c r="X519" i="2"/>
  <c r="X473" i="2"/>
  <c r="X501" i="2"/>
  <c r="X484" i="2"/>
  <c r="X511" i="2"/>
  <c r="X456" i="2"/>
  <c r="X318" i="2"/>
  <c r="X307" i="2"/>
  <c r="X296" i="2"/>
  <c r="X288" i="2"/>
  <c r="X280" i="2"/>
  <c r="X601" i="2"/>
  <c r="X518" i="2"/>
  <c r="X462" i="2"/>
  <c r="X453" i="2"/>
  <c r="X450" i="2"/>
  <c r="X447" i="2"/>
  <c r="X444" i="2"/>
  <c r="X400" i="2"/>
  <c r="X374" i="2"/>
  <c r="X360" i="2"/>
  <c r="X565" i="2"/>
  <c r="X558" i="2"/>
  <c r="X554" i="2"/>
  <c r="X514" i="2"/>
  <c r="X494" i="2"/>
  <c r="X468" i="2"/>
  <c r="X606" i="2"/>
  <c r="X543" i="2"/>
  <c r="X532" i="2"/>
  <c r="X521" i="2"/>
  <c r="X596" i="2"/>
  <c r="X580" i="2"/>
  <c r="X474" i="2"/>
  <c r="X471" i="2"/>
  <c r="X575" i="2"/>
  <c r="X549" i="2"/>
  <c r="X503" i="2"/>
  <c r="X495" i="2"/>
  <c r="X440" i="2"/>
  <c r="X415" i="2"/>
  <c r="X328" i="2"/>
  <c r="X293" i="2"/>
  <c r="X282" i="2"/>
  <c r="X541" i="2"/>
  <c r="X472" i="2"/>
  <c r="X418" i="2"/>
  <c r="X325" i="2"/>
  <c r="X322" i="2"/>
  <c r="X593" i="2"/>
  <c r="X381" i="2"/>
  <c r="X378" i="2"/>
  <c r="X319" i="2"/>
  <c r="X562" i="2"/>
  <c r="X545" i="2"/>
  <c r="X446" i="2"/>
  <c r="X384" i="2"/>
  <c r="X527" i="2"/>
  <c r="X479" i="2"/>
  <c r="X452" i="2"/>
  <c r="X449" i="2"/>
  <c r="X430" i="2"/>
  <c r="X424" i="2"/>
  <c r="X375" i="2"/>
  <c r="X557" i="2"/>
  <c r="X455" i="2"/>
  <c r="X390" i="2"/>
  <c r="X372" i="2"/>
  <c r="X366" i="2"/>
  <c r="X363" i="2"/>
  <c r="X561" i="2"/>
  <c r="X535" i="2"/>
  <c r="X498" i="2"/>
  <c r="X597" i="2"/>
  <c r="X578" i="2"/>
  <c r="X574" i="2"/>
  <c r="X548" i="2"/>
  <c r="X556" i="2"/>
  <c r="X559" i="2"/>
  <c r="X460" i="2"/>
  <c r="X423" i="2"/>
  <c r="X401" i="2"/>
  <c r="X373" i="2"/>
  <c r="X342" i="2"/>
  <c r="X300" i="2"/>
  <c r="X208" i="2"/>
  <c r="X194" i="2"/>
  <c r="X177" i="2"/>
  <c r="X163" i="2"/>
  <c r="X149" i="2"/>
  <c r="X132" i="2"/>
  <c r="B11" i="2"/>
  <c r="X605" i="2"/>
  <c r="X594" i="2"/>
  <c r="X517" i="2"/>
  <c r="X416" i="2"/>
  <c r="X408" i="2"/>
  <c r="X356" i="2"/>
  <c r="X332" i="2"/>
  <c r="X270" i="2"/>
  <c r="X253" i="2"/>
  <c r="X236" i="2"/>
  <c r="X222" i="2"/>
  <c r="X589" i="2"/>
  <c r="X508" i="2"/>
  <c r="X383" i="2"/>
  <c r="X303" i="2"/>
  <c r="X267" i="2"/>
  <c r="X160" i="2"/>
  <c r="X146" i="2"/>
  <c r="X129" i="2"/>
  <c r="X118" i="2"/>
  <c r="X107" i="2"/>
  <c r="X96" i="2"/>
  <c r="X85" i="2"/>
  <c r="X74" i="2"/>
  <c r="X577" i="2"/>
  <c r="X537" i="2"/>
  <c r="X493" i="2"/>
  <c r="X376" i="2"/>
  <c r="X349" i="2"/>
  <c r="X306" i="2"/>
  <c r="X264" i="2"/>
  <c r="X250" i="2"/>
  <c r="X233" i="2"/>
  <c r="X219" i="2"/>
  <c r="X570" i="2"/>
  <c r="X448" i="2"/>
  <c r="X412" i="2"/>
  <c r="X397" i="2"/>
  <c r="X359" i="2"/>
  <c r="X345" i="2"/>
  <c r="X588" i="2"/>
  <c r="X564" i="2"/>
  <c r="X426" i="2"/>
  <c r="X393" i="2"/>
  <c r="X379" i="2"/>
  <c r="X369" i="2"/>
  <c r="X335" i="2"/>
  <c r="X309" i="2"/>
  <c r="X602" i="2"/>
  <c r="X530" i="2"/>
  <c r="X526" i="2"/>
  <c r="X591" i="2"/>
  <c r="X478" i="2"/>
  <c r="X434" i="2"/>
  <c r="X413" i="2"/>
  <c r="X301" i="2"/>
  <c r="X228" i="2"/>
  <c r="X120" i="2"/>
  <c r="X91" i="2"/>
  <c r="X36" i="2"/>
  <c r="X19" i="2"/>
  <c r="X88" i="2"/>
  <c r="X464" i="2"/>
  <c r="X417" i="2"/>
  <c r="X371" i="2"/>
  <c r="X351" i="2"/>
  <c r="X331" i="2"/>
  <c r="X327" i="2"/>
  <c r="X283" i="2"/>
  <c r="X269" i="2"/>
  <c r="X209" i="2"/>
  <c r="X59" i="2"/>
  <c r="X505" i="2"/>
  <c r="X347" i="2"/>
  <c r="X339" i="2"/>
  <c r="X316" i="2"/>
  <c r="X276" i="2"/>
  <c r="X256" i="2"/>
  <c r="X231" i="2"/>
  <c r="X212" i="2"/>
  <c r="X206" i="2"/>
  <c r="X117" i="2"/>
  <c r="X82" i="2"/>
  <c r="X79" i="2"/>
  <c r="X56" i="2"/>
  <c r="X33" i="2"/>
  <c r="X488" i="2"/>
  <c r="X429" i="2"/>
  <c r="X323" i="2"/>
  <c r="X272" i="2"/>
  <c r="X234" i="2"/>
  <c r="X203" i="2"/>
  <c r="X200" i="2"/>
  <c r="X191" i="2"/>
  <c r="X188" i="2"/>
  <c r="X185" i="2"/>
  <c r="X114" i="2"/>
  <c r="X111" i="2"/>
  <c r="X433" i="2"/>
  <c r="X297" i="2"/>
  <c r="X259" i="2"/>
  <c r="X237" i="2"/>
  <c r="X215" i="2"/>
  <c r="X197" i="2"/>
  <c r="X182" i="2"/>
  <c r="X179" i="2"/>
  <c r="X176" i="2"/>
  <c r="X583" i="2"/>
  <c r="X540" i="2"/>
  <c r="X391" i="2"/>
  <c r="X355" i="2"/>
  <c r="X308" i="2"/>
  <c r="X286" i="2"/>
  <c r="X240" i="2"/>
  <c r="X167" i="2"/>
  <c r="X164" i="2"/>
  <c r="X161" i="2"/>
  <c r="X533" i="2"/>
  <c r="X442" i="2"/>
  <c r="X438" i="2"/>
  <c r="X600" i="2"/>
  <c r="X509" i="2"/>
  <c r="X477" i="2"/>
  <c r="X425" i="2"/>
  <c r="X573" i="2"/>
  <c r="X497" i="2"/>
  <c r="X572" i="2"/>
  <c r="X538" i="2"/>
  <c r="X586" i="2"/>
  <c r="X315" i="2"/>
  <c r="X281" i="2"/>
  <c r="X214" i="2"/>
  <c r="X166" i="2"/>
  <c r="X134" i="2"/>
  <c r="X108" i="2"/>
  <c r="X95" i="2"/>
  <c r="X67" i="2"/>
  <c r="X39" i="2"/>
  <c r="X138" i="2"/>
  <c r="X124" i="2"/>
  <c r="X534" i="2"/>
  <c r="X458" i="2"/>
  <c r="X420" i="2"/>
  <c r="X404" i="2"/>
  <c r="X352" i="2"/>
  <c r="X333" i="2"/>
  <c r="X324" i="2"/>
  <c r="X289" i="2"/>
  <c r="X254" i="2"/>
  <c r="X232" i="2"/>
  <c r="X183" i="2"/>
  <c r="X441" i="2"/>
  <c r="X398" i="2"/>
  <c r="X370" i="2"/>
  <c r="X365" i="2"/>
  <c r="X361" i="2"/>
  <c r="X261" i="2"/>
  <c r="X239" i="2"/>
  <c r="X224" i="2"/>
  <c r="X159" i="2"/>
  <c r="X148" i="2"/>
  <c r="X98" i="2"/>
  <c r="X70" i="2"/>
  <c r="X42" i="2"/>
  <c r="X210" i="2"/>
  <c r="X169" i="2"/>
  <c r="X73" i="2"/>
  <c r="X127" i="2"/>
  <c r="X76" i="2"/>
  <c r="X551" i="2"/>
  <c r="X482" i="2"/>
  <c r="X414" i="2"/>
  <c r="X277" i="2"/>
  <c r="X273" i="2"/>
  <c r="X196" i="2"/>
  <c r="X496" i="2"/>
  <c r="X489" i="2"/>
  <c r="X285" i="2"/>
  <c r="X246" i="2"/>
  <c r="X217" i="2"/>
  <c r="X155" i="2"/>
  <c r="X137" i="2"/>
  <c r="X542" i="2"/>
  <c r="X302" i="2"/>
  <c r="X235" i="2"/>
  <c r="X101" i="2"/>
  <c r="X463" i="2"/>
  <c r="X409" i="2"/>
  <c r="X567" i="2"/>
  <c r="X407" i="2"/>
  <c r="X382" i="2"/>
  <c r="X486" i="2"/>
  <c r="X506" i="2"/>
  <c r="X485" i="2"/>
  <c r="X466" i="2"/>
  <c r="X380" i="2"/>
  <c r="X248" i="2"/>
  <c r="X218" i="2"/>
  <c r="X145" i="2"/>
  <c r="X106" i="2"/>
  <c r="X54" i="2"/>
  <c r="X47" i="2"/>
  <c r="X265" i="2"/>
  <c r="X113" i="2"/>
  <c r="X90" i="2"/>
  <c r="X83" i="2"/>
  <c r="X65" i="2"/>
  <c r="X116" i="2"/>
  <c r="X109" i="2"/>
  <c r="X43" i="2"/>
  <c r="X431" i="2"/>
  <c r="X385" i="2"/>
  <c r="X362" i="2"/>
  <c r="X57" i="2"/>
  <c r="X136" i="2"/>
  <c r="X500" i="2"/>
  <c r="X437" i="2"/>
  <c r="X346" i="2"/>
  <c r="X205" i="2"/>
  <c r="X140" i="2"/>
  <c r="X94" i="2"/>
  <c r="X26" i="2"/>
  <c r="X40" i="2"/>
  <c r="X144" i="2"/>
  <c r="X481" i="2"/>
  <c r="X274" i="2"/>
  <c r="X189" i="2"/>
  <c r="X165" i="2"/>
  <c r="X128" i="2"/>
  <c r="X396" i="2"/>
  <c r="X357" i="2"/>
  <c r="X298" i="2"/>
  <c r="X278" i="2"/>
  <c r="X260" i="2"/>
  <c r="X243" i="2"/>
  <c r="X230" i="2"/>
  <c r="X226" i="2"/>
  <c r="X213" i="2"/>
  <c r="X201" i="2"/>
  <c r="X181" i="2"/>
  <c r="X157" i="2"/>
  <c r="X72" i="2"/>
  <c r="X61" i="2"/>
  <c r="X292" i="2"/>
  <c r="X193" i="2"/>
  <c r="X173" i="2"/>
  <c r="X153" i="2"/>
  <c r="X86" i="2"/>
  <c r="X581" i="2"/>
  <c r="X402" i="2"/>
  <c r="X436" i="2"/>
  <c r="X367" i="2"/>
  <c r="X340" i="2"/>
  <c r="X334" i="2"/>
  <c r="X329" i="2"/>
  <c r="X238" i="2"/>
  <c r="X105" i="2"/>
  <c r="X29" i="2"/>
  <c r="X480" i="2"/>
  <c r="X377" i="2"/>
  <c r="X312" i="2"/>
  <c r="X204" i="2"/>
  <c r="X326" i="2"/>
  <c r="X290" i="2"/>
  <c r="X461" i="2"/>
  <c r="X406" i="2"/>
  <c r="X529" i="2"/>
  <c r="X64" i="2"/>
  <c r="X30" i="2"/>
  <c r="X100" i="2"/>
  <c r="X51" i="2"/>
  <c r="X21" i="2"/>
  <c r="X25" i="2"/>
  <c r="X68" i="2"/>
  <c r="X317" i="2"/>
  <c r="X310" i="2"/>
  <c r="X198" i="2"/>
  <c r="X178" i="2"/>
  <c r="X158" i="2"/>
  <c r="X63" i="2"/>
  <c r="X55" i="2"/>
  <c r="X50" i="2"/>
  <c r="X353" i="2"/>
  <c r="X172" i="2"/>
  <c r="X590" i="2"/>
  <c r="X20" i="2"/>
  <c r="X389" i="2"/>
  <c r="X202" i="2"/>
  <c r="X122" i="2"/>
  <c r="X41" i="2"/>
  <c r="X32" i="2"/>
  <c r="X249" i="2"/>
  <c r="X147" i="2"/>
  <c r="X142" i="2"/>
  <c r="X330" i="2"/>
  <c r="X305" i="2"/>
  <c r="X257" i="2"/>
  <c r="X174" i="2"/>
  <c r="X154" i="2"/>
  <c r="X251" i="2"/>
  <c r="X123" i="2"/>
  <c r="X69" i="2"/>
  <c r="X46" i="2"/>
  <c r="X104" i="2"/>
  <c r="X24" i="2"/>
  <c r="X284" i="2"/>
  <c r="X207" i="2"/>
  <c r="X45" i="2"/>
  <c r="X311" i="2"/>
  <c r="X368" i="2"/>
  <c r="X304" i="2"/>
  <c r="X262" i="2"/>
  <c r="X168" i="2"/>
  <c r="X133" i="2"/>
  <c r="X229" i="2"/>
  <c r="X492" i="2"/>
  <c r="X338" i="2"/>
  <c r="X291" i="2"/>
  <c r="X279" i="2"/>
  <c r="X245" i="2"/>
  <c r="X192" i="2"/>
  <c r="X81" i="2"/>
  <c r="X223" i="2"/>
  <c r="X524" i="2"/>
  <c r="X470" i="2"/>
  <c r="X99" i="2"/>
  <c r="X77" i="2"/>
  <c r="X187" i="2"/>
  <c r="X502" i="2"/>
  <c r="X255" i="2"/>
  <c r="X37" i="2"/>
  <c r="X337" i="2"/>
  <c r="X152" i="2"/>
  <c r="X469" i="2"/>
  <c r="X422" i="2"/>
  <c r="X405" i="2"/>
  <c r="X244" i="2"/>
  <c r="X227" i="2"/>
  <c r="X344" i="2"/>
  <c r="X126" i="2"/>
  <c r="X84" i="2"/>
  <c r="X58" i="2"/>
  <c r="X546" i="2"/>
  <c r="X221" i="2"/>
  <c r="X141" i="2"/>
  <c r="X80" i="2"/>
  <c r="X23" i="2"/>
  <c r="X386" i="2"/>
  <c r="X321" i="2"/>
  <c r="X242" i="2"/>
  <c r="X211" i="2"/>
  <c r="X156" i="2"/>
  <c r="X130" i="2"/>
  <c r="X44" i="2"/>
  <c r="X275" i="2"/>
  <c r="X180" i="2"/>
  <c r="X125" i="2"/>
  <c r="X22" i="2"/>
  <c r="X445" i="2"/>
  <c r="X263" i="2"/>
  <c r="X225" i="2"/>
  <c r="X78" i="2"/>
  <c r="X320" i="2"/>
  <c r="X66" i="2"/>
  <c r="X135" i="2"/>
  <c r="X354" i="2"/>
  <c r="C11" i="2"/>
  <c r="C13" i="2" s="1"/>
  <c r="X119" i="2"/>
  <c r="A220" i="2"/>
  <c r="I220" i="2"/>
  <c r="D220" i="2"/>
  <c r="D392" i="2"/>
  <c r="B392" i="2"/>
  <c r="E392" i="2"/>
  <c r="C392" i="2"/>
  <c r="A392" i="2"/>
  <c r="I392" i="2"/>
  <c r="H392" i="2"/>
  <c r="G392" i="2"/>
  <c r="F392" i="2"/>
  <c r="G247" i="2"/>
  <c r="F247" i="2"/>
  <c r="E247" i="2"/>
  <c r="D247" i="2"/>
  <c r="C247" i="2"/>
  <c r="B247" i="2"/>
  <c r="H247" i="2"/>
  <c r="A247" i="2"/>
  <c r="D171" i="2"/>
  <c r="C171" i="2"/>
  <c r="B171" i="2"/>
  <c r="A171" i="2"/>
  <c r="I171" i="2"/>
  <c r="H171" i="2"/>
  <c r="X62" i="2"/>
  <c r="G268" i="2"/>
  <c r="C268" i="2"/>
  <c r="I268" i="2"/>
  <c r="A268" i="2"/>
  <c r="H268" i="2"/>
  <c r="F268" i="2"/>
  <c r="E268" i="2"/>
  <c r="D268" i="2"/>
  <c r="B268" i="2"/>
  <c r="E93" i="2"/>
  <c r="H93" i="2"/>
  <c r="G93" i="2"/>
  <c r="B93" i="2"/>
  <c r="X34" i="2"/>
  <c r="E102" i="2"/>
  <c r="X71" i="2"/>
  <c r="F150" i="2"/>
  <c r="E150" i="2"/>
  <c r="D150" i="2"/>
  <c r="C150" i="2"/>
  <c r="B150" i="2"/>
  <c r="A150" i="2"/>
  <c r="H150" i="2"/>
  <c r="D199" i="2"/>
  <c r="C199" i="2"/>
  <c r="B199" i="2"/>
  <c r="A199" i="2"/>
  <c r="G199" i="2"/>
  <c r="X49" i="2"/>
  <c r="X252" i="2"/>
  <c r="X299" i="2"/>
  <c r="X35" i="2"/>
  <c r="X143" i="2"/>
  <c r="E11" i="2"/>
  <c r="E13" i="2" s="1"/>
  <c r="X89" i="2"/>
  <c r="X97" i="2"/>
  <c r="E195" i="2"/>
  <c r="B220" i="2"/>
  <c r="X186" i="2"/>
  <c r="F195" i="2"/>
  <c r="C220" i="2"/>
  <c r="B294" i="2"/>
  <c r="F294" i="2"/>
  <c r="E294" i="2"/>
  <c r="D294" i="2"/>
  <c r="C294" i="2"/>
  <c r="A294" i="2"/>
  <c r="H294" i="2"/>
  <c r="G294" i="2"/>
  <c r="I162" i="2"/>
  <c r="G162" i="2"/>
  <c r="C162" i="2"/>
  <c r="B162" i="2"/>
  <c r="A162" i="2"/>
  <c r="E162" i="2"/>
  <c r="F139" i="2"/>
  <c r="E139" i="2"/>
  <c r="D139" i="2"/>
  <c r="C139" i="2"/>
  <c r="B139" i="2"/>
  <c r="A139" i="2"/>
  <c r="I139" i="2"/>
  <c r="F131" i="2"/>
  <c r="E131" i="2"/>
  <c r="D131" i="2"/>
  <c r="C131" i="2"/>
  <c r="B131" i="2"/>
  <c r="A131" i="2"/>
  <c r="H131" i="2"/>
  <c r="A350" i="2"/>
  <c r="F350" i="2"/>
  <c r="B350" i="2"/>
  <c r="H350" i="2"/>
  <c r="G350" i="2"/>
  <c r="X103" i="2"/>
  <c r="X364" i="2"/>
  <c r="X151" i="2"/>
  <c r="X112" i="2"/>
  <c r="C195" i="2"/>
  <c r="X52" i="2"/>
  <c r="G195" i="2"/>
  <c r="E220" i="2"/>
  <c r="X121" i="2"/>
  <c r="X170" i="2"/>
  <c r="H195" i="2"/>
  <c r="F220" i="2"/>
  <c r="F358" i="2" l="1"/>
  <c r="I131" i="2"/>
  <c r="G131" i="2"/>
  <c r="G358" i="2"/>
  <c r="G115" i="2"/>
  <c r="H258" i="2"/>
  <c r="E258" i="2"/>
  <c r="A287" i="2"/>
  <c r="B60" i="2"/>
  <c r="C358" i="2"/>
  <c r="D115" i="2"/>
  <c r="F48" i="2"/>
  <c r="A358" i="2"/>
  <c r="B48" i="2"/>
  <c r="B287" i="2"/>
  <c r="A60" i="2"/>
  <c r="D358" i="2"/>
  <c r="G48" i="2"/>
  <c r="I199" i="2"/>
  <c r="H199" i="2"/>
  <c r="F199" i="2"/>
  <c r="E199" i="2"/>
  <c r="C287" i="2"/>
  <c r="G102" i="2"/>
  <c r="C48" i="2"/>
  <c r="H102" i="2"/>
  <c r="D48" i="2"/>
  <c r="F171" i="2"/>
  <c r="G171" i="2"/>
  <c r="E171" i="2"/>
  <c r="E48" i="2"/>
  <c r="G287" i="2"/>
  <c r="I287" i="2"/>
  <c r="H287" i="2"/>
  <c r="D287" i="2"/>
  <c r="C31" i="2"/>
  <c r="A48" i="2"/>
  <c r="D241" i="2"/>
  <c r="E241" i="2"/>
  <c r="G241" i="2"/>
  <c r="I241" i="2"/>
  <c r="H241" i="2"/>
  <c r="G60" i="2"/>
  <c r="H31" i="2"/>
  <c r="I60" i="2"/>
  <c r="F18" i="2"/>
  <c r="F295" i="2"/>
  <c r="G295" i="2"/>
  <c r="B295" i="2"/>
  <c r="I295" i="2"/>
  <c r="A295" i="2"/>
  <c r="B31" i="2"/>
  <c r="E18" i="2"/>
  <c r="I31" i="2"/>
  <c r="I102" i="2"/>
  <c r="I92" i="2"/>
  <c r="D17" i="2"/>
  <c r="H18" i="2"/>
  <c r="H115" i="2"/>
  <c r="F115" i="2"/>
  <c r="I115" i="2"/>
  <c r="E115" i="2"/>
  <c r="C102" i="2"/>
  <c r="C92" i="2"/>
  <c r="A17" i="2"/>
  <c r="I18" i="2"/>
  <c r="D92" i="2"/>
  <c r="B17" i="2"/>
  <c r="A53" i="2"/>
  <c r="A18" i="2"/>
  <c r="A457" i="2"/>
  <c r="E457" i="2"/>
  <c r="E358" i="2"/>
  <c r="D60" i="2"/>
  <c r="F31" i="2"/>
  <c r="E92" i="2"/>
  <c r="F258" i="2"/>
  <c r="D314" i="2"/>
  <c r="F17" i="2"/>
  <c r="C53" i="2"/>
  <c r="B18" i="2"/>
  <c r="E287" i="2"/>
  <c r="B102" i="2"/>
  <c r="F92" i="2"/>
  <c r="A258" i="2"/>
  <c r="E314" i="2"/>
  <c r="H17" i="2"/>
  <c r="B53" i="2"/>
  <c r="C18" i="2"/>
  <c r="B258" i="2"/>
  <c r="F314" i="2"/>
  <c r="G17" i="2"/>
  <c r="G53" i="2"/>
  <c r="D18" i="2"/>
  <c r="B92" i="2"/>
  <c r="A92" i="2"/>
  <c r="I48" i="2"/>
  <c r="D31" i="2"/>
  <c r="D102" i="2"/>
  <c r="F102" i="2"/>
  <c r="H60" i="2"/>
  <c r="H92" i="2"/>
  <c r="C258" i="2"/>
  <c r="G314" i="2"/>
  <c r="H53" i="2"/>
  <c r="C60" i="2"/>
  <c r="A115" i="2"/>
  <c r="A313" i="2"/>
  <c r="D258" i="2"/>
  <c r="H314" i="2"/>
  <c r="A38" i="2"/>
  <c r="D53" i="2"/>
  <c r="H162" i="2"/>
  <c r="F162" i="2"/>
  <c r="D162" i="2"/>
  <c r="A31" i="2"/>
  <c r="F241" i="2"/>
  <c r="A241" i="2"/>
  <c r="C313" i="2"/>
  <c r="G258" i="2"/>
  <c r="I314" i="2"/>
  <c r="B38" i="2"/>
  <c r="F53" i="2"/>
  <c r="F60" i="2"/>
  <c r="E31" i="2"/>
  <c r="E313" i="2"/>
  <c r="I258" i="2"/>
  <c r="A314" i="2"/>
  <c r="F38" i="2"/>
  <c r="I53" i="2"/>
  <c r="H358" i="2"/>
  <c r="B358" i="2"/>
  <c r="B241" i="2"/>
  <c r="C241" i="2"/>
  <c r="F313" i="2"/>
  <c r="I190" i="2"/>
  <c r="H190" i="2"/>
  <c r="D49" i="2"/>
  <c r="C49" i="2"/>
  <c r="B49" i="2"/>
  <c r="A49" i="2"/>
  <c r="I49" i="2"/>
  <c r="F49" i="2"/>
  <c r="E49" i="2"/>
  <c r="G49" i="2"/>
  <c r="H49" i="2"/>
  <c r="H126" i="2"/>
  <c r="G126" i="2"/>
  <c r="F126" i="2"/>
  <c r="E126" i="2"/>
  <c r="C126" i="2"/>
  <c r="B126" i="2"/>
  <c r="A126" i="2"/>
  <c r="D126" i="2"/>
  <c r="I126" i="2"/>
  <c r="E45" i="2"/>
  <c r="F45" i="2"/>
  <c r="D45" i="2"/>
  <c r="C45" i="2"/>
  <c r="B45" i="2"/>
  <c r="I45" i="2"/>
  <c r="G45" i="2"/>
  <c r="H45" i="2"/>
  <c r="A45" i="2"/>
  <c r="G310" i="2"/>
  <c r="E310" i="2"/>
  <c r="C310" i="2"/>
  <c r="B310" i="2"/>
  <c r="A310" i="2"/>
  <c r="H310" i="2"/>
  <c r="I310" i="2"/>
  <c r="F310" i="2"/>
  <c r="D310" i="2"/>
  <c r="I292" i="2"/>
  <c r="H292" i="2"/>
  <c r="C292" i="2"/>
  <c r="F292" i="2"/>
  <c r="E292" i="2"/>
  <c r="D292" i="2"/>
  <c r="B292" i="2"/>
  <c r="A292" i="2"/>
  <c r="G292" i="2"/>
  <c r="B385" i="2"/>
  <c r="A385" i="2"/>
  <c r="C385" i="2"/>
  <c r="I385" i="2"/>
  <c r="H385" i="2"/>
  <c r="G385" i="2"/>
  <c r="F385" i="2"/>
  <c r="E385" i="2"/>
  <c r="D385" i="2"/>
  <c r="C217" i="2"/>
  <c r="B217" i="2"/>
  <c r="A217" i="2"/>
  <c r="I217" i="2"/>
  <c r="D217" i="2"/>
  <c r="H217" i="2"/>
  <c r="F217" i="2"/>
  <c r="G217" i="2"/>
  <c r="E217" i="2"/>
  <c r="I289" i="2"/>
  <c r="H289" i="2"/>
  <c r="G289" i="2"/>
  <c r="F289" i="2"/>
  <c r="B289" i="2"/>
  <c r="A289" i="2"/>
  <c r="D289" i="2"/>
  <c r="C289" i="2"/>
  <c r="E289" i="2"/>
  <c r="E164" i="2"/>
  <c r="D164" i="2"/>
  <c r="C164" i="2"/>
  <c r="B164" i="2"/>
  <c r="A164" i="2"/>
  <c r="H164" i="2"/>
  <c r="F164" i="2"/>
  <c r="I164" i="2"/>
  <c r="G164" i="2"/>
  <c r="I79" i="2"/>
  <c r="E79" i="2"/>
  <c r="H79" i="2"/>
  <c r="G79" i="2"/>
  <c r="F79" i="2"/>
  <c r="D79" i="2"/>
  <c r="C79" i="2"/>
  <c r="A79" i="2"/>
  <c r="B79" i="2"/>
  <c r="I591" i="2"/>
  <c r="F591" i="2"/>
  <c r="G591" i="2"/>
  <c r="E591" i="2"/>
  <c r="D591" i="2"/>
  <c r="C591" i="2"/>
  <c r="B591" i="2"/>
  <c r="A591" i="2"/>
  <c r="H591" i="2"/>
  <c r="D118" i="2"/>
  <c r="C118" i="2"/>
  <c r="B118" i="2"/>
  <c r="A118" i="2"/>
  <c r="I118" i="2"/>
  <c r="G118" i="2"/>
  <c r="F118" i="2"/>
  <c r="E118" i="2"/>
  <c r="H118" i="2"/>
  <c r="E460" i="2"/>
  <c r="D460" i="2"/>
  <c r="C460" i="2"/>
  <c r="I460" i="2"/>
  <c r="H460" i="2"/>
  <c r="G460" i="2"/>
  <c r="F460" i="2"/>
  <c r="B460" i="2"/>
  <c r="A460" i="2"/>
  <c r="I325" i="2"/>
  <c r="H325" i="2"/>
  <c r="G325" i="2"/>
  <c r="B325" i="2"/>
  <c r="A325" i="2"/>
  <c r="F325" i="2"/>
  <c r="E325" i="2"/>
  <c r="D325" i="2"/>
  <c r="C325" i="2"/>
  <c r="B450" i="2"/>
  <c r="A450" i="2"/>
  <c r="G450" i="2"/>
  <c r="D450" i="2"/>
  <c r="H450" i="2"/>
  <c r="I450" i="2"/>
  <c r="F450" i="2"/>
  <c r="E450" i="2"/>
  <c r="C450" i="2"/>
  <c r="B465" i="2"/>
  <c r="I465" i="2"/>
  <c r="H465" i="2"/>
  <c r="G465" i="2"/>
  <c r="F465" i="2"/>
  <c r="E465" i="2"/>
  <c r="C465" i="2"/>
  <c r="A465" i="2"/>
  <c r="D465" i="2"/>
  <c r="I459" i="2"/>
  <c r="H459" i="2"/>
  <c r="F459" i="2"/>
  <c r="E459" i="2"/>
  <c r="D459" i="2"/>
  <c r="C459" i="2"/>
  <c r="B459" i="2"/>
  <c r="A459" i="2"/>
  <c r="G459" i="2"/>
  <c r="G324" i="2"/>
  <c r="E324" i="2"/>
  <c r="D324" i="2"/>
  <c r="B324" i="2"/>
  <c r="A324" i="2"/>
  <c r="I324" i="2"/>
  <c r="H324" i="2"/>
  <c r="F324" i="2"/>
  <c r="C324" i="2"/>
  <c r="E24" i="2"/>
  <c r="D24" i="2"/>
  <c r="B24" i="2"/>
  <c r="C24" i="2"/>
  <c r="I24" i="2"/>
  <c r="A24" i="2"/>
  <c r="H24" i="2"/>
  <c r="G24" i="2"/>
  <c r="F24" i="2"/>
  <c r="I25" i="2"/>
  <c r="G25" i="2"/>
  <c r="E25" i="2"/>
  <c r="D25" i="2"/>
  <c r="C25" i="2"/>
  <c r="F25" i="2"/>
  <c r="H25" i="2"/>
  <c r="B25" i="2"/>
  <c r="A25" i="2"/>
  <c r="E157" i="2"/>
  <c r="C157" i="2"/>
  <c r="H157" i="2"/>
  <c r="I157" i="2"/>
  <c r="G157" i="2"/>
  <c r="B157" i="2"/>
  <c r="D157" i="2"/>
  <c r="F157" i="2"/>
  <c r="A157" i="2"/>
  <c r="E109" i="2"/>
  <c r="B109" i="2"/>
  <c r="A109" i="2"/>
  <c r="I109" i="2"/>
  <c r="D109" i="2"/>
  <c r="C109" i="2"/>
  <c r="G109" i="2"/>
  <c r="H109" i="2"/>
  <c r="F109" i="2"/>
  <c r="B489" i="2"/>
  <c r="A489" i="2"/>
  <c r="F489" i="2"/>
  <c r="E489" i="2"/>
  <c r="D489" i="2"/>
  <c r="C489" i="2"/>
  <c r="G489" i="2"/>
  <c r="I489" i="2"/>
  <c r="H489" i="2"/>
  <c r="G352" i="2"/>
  <c r="E352" i="2"/>
  <c r="F352" i="2"/>
  <c r="D352" i="2"/>
  <c r="C352" i="2"/>
  <c r="B352" i="2"/>
  <c r="A352" i="2"/>
  <c r="I352" i="2"/>
  <c r="H352" i="2"/>
  <c r="B286" i="2"/>
  <c r="C286" i="2"/>
  <c r="A286" i="2"/>
  <c r="D286" i="2"/>
  <c r="I286" i="2"/>
  <c r="H286" i="2"/>
  <c r="G286" i="2"/>
  <c r="F286" i="2"/>
  <c r="E286" i="2"/>
  <c r="A206" i="2"/>
  <c r="I206" i="2"/>
  <c r="H206" i="2"/>
  <c r="G206" i="2"/>
  <c r="E206" i="2"/>
  <c r="D206" i="2"/>
  <c r="C206" i="2"/>
  <c r="F206" i="2"/>
  <c r="B206" i="2"/>
  <c r="F602" i="2"/>
  <c r="E602" i="2"/>
  <c r="D602" i="2"/>
  <c r="C602" i="2"/>
  <c r="B602" i="2"/>
  <c r="A602" i="2"/>
  <c r="G602" i="2"/>
  <c r="I602" i="2"/>
  <c r="H602" i="2"/>
  <c r="A160" i="2"/>
  <c r="B160" i="2"/>
  <c r="E160" i="2"/>
  <c r="F160" i="2"/>
  <c r="I160" i="2"/>
  <c r="H160" i="2"/>
  <c r="G160" i="2"/>
  <c r="C160" i="2"/>
  <c r="D160" i="2"/>
  <c r="A548" i="2"/>
  <c r="D548" i="2"/>
  <c r="C548" i="2"/>
  <c r="B548" i="2"/>
  <c r="I548" i="2"/>
  <c r="H548" i="2"/>
  <c r="G548" i="2"/>
  <c r="F548" i="2"/>
  <c r="E548" i="2"/>
  <c r="H541" i="2"/>
  <c r="G541" i="2"/>
  <c r="F541" i="2"/>
  <c r="E541" i="2"/>
  <c r="D541" i="2"/>
  <c r="C541" i="2"/>
  <c r="I541" i="2"/>
  <c r="B541" i="2"/>
  <c r="A541" i="2"/>
  <c r="F518" i="2"/>
  <c r="E518" i="2"/>
  <c r="D518" i="2"/>
  <c r="C518" i="2"/>
  <c r="B518" i="2"/>
  <c r="I518" i="2"/>
  <c r="H518" i="2"/>
  <c r="G518" i="2"/>
  <c r="A518" i="2"/>
  <c r="I603" i="2"/>
  <c r="H603" i="2"/>
  <c r="G603" i="2"/>
  <c r="F603" i="2"/>
  <c r="B603" i="2"/>
  <c r="E603" i="2"/>
  <c r="D603" i="2"/>
  <c r="C603" i="2"/>
  <c r="A603" i="2"/>
  <c r="I483" i="2"/>
  <c r="H483" i="2"/>
  <c r="G483" i="2"/>
  <c r="F483" i="2"/>
  <c r="E483" i="2"/>
  <c r="D483" i="2"/>
  <c r="C483" i="2"/>
  <c r="B483" i="2"/>
  <c r="A483" i="2"/>
  <c r="A112" i="2"/>
  <c r="B112" i="2"/>
  <c r="H112" i="2"/>
  <c r="E112" i="2"/>
  <c r="D112" i="2"/>
  <c r="F112" i="2"/>
  <c r="G112" i="2"/>
  <c r="C112" i="2"/>
  <c r="I112" i="2"/>
  <c r="D119" i="2"/>
  <c r="C119" i="2"/>
  <c r="B119" i="2"/>
  <c r="A119" i="2"/>
  <c r="G119" i="2"/>
  <c r="F119" i="2"/>
  <c r="I119" i="2"/>
  <c r="H119" i="2"/>
  <c r="E119" i="2"/>
  <c r="D405" i="2"/>
  <c r="B405" i="2"/>
  <c r="F405" i="2"/>
  <c r="E405" i="2"/>
  <c r="C405" i="2"/>
  <c r="A405" i="2"/>
  <c r="G405" i="2"/>
  <c r="I405" i="2"/>
  <c r="H405" i="2"/>
  <c r="A104" i="2"/>
  <c r="E104" i="2"/>
  <c r="D104" i="2"/>
  <c r="B104" i="2"/>
  <c r="I104" i="2"/>
  <c r="G104" i="2"/>
  <c r="H104" i="2"/>
  <c r="F104" i="2"/>
  <c r="C104" i="2"/>
  <c r="E21" i="2"/>
  <c r="D21" i="2"/>
  <c r="B21" i="2"/>
  <c r="C21" i="2"/>
  <c r="F21" i="2"/>
  <c r="A21" i="2"/>
  <c r="I21" i="2"/>
  <c r="H21" i="2"/>
  <c r="G21" i="2"/>
  <c r="E181" i="2"/>
  <c r="C181" i="2"/>
  <c r="H181" i="2"/>
  <c r="I181" i="2"/>
  <c r="G181" i="2"/>
  <c r="D181" i="2"/>
  <c r="B181" i="2"/>
  <c r="F181" i="2"/>
  <c r="A181" i="2"/>
  <c r="C116" i="2"/>
  <c r="A116" i="2"/>
  <c r="I116" i="2"/>
  <c r="G116" i="2"/>
  <c r="F116" i="2"/>
  <c r="B116" i="2"/>
  <c r="H116" i="2"/>
  <c r="E116" i="2"/>
  <c r="D116" i="2"/>
  <c r="G496" i="2"/>
  <c r="F496" i="2"/>
  <c r="E496" i="2"/>
  <c r="D496" i="2"/>
  <c r="C496" i="2"/>
  <c r="B496" i="2"/>
  <c r="I496" i="2"/>
  <c r="H496" i="2"/>
  <c r="A496" i="2"/>
  <c r="I404" i="2"/>
  <c r="H404" i="2"/>
  <c r="G404" i="2"/>
  <c r="F404" i="2"/>
  <c r="E404" i="2"/>
  <c r="D404" i="2"/>
  <c r="B404" i="2"/>
  <c r="C404" i="2"/>
  <c r="A404" i="2"/>
  <c r="E308" i="2"/>
  <c r="D308" i="2"/>
  <c r="C308" i="2"/>
  <c r="B308" i="2"/>
  <c r="I308" i="2"/>
  <c r="H308" i="2"/>
  <c r="G308" i="2"/>
  <c r="F308" i="2"/>
  <c r="A308" i="2"/>
  <c r="I212" i="2"/>
  <c r="H212" i="2"/>
  <c r="G212" i="2"/>
  <c r="F212" i="2"/>
  <c r="B212" i="2"/>
  <c r="D212" i="2"/>
  <c r="C212" i="2"/>
  <c r="A212" i="2"/>
  <c r="E212" i="2"/>
  <c r="C309" i="2"/>
  <c r="B309" i="2"/>
  <c r="A309" i="2"/>
  <c r="E309" i="2"/>
  <c r="D309" i="2"/>
  <c r="I309" i="2"/>
  <c r="H309" i="2"/>
  <c r="G309" i="2"/>
  <c r="F309" i="2"/>
  <c r="I267" i="2"/>
  <c r="H267" i="2"/>
  <c r="G267" i="2"/>
  <c r="E267" i="2"/>
  <c r="D267" i="2"/>
  <c r="C267" i="2"/>
  <c r="F267" i="2"/>
  <c r="B267" i="2"/>
  <c r="A267" i="2"/>
  <c r="F574" i="2"/>
  <c r="E574" i="2"/>
  <c r="D574" i="2"/>
  <c r="C574" i="2"/>
  <c r="B574" i="2"/>
  <c r="A574" i="2"/>
  <c r="I574" i="2"/>
  <c r="H574" i="2"/>
  <c r="G574" i="2"/>
  <c r="I282" i="2"/>
  <c r="H282" i="2"/>
  <c r="D282" i="2"/>
  <c r="C282" i="2"/>
  <c r="B282" i="2"/>
  <c r="A282" i="2"/>
  <c r="E282" i="2"/>
  <c r="G282" i="2"/>
  <c r="F282" i="2"/>
  <c r="H601" i="2"/>
  <c r="I601" i="2"/>
  <c r="G601" i="2"/>
  <c r="F601" i="2"/>
  <c r="E601" i="2"/>
  <c r="D601" i="2"/>
  <c r="A601" i="2"/>
  <c r="C601" i="2"/>
  <c r="B601" i="2"/>
  <c r="H388" i="2"/>
  <c r="B388" i="2"/>
  <c r="A388" i="2"/>
  <c r="C388" i="2"/>
  <c r="I388" i="2"/>
  <c r="G388" i="2"/>
  <c r="D388" i="2"/>
  <c r="F388" i="2"/>
  <c r="E388" i="2"/>
  <c r="I491" i="2"/>
  <c r="G491" i="2"/>
  <c r="F491" i="2"/>
  <c r="E491" i="2"/>
  <c r="D491" i="2"/>
  <c r="C491" i="2"/>
  <c r="B491" i="2"/>
  <c r="H491" i="2"/>
  <c r="A491" i="2"/>
  <c r="F418" i="2"/>
  <c r="D418" i="2"/>
  <c r="I418" i="2"/>
  <c r="H418" i="2"/>
  <c r="G418" i="2"/>
  <c r="E418" i="2"/>
  <c r="A418" i="2"/>
  <c r="C418" i="2"/>
  <c r="B418" i="2"/>
  <c r="E244" i="2"/>
  <c r="D244" i="2"/>
  <c r="C244" i="2"/>
  <c r="B244" i="2"/>
  <c r="A244" i="2"/>
  <c r="G244" i="2"/>
  <c r="F244" i="2"/>
  <c r="I244" i="2"/>
  <c r="H244" i="2"/>
  <c r="I62" i="2"/>
  <c r="H62" i="2"/>
  <c r="G62" i="2"/>
  <c r="B62" i="2"/>
  <c r="A62" i="2"/>
  <c r="E62" i="2"/>
  <c r="D62" i="2"/>
  <c r="C62" i="2"/>
  <c r="F62" i="2"/>
  <c r="I456" i="2"/>
  <c r="H456" i="2"/>
  <c r="C456" i="2"/>
  <c r="B456" i="2"/>
  <c r="A456" i="2"/>
  <c r="G456" i="2"/>
  <c r="F456" i="2"/>
  <c r="E456" i="2"/>
  <c r="D456" i="2"/>
  <c r="F502" i="2"/>
  <c r="E502" i="2"/>
  <c r="C502" i="2"/>
  <c r="B502" i="2"/>
  <c r="A502" i="2"/>
  <c r="H502" i="2"/>
  <c r="D502" i="2"/>
  <c r="I502" i="2"/>
  <c r="G502" i="2"/>
  <c r="D263" i="2"/>
  <c r="C263" i="2"/>
  <c r="B263" i="2"/>
  <c r="A263" i="2"/>
  <c r="H263" i="2"/>
  <c r="F263" i="2"/>
  <c r="E263" i="2"/>
  <c r="I263" i="2"/>
  <c r="G263" i="2"/>
  <c r="I95" i="2"/>
  <c r="G95" i="2"/>
  <c r="H95" i="2"/>
  <c r="F95" i="2"/>
  <c r="E95" i="2"/>
  <c r="D95" i="2"/>
  <c r="B95" i="2"/>
  <c r="C95" i="2"/>
  <c r="A95" i="2"/>
  <c r="I215" i="2"/>
  <c r="B215" i="2"/>
  <c r="A215" i="2"/>
  <c r="E215" i="2"/>
  <c r="F215" i="2"/>
  <c r="D215" i="2"/>
  <c r="H215" i="2"/>
  <c r="G215" i="2"/>
  <c r="C215" i="2"/>
  <c r="H22" i="2"/>
  <c r="G22" i="2"/>
  <c r="F22" i="2"/>
  <c r="B22" i="2"/>
  <c r="I22" i="2"/>
  <c r="A22" i="2"/>
  <c r="E22" i="2"/>
  <c r="D22" i="2"/>
  <c r="C22" i="2"/>
  <c r="I99" i="2"/>
  <c r="G99" i="2"/>
  <c r="H99" i="2"/>
  <c r="F99" i="2"/>
  <c r="E99" i="2"/>
  <c r="A99" i="2"/>
  <c r="D99" i="2"/>
  <c r="C99" i="2"/>
  <c r="B99" i="2"/>
  <c r="D142" i="2"/>
  <c r="C142" i="2"/>
  <c r="B142" i="2"/>
  <c r="A142" i="2"/>
  <c r="I142" i="2"/>
  <c r="E142" i="2"/>
  <c r="G142" i="2"/>
  <c r="H142" i="2"/>
  <c r="F142" i="2"/>
  <c r="A204" i="2"/>
  <c r="D204" i="2"/>
  <c r="C204" i="2"/>
  <c r="B204" i="2"/>
  <c r="F204" i="2"/>
  <c r="E204" i="2"/>
  <c r="I204" i="2"/>
  <c r="G204" i="2"/>
  <c r="H204" i="2"/>
  <c r="C396" i="2"/>
  <c r="B396" i="2"/>
  <c r="A396" i="2"/>
  <c r="I396" i="2"/>
  <c r="H396" i="2"/>
  <c r="G396" i="2"/>
  <c r="E396" i="2"/>
  <c r="F396" i="2"/>
  <c r="D396" i="2"/>
  <c r="I218" i="2"/>
  <c r="G218" i="2"/>
  <c r="B218" i="2"/>
  <c r="A218" i="2"/>
  <c r="H218" i="2"/>
  <c r="F218" i="2"/>
  <c r="E218" i="2"/>
  <c r="D218" i="2"/>
  <c r="C218" i="2"/>
  <c r="E169" i="2"/>
  <c r="C169" i="2"/>
  <c r="I169" i="2"/>
  <c r="H169" i="2"/>
  <c r="F169" i="2"/>
  <c r="G169" i="2"/>
  <c r="D169" i="2"/>
  <c r="B169" i="2"/>
  <c r="A169" i="2"/>
  <c r="I134" i="2"/>
  <c r="H134" i="2"/>
  <c r="G134" i="2"/>
  <c r="F134" i="2"/>
  <c r="E134" i="2"/>
  <c r="B134" i="2"/>
  <c r="A134" i="2"/>
  <c r="D134" i="2"/>
  <c r="C134" i="2"/>
  <c r="E237" i="2"/>
  <c r="C237" i="2"/>
  <c r="I237" i="2"/>
  <c r="D237" i="2"/>
  <c r="H237" i="2"/>
  <c r="B237" i="2"/>
  <c r="G237" i="2"/>
  <c r="F237" i="2"/>
  <c r="A237" i="2"/>
  <c r="E269" i="2"/>
  <c r="D269" i="2"/>
  <c r="C269" i="2"/>
  <c r="I269" i="2"/>
  <c r="H269" i="2"/>
  <c r="G269" i="2"/>
  <c r="F269" i="2"/>
  <c r="B269" i="2"/>
  <c r="A269" i="2"/>
  <c r="A397" i="2"/>
  <c r="F397" i="2"/>
  <c r="E397" i="2"/>
  <c r="D397" i="2"/>
  <c r="C397" i="2"/>
  <c r="B397" i="2"/>
  <c r="I397" i="2"/>
  <c r="H397" i="2"/>
  <c r="G397" i="2"/>
  <c r="G356" i="2"/>
  <c r="E356" i="2"/>
  <c r="I356" i="2"/>
  <c r="H356" i="2"/>
  <c r="F356" i="2"/>
  <c r="D356" i="2"/>
  <c r="C356" i="2"/>
  <c r="B356" i="2"/>
  <c r="A356" i="2"/>
  <c r="H455" i="2"/>
  <c r="G455" i="2"/>
  <c r="F455" i="2"/>
  <c r="E455" i="2"/>
  <c r="D455" i="2"/>
  <c r="C455" i="2"/>
  <c r="B455" i="2"/>
  <c r="A455" i="2"/>
  <c r="I455" i="2"/>
  <c r="B474" i="2"/>
  <c r="A474" i="2"/>
  <c r="D474" i="2"/>
  <c r="C474" i="2"/>
  <c r="I474" i="2"/>
  <c r="F474" i="2"/>
  <c r="H474" i="2"/>
  <c r="G474" i="2"/>
  <c r="E474" i="2"/>
  <c r="B473" i="2"/>
  <c r="I473" i="2"/>
  <c r="H473" i="2"/>
  <c r="G473" i="2"/>
  <c r="F473" i="2"/>
  <c r="E473" i="2"/>
  <c r="D473" i="2"/>
  <c r="C473" i="2"/>
  <c r="A473" i="2"/>
  <c r="I544" i="2"/>
  <c r="H544" i="2"/>
  <c r="G544" i="2"/>
  <c r="F544" i="2"/>
  <c r="E544" i="2"/>
  <c r="D544" i="2"/>
  <c r="B544" i="2"/>
  <c r="A544" i="2"/>
  <c r="C544" i="2"/>
  <c r="I571" i="2"/>
  <c r="H571" i="2"/>
  <c r="G571" i="2"/>
  <c r="F571" i="2"/>
  <c r="E571" i="2"/>
  <c r="D571" i="2"/>
  <c r="C571" i="2"/>
  <c r="B571" i="2"/>
  <c r="A571" i="2"/>
  <c r="B46" i="2"/>
  <c r="A46" i="2"/>
  <c r="F46" i="2"/>
  <c r="C46" i="2"/>
  <c r="H46" i="2"/>
  <c r="I46" i="2"/>
  <c r="G46" i="2"/>
  <c r="E46" i="2"/>
  <c r="D46" i="2"/>
  <c r="A280" i="2"/>
  <c r="F280" i="2"/>
  <c r="E280" i="2"/>
  <c r="D280" i="2"/>
  <c r="C280" i="2"/>
  <c r="B280" i="2"/>
  <c r="I280" i="2"/>
  <c r="H280" i="2"/>
  <c r="G280" i="2"/>
  <c r="D288" i="2"/>
  <c r="C288" i="2"/>
  <c r="B288" i="2"/>
  <c r="G288" i="2"/>
  <c r="F288" i="2"/>
  <c r="E288" i="2"/>
  <c r="A288" i="2"/>
  <c r="I288" i="2"/>
  <c r="H288" i="2"/>
  <c r="A152" i="2"/>
  <c r="G152" i="2"/>
  <c r="E152" i="2"/>
  <c r="I152" i="2"/>
  <c r="H152" i="2"/>
  <c r="F152" i="2"/>
  <c r="D152" i="2"/>
  <c r="C152" i="2"/>
  <c r="B152" i="2"/>
  <c r="B508" i="2"/>
  <c r="A508" i="2"/>
  <c r="G508" i="2"/>
  <c r="F508" i="2"/>
  <c r="E508" i="2"/>
  <c r="D508" i="2"/>
  <c r="C508" i="2"/>
  <c r="I508" i="2"/>
  <c r="H508" i="2"/>
  <c r="A176" i="2"/>
  <c r="I176" i="2"/>
  <c r="H176" i="2"/>
  <c r="G176" i="2"/>
  <c r="F176" i="2"/>
  <c r="E176" i="2"/>
  <c r="D176" i="2"/>
  <c r="B176" i="2"/>
  <c r="C176" i="2"/>
  <c r="E77" i="2"/>
  <c r="I77" i="2"/>
  <c r="G77" i="2"/>
  <c r="A77" i="2"/>
  <c r="C77" i="2"/>
  <c r="B77" i="2"/>
  <c r="D77" i="2"/>
  <c r="H77" i="2"/>
  <c r="F77" i="2"/>
  <c r="C359" i="2"/>
  <c r="A359" i="2"/>
  <c r="I359" i="2"/>
  <c r="H359" i="2"/>
  <c r="F359" i="2"/>
  <c r="G359" i="2"/>
  <c r="E359" i="2"/>
  <c r="D359" i="2"/>
  <c r="B359" i="2"/>
  <c r="E471" i="2"/>
  <c r="D471" i="2"/>
  <c r="C471" i="2"/>
  <c r="B471" i="2"/>
  <c r="A471" i="2"/>
  <c r="I471" i="2"/>
  <c r="H471" i="2"/>
  <c r="G471" i="2"/>
  <c r="F471" i="2"/>
  <c r="I563" i="2"/>
  <c r="H563" i="2"/>
  <c r="G563" i="2"/>
  <c r="F563" i="2"/>
  <c r="E563" i="2"/>
  <c r="D563" i="2"/>
  <c r="C563" i="2"/>
  <c r="B563" i="2"/>
  <c r="A563" i="2"/>
  <c r="E125" i="2"/>
  <c r="F125" i="2"/>
  <c r="D125" i="2"/>
  <c r="C125" i="2"/>
  <c r="B125" i="2"/>
  <c r="A125" i="2"/>
  <c r="I125" i="2"/>
  <c r="G125" i="2"/>
  <c r="H125" i="2"/>
  <c r="F470" i="2"/>
  <c r="H470" i="2"/>
  <c r="G470" i="2"/>
  <c r="E470" i="2"/>
  <c r="D470" i="2"/>
  <c r="C470" i="2"/>
  <c r="B470" i="2"/>
  <c r="A470" i="2"/>
  <c r="I470" i="2"/>
  <c r="F147" i="2"/>
  <c r="E147" i="2"/>
  <c r="D147" i="2"/>
  <c r="C147" i="2"/>
  <c r="B147" i="2"/>
  <c r="A147" i="2"/>
  <c r="I147" i="2"/>
  <c r="H147" i="2"/>
  <c r="G147" i="2"/>
  <c r="I312" i="2"/>
  <c r="H312" i="2"/>
  <c r="G312" i="2"/>
  <c r="F312" i="2"/>
  <c r="E312" i="2"/>
  <c r="D312" i="2"/>
  <c r="A312" i="2"/>
  <c r="C312" i="2"/>
  <c r="B312" i="2"/>
  <c r="A128" i="2"/>
  <c r="C128" i="2"/>
  <c r="B128" i="2"/>
  <c r="I128" i="2"/>
  <c r="G128" i="2"/>
  <c r="H128" i="2"/>
  <c r="F128" i="2"/>
  <c r="E128" i="2"/>
  <c r="D128" i="2"/>
  <c r="A248" i="2"/>
  <c r="C248" i="2"/>
  <c r="B248" i="2"/>
  <c r="D248" i="2"/>
  <c r="I248" i="2"/>
  <c r="H248" i="2"/>
  <c r="G248" i="2"/>
  <c r="F248" i="2"/>
  <c r="E248" i="2"/>
  <c r="I210" i="2"/>
  <c r="G210" i="2"/>
  <c r="H210" i="2"/>
  <c r="F210" i="2"/>
  <c r="C210" i="2"/>
  <c r="B210" i="2"/>
  <c r="A210" i="2"/>
  <c r="D210" i="2"/>
  <c r="E210" i="2"/>
  <c r="H166" i="2"/>
  <c r="F166" i="2"/>
  <c r="I166" i="2"/>
  <c r="G166" i="2"/>
  <c r="E166" i="2"/>
  <c r="D166" i="2"/>
  <c r="C166" i="2"/>
  <c r="A166" i="2"/>
  <c r="B166" i="2"/>
  <c r="F259" i="2"/>
  <c r="E259" i="2"/>
  <c r="D259" i="2"/>
  <c r="C259" i="2"/>
  <c r="I259" i="2"/>
  <c r="B259" i="2"/>
  <c r="A259" i="2"/>
  <c r="H259" i="2"/>
  <c r="G259" i="2"/>
  <c r="F283" i="2"/>
  <c r="I283" i="2"/>
  <c r="H283" i="2"/>
  <c r="G283" i="2"/>
  <c r="E283" i="2"/>
  <c r="C283" i="2"/>
  <c r="B283" i="2"/>
  <c r="D283" i="2"/>
  <c r="A283" i="2"/>
  <c r="H412" i="2"/>
  <c r="F412" i="2"/>
  <c r="I412" i="2"/>
  <c r="G412" i="2"/>
  <c r="E412" i="2"/>
  <c r="D412" i="2"/>
  <c r="C412" i="2"/>
  <c r="B412" i="2"/>
  <c r="A412" i="2"/>
  <c r="A408" i="2"/>
  <c r="I408" i="2"/>
  <c r="H408" i="2"/>
  <c r="G408" i="2"/>
  <c r="F408" i="2"/>
  <c r="E408" i="2"/>
  <c r="D408" i="2"/>
  <c r="C408" i="2"/>
  <c r="B408" i="2"/>
  <c r="D557" i="2"/>
  <c r="C557" i="2"/>
  <c r="B557" i="2"/>
  <c r="A557" i="2"/>
  <c r="I557" i="2"/>
  <c r="F557" i="2"/>
  <c r="E557" i="2"/>
  <c r="H557" i="2"/>
  <c r="G557" i="2"/>
  <c r="H580" i="2"/>
  <c r="G580" i="2"/>
  <c r="F580" i="2"/>
  <c r="E580" i="2"/>
  <c r="D580" i="2"/>
  <c r="C580" i="2"/>
  <c r="B580" i="2"/>
  <c r="I580" i="2"/>
  <c r="A580" i="2"/>
  <c r="I519" i="2"/>
  <c r="H519" i="2"/>
  <c r="G519" i="2"/>
  <c r="F519" i="2"/>
  <c r="B519" i="2"/>
  <c r="E519" i="2"/>
  <c r="D519" i="2"/>
  <c r="C519" i="2"/>
  <c r="A519" i="2"/>
  <c r="I552" i="2"/>
  <c r="H552" i="2"/>
  <c r="D552" i="2"/>
  <c r="F552" i="2"/>
  <c r="E552" i="2"/>
  <c r="A552" i="2"/>
  <c r="B552" i="2"/>
  <c r="G552" i="2"/>
  <c r="C552" i="2"/>
  <c r="I579" i="2"/>
  <c r="H579" i="2"/>
  <c r="G579" i="2"/>
  <c r="F579" i="2"/>
  <c r="E579" i="2"/>
  <c r="D579" i="2"/>
  <c r="C579" i="2"/>
  <c r="B579" i="2"/>
  <c r="A579" i="2"/>
  <c r="A72" i="2"/>
  <c r="C72" i="2"/>
  <c r="H72" i="2"/>
  <c r="I72" i="2"/>
  <c r="G72" i="2"/>
  <c r="F72" i="2"/>
  <c r="E72" i="2"/>
  <c r="B72" i="2"/>
  <c r="D72" i="2"/>
  <c r="I146" i="2"/>
  <c r="G146" i="2"/>
  <c r="E146" i="2"/>
  <c r="D146" i="2"/>
  <c r="F146" i="2"/>
  <c r="C146" i="2"/>
  <c r="H146" i="2"/>
  <c r="B146" i="2"/>
  <c r="A146" i="2"/>
  <c r="C83" i="2"/>
  <c r="A83" i="2"/>
  <c r="F83" i="2"/>
  <c r="E83" i="2"/>
  <c r="D83" i="2"/>
  <c r="B83" i="2"/>
  <c r="I83" i="2"/>
  <c r="H83" i="2"/>
  <c r="G83" i="2"/>
  <c r="G540" i="2"/>
  <c r="F540" i="2"/>
  <c r="E540" i="2"/>
  <c r="D540" i="2"/>
  <c r="C540" i="2"/>
  <c r="B540" i="2"/>
  <c r="H540" i="2"/>
  <c r="I540" i="2"/>
  <c r="A540" i="2"/>
  <c r="H230" i="2"/>
  <c r="I230" i="2"/>
  <c r="G230" i="2"/>
  <c r="B230" i="2"/>
  <c r="D230" i="2"/>
  <c r="C230" i="2"/>
  <c r="A230" i="2"/>
  <c r="E230" i="2"/>
  <c r="F230" i="2"/>
  <c r="I440" i="2"/>
  <c r="H440" i="2"/>
  <c r="G440" i="2"/>
  <c r="F440" i="2"/>
  <c r="E440" i="2"/>
  <c r="D440" i="2"/>
  <c r="A440" i="2"/>
  <c r="C440" i="2"/>
  <c r="B440" i="2"/>
  <c r="E47" i="2"/>
  <c r="C47" i="2"/>
  <c r="I47" i="2"/>
  <c r="G47" i="2"/>
  <c r="H47" i="2"/>
  <c r="F47" i="2"/>
  <c r="D47" i="2"/>
  <c r="A47" i="2"/>
  <c r="B47" i="2"/>
  <c r="I59" i="2"/>
  <c r="H59" i="2"/>
  <c r="F59" i="2"/>
  <c r="E59" i="2"/>
  <c r="D59" i="2"/>
  <c r="C59" i="2"/>
  <c r="G59" i="2"/>
  <c r="B59" i="2"/>
  <c r="A59" i="2"/>
  <c r="I575" i="2"/>
  <c r="H575" i="2"/>
  <c r="G575" i="2"/>
  <c r="F575" i="2"/>
  <c r="E575" i="2"/>
  <c r="D575" i="2"/>
  <c r="A575" i="2"/>
  <c r="C575" i="2"/>
  <c r="B575" i="2"/>
  <c r="H501" i="2"/>
  <c r="G501" i="2"/>
  <c r="F501" i="2"/>
  <c r="E501" i="2"/>
  <c r="D501" i="2"/>
  <c r="C501" i="2"/>
  <c r="I501" i="2"/>
  <c r="A501" i="2"/>
  <c r="B501" i="2"/>
  <c r="I32" i="2"/>
  <c r="H32" i="2"/>
  <c r="D32" i="2"/>
  <c r="A32" i="2"/>
  <c r="G32" i="2"/>
  <c r="F32" i="2"/>
  <c r="B32" i="2"/>
  <c r="C32" i="2"/>
  <c r="E32" i="2"/>
  <c r="B433" i="2"/>
  <c r="C433" i="2"/>
  <c r="A433" i="2"/>
  <c r="I433" i="2"/>
  <c r="H433" i="2"/>
  <c r="G433" i="2"/>
  <c r="F433" i="2"/>
  <c r="E433" i="2"/>
  <c r="D433" i="2"/>
  <c r="B570" i="2"/>
  <c r="A570" i="2"/>
  <c r="C570" i="2"/>
  <c r="H570" i="2"/>
  <c r="E570" i="2"/>
  <c r="D570" i="2"/>
  <c r="I570" i="2"/>
  <c r="G570" i="2"/>
  <c r="F570" i="2"/>
  <c r="A517" i="2"/>
  <c r="I517" i="2"/>
  <c r="H517" i="2"/>
  <c r="G517" i="2"/>
  <c r="F517" i="2"/>
  <c r="E517" i="2"/>
  <c r="B517" i="2"/>
  <c r="D517" i="2"/>
  <c r="C517" i="2"/>
  <c r="G424" i="2"/>
  <c r="E424" i="2"/>
  <c r="C424" i="2"/>
  <c r="A424" i="2"/>
  <c r="I424" i="2"/>
  <c r="F424" i="2"/>
  <c r="D424" i="2"/>
  <c r="B424" i="2"/>
  <c r="H424" i="2"/>
  <c r="B521" i="2"/>
  <c r="A521" i="2"/>
  <c r="I521" i="2"/>
  <c r="F521" i="2"/>
  <c r="H521" i="2"/>
  <c r="G521" i="2"/>
  <c r="E521" i="2"/>
  <c r="C521" i="2"/>
  <c r="D521" i="2"/>
  <c r="F550" i="2"/>
  <c r="E550" i="2"/>
  <c r="D550" i="2"/>
  <c r="C550" i="2"/>
  <c r="B550" i="2"/>
  <c r="I550" i="2"/>
  <c r="H550" i="2"/>
  <c r="G550" i="2"/>
  <c r="A550" i="2"/>
  <c r="I568" i="2"/>
  <c r="H568" i="2"/>
  <c r="G568" i="2"/>
  <c r="F568" i="2"/>
  <c r="E568" i="2"/>
  <c r="D568" i="2"/>
  <c r="C568" i="2"/>
  <c r="B568" i="2"/>
  <c r="A568" i="2"/>
  <c r="I608" i="2"/>
  <c r="H608" i="2"/>
  <c r="G608" i="2"/>
  <c r="F608" i="2"/>
  <c r="E608" i="2"/>
  <c r="B608" i="2"/>
  <c r="D608" i="2"/>
  <c r="C608" i="2"/>
  <c r="A608" i="2"/>
  <c r="B344" i="2"/>
  <c r="E344" i="2"/>
  <c r="D344" i="2"/>
  <c r="C344" i="2"/>
  <c r="A344" i="2"/>
  <c r="I344" i="2"/>
  <c r="F344" i="2"/>
  <c r="H344" i="2"/>
  <c r="G344" i="2"/>
  <c r="G129" i="2"/>
  <c r="F129" i="2"/>
  <c r="D129" i="2"/>
  <c r="E129" i="2"/>
  <c r="A129" i="2"/>
  <c r="C129" i="2"/>
  <c r="B129" i="2"/>
  <c r="I129" i="2"/>
  <c r="H129" i="2"/>
  <c r="A201" i="2"/>
  <c r="I201" i="2"/>
  <c r="H201" i="2"/>
  <c r="G201" i="2"/>
  <c r="B201" i="2"/>
  <c r="E201" i="2"/>
  <c r="D201" i="2"/>
  <c r="C201" i="2"/>
  <c r="F201" i="2"/>
  <c r="I578" i="2"/>
  <c r="A578" i="2"/>
  <c r="F578" i="2"/>
  <c r="E578" i="2"/>
  <c r="D578" i="2"/>
  <c r="C578" i="2"/>
  <c r="B578" i="2"/>
  <c r="H578" i="2"/>
  <c r="G578" i="2"/>
  <c r="I328" i="2"/>
  <c r="H328" i="2"/>
  <c r="G328" i="2"/>
  <c r="F328" i="2"/>
  <c r="E328" i="2"/>
  <c r="C328" i="2"/>
  <c r="A328" i="2"/>
  <c r="D328" i="2"/>
  <c r="B328" i="2"/>
  <c r="G415" i="2"/>
  <c r="E415" i="2"/>
  <c r="I415" i="2"/>
  <c r="H415" i="2"/>
  <c r="F415" i="2"/>
  <c r="D415" i="2"/>
  <c r="C415" i="2"/>
  <c r="A415" i="2"/>
  <c r="B415" i="2"/>
  <c r="I337" i="2"/>
  <c r="G337" i="2"/>
  <c r="F337" i="2"/>
  <c r="E337" i="2"/>
  <c r="D337" i="2"/>
  <c r="H337" i="2"/>
  <c r="B337" i="2"/>
  <c r="C337" i="2"/>
  <c r="A337" i="2"/>
  <c r="I432" i="2"/>
  <c r="H432" i="2"/>
  <c r="G432" i="2"/>
  <c r="D432" i="2"/>
  <c r="C432" i="2"/>
  <c r="B432" i="2"/>
  <c r="F432" i="2"/>
  <c r="E432" i="2"/>
  <c r="A432" i="2"/>
  <c r="F604" i="2"/>
  <c r="A604" i="2"/>
  <c r="H604" i="2"/>
  <c r="G604" i="2"/>
  <c r="C604" i="2"/>
  <c r="B604" i="2"/>
  <c r="I604" i="2"/>
  <c r="E604" i="2"/>
  <c r="D604" i="2"/>
  <c r="D174" i="2"/>
  <c r="C174" i="2"/>
  <c r="B174" i="2"/>
  <c r="A174" i="2"/>
  <c r="G174" i="2"/>
  <c r="F174" i="2"/>
  <c r="E174" i="2"/>
  <c r="I174" i="2"/>
  <c r="H174" i="2"/>
  <c r="H44" i="2"/>
  <c r="F44" i="2"/>
  <c r="D44" i="2"/>
  <c r="C44" i="2"/>
  <c r="B44" i="2"/>
  <c r="A44" i="2"/>
  <c r="E44" i="2"/>
  <c r="I44" i="2"/>
  <c r="G44" i="2"/>
  <c r="C351" i="2"/>
  <c r="A351" i="2"/>
  <c r="I351" i="2"/>
  <c r="H351" i="2"/>
  <c r="G351" i="2"/>
  <c r="F351" i="2"/>
  <c r="D351" i="2"/>
  <c r="E351" i="2"/>
  <c r="B351" i="2"/>
  <c r="F430" i="2"/>
  <c r="A430" i="2"/>
  <c r="B430" i="2"/>
  <c r="I430" i="2"/>
  <c r="H430" i="2"/>
  <c r="G430" i="2"/>
  <c r="E430" i="2"/>
  <c r="D430" i="2"/>
  <c r="C430" i="2"/>
  <c r="B553" i="2"/>
  <c r="A553" i="2"/>
  <c r="I553" i="2"/>
  <c r="H553" i="2"/>
  <c r="D553" i="2"/>
  <c r="G553" i="2"/>
  <c r="C553" i="2"/>
  <c r="F553" i="2"/>
  <c r="E553" i="2"/>
  <c r="I576" i="2"/>
  <c r="F576" i="2"/>
  <c r="E576" i="2"/>
  <c r="D576" i="2"/>
  <c r="C576" i="2"/>
  <c r="B576" i="2"/>
  <c r="A576" i="2"/>
  <c r="H576" i="2"/>
  <c r="G576" i="2"/>
  <c r="C343" i="2"/>
  <c r="A343" i="2"/>
  <c r="H343" i="2"/>
  <c r="G343" i="2"/>
  <c r="F343" i="2"/>
  <c r="E343" i="2"/>
  <c r="D343" i="2"/>
  <c r="B343" i="2"/>
  <c r="I343" i="2"/>
  <c r="G285" i="2"/>
  <c r="F285" i="2"/>
  <c r="E285" i="2"/>
  <c r="D285" i="2"/>
  <c r="C285" i="2"/>
  <c r="B285" i="2"/>
  <c r="A285" i="2"/>
  <c r="I285" i="2"/>
  <c r="H285" i="2"/>
  <c r="C472" i="2"/>
  <c r="B472" i="2"/>
  <c r="A472" i="2"/>
  <c r="I472" i="2"/>
  <c r="H472" i="2"/>
  <c r="G472" i="2"/>
  <c r="F472" i="2"/>
  <c r="D472" i="2"/>
  <c r="E472" i="2"/>
  <c r="H354" i="2"/>
  <c r="D354" i="2"/>
  <c r="G354" i="2"/>
  <c r="F354" i="2"/>
  <c r="E354" i="2"/>
  <c r="C354" i="2"/>
  <c r="B354" i="2"/>
  <c r="A354" i="2"/>
  <c r="I354" i="2"/>
  <c r="D383" i="2"/>
  <c r="B383" i="2"/>
  <c r="H383" i="2"/>
  <c r="F383" i="2"/>
  <c r="I383" i="2"/>
  <c r="G383" i="2"/>
  <c r="E383" i="2"/>
  <c r="C383" i="2"/>
  <c r="A383" i="2"/>
  <c r="I515" i="2"/>
  <c r="H515" i="2"/>
  <c r="G515" i="2"/>
  <c r="F515" i="2"/>
  <c r="A515" i="2"/>
  <c r="E515" i="2"/>
  <c r="D515" i="2"/>
  <c r="C515" i="2"/>
  <c r="B515" i="2"/>
  <c r="H535" i="2"/>
  <c r="G535" i="2"/>
  <c r="F535" i="2"/>
  <c r="E535" i="2"/>
  <c r="D535" i="2"/>
  <c r="C535" i="2"/>
  <c r="B535" i="2"/>
  <c r="A535" i="2"/>
  <c r="I535" i="2"/>
  <c r="B529" i="2"/>
  <c r="A529" i="2"/>
  <c r="F529" i="2"/>
  <c r="E529" i="2"/>
  <c r="D529" i="2"/>
  <c r="C529" i="2"/>
  <c r="G529" i="2"/>
  <c r="I529" i="2"/>
  <c r="H529" i="2"/>
  <c r="I539" i="2"/>
  <c r="H539" i="2"/>
  <c r="G539" i="2"/>
  <c r="F539" i="2"/>
  <c r="E539" i="2"/>
  <c r="B539" i="2"/>
  <c r="C539" i="2"/>
  <c r="A539" i="2"/>
  <c r="D539" i="2"/>
  <c r="H225" i="2"/>
  <c r="G225" i="2"/>
  <c r="F225" i="2"/>
  <c r="E225" i="2"/>
  <c r="D225" i="2"/>
  <c r="C225" i="2"/>
  <c r="B225" i="2"/>
  <c r="A225" i="2"/>
  <c r="I225" i="2"/>
  <c r="B520" i="2"/>
  <c r="A520" i="2"/>
  <c r="C520" i="2"/>
  <c r="G520" i="2"/>
  <c r="F520" i="2"/>
  <c r="E520" i="2"/>
  <c r="D520" i="2"/>
  <c r="H520" i="2"/>
  <c r="I520" i="2"/>
  <c r="G372" i="2"/>
  <c r="E372" i="2"/>
  <c r="B372" i="2"/>
  <c r="C372" i="2"/>
  <c r="I372" i="2"/>
  <c r="D372" i="2"/>
  <c r="A372" i="2"/>
  <c r="F372" i="2"/>
  <c r="H372" i="2"/>
  <c r="C223" i="2"/>
  <c r="B223" i="2"/>
  <c r="A223" i="2"/>
  <c r="G223" i="2"/>
  <c r="F223" i="2"/>
  <c r="I223" i="2"/>
  <c r="H223" i="2"/>
  <c r="D223" i="2"/>
  <c r="E223" i="2"/>
  <c r="C485" i="2"/>
  <c r="B485" i="2"/>
  <c r="A485" i="2"/>
  <c r="E485" i="2"/>
  <c r="D485" i="2"/>
  <c r="H485" i="2"/>
  <c r="G485" i="2"/>
  <c r="I485" i="2"/>
  <c r="F485" i="2"/>
  <c r="I111" i="2"/>
  <c r="H111" i="2"/>
  <c r="G111" i="2"/>
  <c r="F111" i="2"/>
  <c r="E111" i="2"/>
  <c r="A111" i="2"/>
  <c r="D111" i="2"/>
  <c r="C111" i="2"/>
  <c r="B111" i="2"/>
  <c r="D219" i="2"/>
  <c r="C219" i="2"/>
  <c r="B219" i="2"/>
  <c r="A219" i="2"/>
  <c r="E219" i="2"/>
  <c r="I219" i="2"/>
  <c r="H219" i="2"/>
  <c r="G219" i="2"/>
  <c r="F219" i="2"/>
  <c r="I594" i="2"/>
  <c r="H594" i="2"/>
  <c r="G594" i="2"/>
  <c r="F594" i="2"/>
  <c r="E594" i="2"/>
  <c r="D594" i="2"/>
  <c r="A594" i="2"/>
  <c r="C594" i="2"/>
  <c r="B594" i="2"/>
  <c r="G532" i="2"/>
  <c r="F532" i="2"/>
  <c r="E532" i="2"/>
  <c r="D532" i="2"/>
  <c r="C532" i="2"/>
  <c r="B532" i="2"/>
  <c r="I532" i="2"/>
  <c r="H532" i="2"/>
  <c r="A532" i="2"/>
  <c r="I130" i="2"/>
  <c r="G130" i="2"/>
  <c r="D130" i="2"/>
  <c r="C130" i="2"/>
  <c r="E130" i="2"/>
  <c r="B130" i="2"/>
  <c r="A130" i="2"/>
  <c r="H130" i="2"/>
  <c r="F130" i="2"/>
  <c r="A192" i="2"/>
  <c r="B192" i="2"/>
  <c r="G192" i="2"/>
  <c r="F192" i="2"/>
  <c r="E192" i="2"/>
  <c r="I192" i="2"/>
  <c r="H192" i="2"/>
  <c r="D192" i="2"/>
  <c r="C192" i="2"/>
  <c r="I122" i="2"/>
  <c r="H122" i="2"/>
  <c r="G122" i="2"/>
  <c r="C122" i="2"/>
  <c r="A122" i="2"/>
  <c r="E122" i="2"/>
  <c r="B122" i="2"/>
  <c r="D122" i="2"/>
  <c r="F122" i="2"/>
  <c r="C105" i="2"/>
  <c r="A105" i="2"/>
  <c r="H105" i="2"/>
  <c r="G105" i="2"/>
  <c r="F105" i="2"/>
  <c r="E105" i="2"/>
  <c r="B105" i="2"/>
  <c r="D105" i="2"/>
  <c r="I105" i="2"/>
  <c r="B481" i="2"/>
  <c r="G481" i="2"/>
  <c r="F481" i="2"/>
  <c r="E481" i="2"/>
  <c r="D481" i="2"/>
  <c r="C481" i="2"/>
  <c r="A481" i="2"/>
  <c r="I481" i="2"/>
  <c r="H481" i="2"/>
  <c r="G506" i="2"/>
  <c r="I506" i="2"/>
  <c r="E506" i="2"/>
  <c r="A506" i="2"/>
  <c r="D506" i="2"/>
  <c r="C506" i="2"/>
  <c r="B506" i="2"/>
  <c r="F506" i="2"/>
  <c r="H506" i="2"/>
  <c r="I148" i="2"/>
  <c r="H148" i="2"/>
  <c r="G148" i="2"/>
  <c r="C148" i="2"/>
  <c r="F148" i="2"/>
  <c r="E148" i="2"/>
  <c r="D148" i="2"/>
  <c r="B148" i="2"/>
  <c r="A148" i="2"/>
  <c r="B586" i="2"/>
  <c r="A586" i="2"/>
  <c r="I586" i="2"/>
  <c r="H586" i="2"/>
  <c r="E586" i="2"/>
  <c r="F586" i="2"/>
  <c r="G586" i="2"/>
  <c r="D586" i="2"/>
  <c r="C586" i="2"/>
  <c r="I114" i="2"/>
  <c r="H114" i="2"/>
  <c r="G114" i="2"/>
  <c r="E114" i="2"/>
  <c r="D114" i="2"/>
  <c r="C114" i="2"/>
  <c r="A114" i="2"/>
  <c r="F114" i="2"/>
  <c r="B114" i="2"/>
  <c r="I371" i="2"/>
  <c r="H371" i="2"/>
  <c r="G371" i="2"/>
  <c r="F371" i="2"/>
  <c r="E371" i="2"/>
  <c r="B371" i="2"/>
  <c r="C371" i="2"/>
  <c r="A371" i="2"/>
  <c r="D371" i="2"/>
  <c r="I233" i="2"/>
  <c r="H233" i="2"/>
  <c r="G233" i="2"/>
  <c r="D233" i="2"/>
  <c r="A233" i="2"/>
  <c r="B233" i="2"/>
  <c r="C233" i="2"/>
  <c r="E233" i="2"/>
  <c r="F233" i="2"/>
  <c r="H605" i="2"/>
  <c r="G605" i="2"/>
  <c r="F605" i="2"/>
  <c r="E605" i="2"/>
  <c r="D605" i="2"/>
  <c r="C605" i="2"/>
  <c r="B605" i="2"/>
  <c r="I605" i="2"/>
  <c r="A605" i="2"/>
  <c r="B449" i="2"/>
  <c r="E449" i="2"/>
  <c r="D449" i="2"/>
  <c r="C449" i="2"/>
  <c r="I449" i="2"/>
  <c r="F449" i="2"/>
  <c r="A449" i="2"/>
  <c r="G449" i="2"/>
  <c r="H449" i="2"/>
  <c r="I543" i="2"/>
  <c r="G543" i="2"/>
  <c r="F543" i="2"/>
  <c r="E543" i="2"/>
  <c r="D543" i="2"/>
  <c r="C543" i="2"/>
  <c r="B543" i="2"/>
  <c r="A543" i="2"/>
  <c r="H543" i="2"/>
  <c r="F566" i="2"/>
  <c r="E566" i="2"/>
  <c r="D566" i="2"/>
  <c r="C566" i="2"/>
  <c r="B566" i="2"/>
  <c r="A566" i="2"/>
  <c r="I566" i="2"/>
  <c r="G566" i="2"/>
  <c r="H566" i="2"/>
  <c r="I584" i="2"/>
  <c r="H584" i="2"/>
  <c r="G584" i="2"/>
  <c r="F584" i="2"/>
  <c r="E584" i="2"/>
  <c r="D584" i="2"/>
  <c r="C584" i="2"/>
  <c r="B584" i="2"/>
  <c r="A584" i="2"/>
  <c r="A184" i="2"/>
  <c r="F184" i="2"/>
  <c r="E184" i="2"/>
  <c r="D184" i="2"/>
  <c r="C184" i="2"/>
  <c r="B184" i="2"/>
  <c r="I184" i="2"/>
  <c r="G184" i="2"/>
  <c r="H184" i="2"/>
  <c r="I66" i="2"/>
  <c r="H66" i="2"/>
  <c r="F66" i="2"/>
  <c r="D66" i="2"/>
  <c r="G66" i="2"/>
  <c r="C66" i="2"/>
  <c r="B66" i="2"/>
  <c r="A66" i="2"/>
  <c r="E66" i="2"/>
  <c r="F339" i="2"/>
  <c r="E339" i="2"/>
  <c r="D339" i="2"/>
  <c r="C339" i="2"/>
  <c r="B339" i="2"/>
  <c r="A339" i="2"/>
  <c r="I339" i="2"/>
  <c r="H339" i="2"/>
  <c r="G339" i="2"/>
  <c r="I249" i="2"/>
  <c r="H249" i="2"/>
  <c r="E249" i="2"/>
  <c r="B249" i="2"/>
  <c r="A249" i="2"/>
  <c r="G249" i="2"/>
  <c r="C249" i="2"/>
  <c r="F249" i="2"/>
  <c r="D249" i="2"/>
  <c r="F486" i="2"/>
  <c r="E486" i="2"/>
  <c r="I486" i="2"/>
  <c r="C486" i="2"/>
  <c r="G486" i="2"/>
  <c r="A486" i="2"/>
  <c r="H486" i="2"/>
  <c r="D486" i="2"/>
  <c r="B486" i="2"/>
  <c r="F9" i="2"/>
  <c r="F6" i="2"/>
  <c r="F8" i="2"/>
  <c r="B13" i="2"/>
  <c r="F7" i="2"/>
  <c r="F10" i="2"/>
  <c r="B452" i="2"/>
  <c r="A452" i="2"/>
  <c r="I452" i="2"/>
  <c r="H452" i="2"/>
  <c r="G452" i="2"/>
  <c r="F452" i="2"/>
  <c r="E452" i="2"/>
  <c r="D452" i="2"/>
  <c r="C452" i="2"/>
  <c r="I606" i="2"/>
  <c r="H606" i="2"/>
  <c r="E606" i="2"/>
  <c r="G606" i="2"/>
  <c r="F606" i="2"/>
  <c r="D606" i="2"/>
  <c r="C606" i="2"/>
  <c r="B606" i="2"/>
  <c r="A606" i="2"/>
  <c r="B569" i="2"/>
  <c r="A569" i="2"/>
  <c r="I569" i="2"/>
  <c r="H569" i="2"/>
  <c r="G569" i="2"/>
  <c r="F569" i="2"/>
  <c r="D569" i="2"/>
  <c r="E569" i="2"/>
  <c r="C569" i="2"/>
  <c r="I592" i="2"/>
  <c r="F592" i="2"/>
  <c r="E592" i="2"/>
  <c r="D592" i="2"/>
  <c r="C592" i="2"/>
  <c r="B592" i="2"/>
  <c r="A592" i="2"/>
  <c r="H592" i="2"/>
  <c r="G592" i="2"/>
  <c r="A175" i="2"/>
  <c r="H175" i="2"/>
  <c r="C175" i="2"/>
  <c r="I175" i="2"/>
  <c r="F175" i="2"/>
  <c r="D175" i="2"/>
  <c r="B175" i="2"/>
  <c r="G175" i="2"/>
  <c r="E175" i="2"/>
  <c r="I476" i="2"/>
  <c r="H476" i="2"/>
  <c r="G476" i="2"/>
  <c r="D476" i="2"/>
  <c r="C476" i="2"/>
  <c r="B476" i="2"/>
  <c r="A476" i="2"/>
  <c r="F476" i="2"/>
  <c r="E476" i="2"/>
  <c r="B227" i="2"/>
  <c r="A227" i="2"/>
  <c r="G227" i="2"/>
  <c r="D227" i="2"/>
  <c r="C227" i="2"/>
  <c r="E227" i="2"/>
  <c r="F227" i="2"/>
  <c r="I227" i="2"/>
  <c r="H227" i="2"/>
  <c r="I490" i="2"/>
  <c r="H490" i="2"/>
  <c r="G490" i="2"/>
  <c r="F490" i="2"/>
  <c r="B490" i="2"/>
  <c r="A490" i="2"/>
  <c r="E490" i="2"/>
  <c r="D490" i="2"/>
  <c r="C490" i="2"/>
  <c r="I499" i="2"/>
  <c r="E499" i="2"/>
  <c r="D499" i="2"/>
  <c r="C499" i="2"/>
  <c r="B499" i="2"/>
  <c r="A499" i="2"/>
  <c r="H499" i="2"/>
  <c r="G499" i="2"/>
  <c r="F499" i="2"/>
  <c r="I369" i="2"/>
  <c r="E369" i="2"/>
  <c r="C369" i="2"/>
  <c r="H369" i="2"/>
  <c r="A369" i="2"/>
  <c r="D369" i="2"/>
  <c r="B369" i="2"/>
  <c r="F369" i="2"/>
  <c r="G369" i="2"/>
  <c r="H296" i="2"/>
  <c r="G296" i="2"/>
  <c r="F296" i="2"/>
  <c r="E296" i="2"/>
  <c r="D296" i="2"/>
  <c r="A296" i="2"/>
  <c r="I296" i="2"/>
  <c r="C296" i="2"/>
  <c r="B296" i="2"/>
  <c r="A251" i="2"/>
  <c r="E251" i="2"/>
  <c r="D251" i="2"/>
  <c r="C251" i="2"/>
  <c r="B251" i="2"/>
  <c r="H251" i="2"/>
  <c r="I251" i="2"/>
  <c r="G251" i="2"/>
  <c r="F251" i="2"/>
  <c r="H307" i="2"/>
  <c r="A307" i="2"/>
  <c r="E307" i="2"/>
  <c r="D307" i="2"/>
  <c r="C307" i="2"/>
  <c r="B307" i="2"/>
  <c r="G307" i="2"/>
  <c r="F307" i="2"/>
  <c r="I307" i="2"/>
  <c r="I531" i="2"/>
  <c r="H531" i="2"/>
  <c r="G531" i="2"/>
  <c r="F531" i="2"/>
  <c r="E531" i="2"/>
  <c r="D531" i="2"/>
  <c r="C531" i="2"/>
  <c r="B531" i="2"/>
  <c r="A531" i="2"/>
  <c r="I503" i="2"/>
  <c r="H503" i="2"/>
  <c r="G503" i="2"/>
  <c r="F503" i="2"/>
  <c r="E503" i="2"/>
  <c r="A503" i="2"/>
  <c r="D503" i="2"/>
  <c r="C503" i="2"/>
  <c r="B503" i="2"/>
  <c r="D257" i="2"/>
  <c r="C257" i="2"/>
  <c r="B257" i="2"/>
  <c r="A257" i="2"/>
  <c r="E257" i="2"/>
  <c r="I257" i="2"/>
  <c r="H257" i="2"/>
  <c r="G257" i="2"/>
  <c r="F257" i="2"/>
  <c r="I547" i="2"/>
  <c r="H547" i="2"/>
  <c r="G547" i="2"/>
  <c r="F547" i="2"/>
  <c r="E547" i="2"/>
  <c r="D547" i="2"/>
  <c r="C547" i="2"/>
  <c r="B547" i="2"/>
  <c r="A547" i="2"/>
  <c r="B298" i="2"/>
  <c r="A298" i="2"/>
  <c r="H298" i="2"/>
  <c r="G298" i="2"/>
  <c r="F298" i="2"/>
  <c r="E298" i="2"/>
  <c r="D298" i="2"/>
  <c r="C298" i="2"/>
  <c r="I298" i="2"/>
  <c r="I484" i="2"/>
  <c r="H484" i="2"/>
  <c r="G484" i="2"/>
  <c r="F484" i="2"/>
  <c r="E484" i="2"/>
  <c r="D484" i="2"/>
  <c r="C484" i="2"/>
  <c r="A484" i="2"/>
  <c r="B484" i="2"/>
  <c r="G145" i="2"/>
  <c r="F145" i="2"/>
  <c r="E145" i="2"/>
  <c r="D145" i="2"/>
  <c r="C145" i="2"/>
  <c r="B145" i="2"/>
  <c r="I145" i="2"/>
  <c r="H145" i="2"/>
  <c r="A145" i="2"/>
  <c r="C375" i="2"/>
  <c r="A375" i="2"/>
  <c r="I375" i="2"/>
  <c r="H375" i="2"/>
  <c r="G375" i="2"/>
  <c r="F375" i="2"/>
  <c r="E375" i="2"/>
  <c r="D375" i="2"/>
  <c r="B375" i="2"/>
  <c r="E28" i="2"/>
  <c r="C28" i="2"/>
  <c r="D28" i="2"/>
  <c r="B28" i="2"/>
  <c r="A28" i="2"/>
  <c r="H28" i="2"/>
  <c r="I28" i="2"/>
  <c r="F28" i="2"/>
  <c r="G28" i="2"/>
  <c r="G207" i="2"/>
  <c r="F207" i="2"/>
  <c r="E207" i="2"/>
  <c r="D207" i="2"/>
  <c r="C207" i="2"/>
  <c r="B207" i="2"/>
  <c r="I207" i="2"/>
  <c r="H207" i="2"/>
  <c r="A207" i="2"/>
  <c r="F284" i="2"/>
  <c r="E284" i="2"/>
  <c r="D284" i="2"/>
  <c r="C284" i="2"/>
  <c r="B284" i="2"/>
  <c r="A284" i="2"/>
  <c r="I284" i="2"/>
  <c r="H284" i="2"/>
  <c r="G284" i="2"/>
  <c r="G556" i="2"/>
  <c r="D556" i="2"/>
  <c r="A556" i="2"/>
  <c r="E556" i="2"/>
  <c r="F556" i="2"/>
  <c r="C556" i="2"/>
  <c r="H556" i="2"/>
  <c r="B556" i="2"/>
  <c r="I556" i="2"/>
  <c r="I151" i="2"/>
  <c r="F151" i="2"/>
  <c r="E151" i="2"/>
  <c r="A151" i="2"/>
  <c r="D151" i="2"/>
  <c r="H151" i="2"/>
  <c r="B151" i="2"/>
  <c r="C151" i="2"/>
  <c r="G151" i="2"/>
  <c r="A256" i="2"/>
  <c r="H256" i="2"/>
  <c r="G256" i="2"/>
  <c r="F256" i="2"/>
  <c r="E256" i="2"/>
  <c r="I256" i="2"/>
  <c r="D256" i="2"/>
  <c r="C256" i="2"/>
  <c r="B256" i="2"/>
  <c r="E103" i="2"/>
  <c r="D103" i="2"/>
  <c r="C103" i="2"/>
  <c r="B103" i="2"/>
  <c r="H103" i="2"/>
  <c r="A103" i="2"/>
  <c r="I103" i="2"/>
  <c r="G103" i="2"/>
  <c r="F103" i="2"/>
  <c r="H421" i="2"/>
  <c r="D421" i="2"/>
  <c r="B421" i="2"/>
  <c r="I421" i="2"/>
  <c r="G421" i="2"/>
  <c r="F421" i="2"/>
  <c r="C421" i="2"/>
  <c r="E421" i="2"/>
  <c r="A421" i="2"/>
  <c r="B583" i="2"/>
  <c r="A583" i="2"/>
  <c r="I583" i="2"/>
  <c r="F583" i="2"/>
  <c r="E583" i="2"/>
  <c r="H583" i="2"/>
  <c r="G583" i="2"/>
  <c r="D583" i="2"/>
  <c r="C583" i="2"/>
  <c r="A512" i="2"/>
  <c r="I512" i="2"/>
  <c r="C512" i="2"/>
  <c r="E512" i="2"/>
  <c r="D512" i="2"/>
  <c r="B512" i="2"/>
  <c r="F512" i="2"/>
  <c r="G512" i="2"/>
  <c r="H512" i="2"/>
  <c r="A511" i="2"/>
  <c r="I511" i="2"/>
  <c r="H511" i="2"/>
  <c r="G511" i="2"/>
  <c r="F511" i="2"/>
  <c r="E511" i="2"/>
  <c r="D511" i="2"/>
  <c r="C511" i="2"/>
  <c r="B511" i="2"/>
  <c r="D187" i="2"/>
  <c r="C187" i="2"/>
  <c r="B187" i="2"/>
  <c r="A187" i="2"/>
  <c r="I187" i="2"/>
  <c r="H187" i="2"/>
  <c r="G187" i="2"/>
  <c r="F187" i="2"/>
  <c r="E187" i="2"/>
  <c r="I555" i="2"/>
  <c r="H555" i="2"/>
  <c r="G555" i="2"/>
  <c r="F555" i="2"/>
  <c r="E555" i="2"/>
  <c r="A555" i="2"/>
  <c r="D555" i="2"/>
  <c r="C555" i="2"/>
  <c r="B555" i="2"/>
  <c r="A330" i="2"/>
  <c r="F330" i="2"/>
  <c r="E330" i="2"/>
  <c r="D330" i="2"/>
  <c r="C330" i="2"/>
  <c r="B330" i="2"/>
  <c r="I330" i="2"/>
  <c r="H330" i="2"/>
  <c r="G330" i="2"/>
  <c r="G380" i="2"/>
  <c r="E380" i="2"/>
  <c r="I380" i="2"/>
  <c r="F380" i="2"/>
  <c r="C380" i="2"/>
  <c r="B380" i="2"/>
  <c r="A380" i="2"/>
  <c r="H380" i="2"/>
  <c r="D380" i="2"/>
  <c r="I281" i="2"/>
  <c r="H281" i="2"/>
  <c r="G281" i="2"/>
  <c r="F281" i="2"/>
  <c r="E281" i="2"/>
  <c r="C281" i="2"/>
  <c r="B281" i="2"/>
  <c r="D281" i="2"/>
  <c r="A281" i="2"/>
  <c r="I26" i="2"/>
  <c r="H26" i="2"/>
  <c r="G26" i="2"/>
  <c r="E26" i="2"/>
  <c r="B26" i="2"/>
  <c r="A26" i="2"/>
  <c r="F26" i="2"/>
  <c r="D26" i="2"/>
  <c r="C26" i="2"/>
  <c r="G407" i="2"/>
  <c r="F407" i="2"/>
  <c r="C407" i="2"/>
  <c r="B407" i="2"/>
  <c r="I407" i="2"/>
  <c r="H407" i="2"/>
  <c r="E407" i="2"/>
  <c r="D407" i="2"/>
  <c r="A407" i="2"/>
  <c r="I239" i="2"/>
  <c r="H239" i="2"/>
  <c r="G239" i="2"/>
  <c r="F239" i="2"/>
  <c r="E239" i="2"/>
  <c r="D239" i="2"/>
  <c r="C239" i="2"/>
  <c r="B239" i="2"/>
  <c r="A239" i="2"/>
  <c r="B497" i="2"/>
  <c r="A497" i="2"/>
  <c r="G497" i="2"/>
  <c r="C497" i="2"/>
  <c r="E497" i="2"/>
  <c r="D497" i="2"/>
  <c r="H497" i="2"/>
  <c r="I497" i="2"/>
  <c r="F497" i="2"/>
  <c r="I191" i="2"/>
  <c r="H191" i="2"/>
  <c r="G191" i="2"/>
  <c r="D191" i="2"/>
  <c r="C191" i="2"/>
  <c r="E191" i="2"/>
  <c r="B191" i="2"/>
  <c r="F191" i="2"/>
  <c r="A191" i="2"/>
  <c r="A88" i="2"/>
  <c r="I88" i="2"/>
  <c r="G88" i="2"/>
  <c r="H88" i="2"/>
  <c r="F88" i="2"/>
  <c r="E88" i="2"/>
  <c r="D88" i="2"/>
  <c r="B88" i="2"/>
  <c r="C88" i="2"/>
  <c r="I306" i="2"/>
  <c r="H306" i="2"/>
  <c r="G306" i="2"/>
  <c r="F306" i="2"/>
  <c r="B306" i="2"/>
  <c r="A306" i="2"/>
  <c r="E306" i="2"/>
  <c r="D306" i="2"/>
  <c r="C306" i="2"/>
  <c r="E149" i="2"/>
  <c r="C149" i="2"/>
  <c r="H149" i="2"/>
  <c r="I149" i="2"/>
  <c r="A149" i="2"/>
  <c r="G149" i="2"/>
  <c r="F149" i="2"/>
  <c r="D149" i="2"/>
  <c r="B149" i="2"/>
  <c r="I527" i="2"/>
  <c r="E527" i="2"/>
  <c r="H527" i="2"/>
  <c r="G527" i="2"/>
  <c r="F527" i="2"/>
  <c r="D527" i="2"/>
  <c r="C527" i="2"/>
  <c r="A527" i="2"/>
  <c r="B527" i="2"/>
  <c r="F494" i="2"/>
  <c r="E494" i="2"/>
  <c r="I494" i="2"/>
  <c r="H494" i="2"/>
  <c r="A494" i="2"/>
  <c r="G494" i="2"/>
  <c r="D494" i="2"/>
  <c r="C494" i="2"/>
  <c r="B494" i="2"/>
  <c r="B585" i="2"/>
  <c r="A585" i="2"/>
  <c r="I585" i="2"/>
  <c r="E585" i="2"/>
  <c r="C585" i="2"/>
  <c r="D585" i="2"/>
  <c r="G585" i="2"/>
  <c r="H585" i="2"/>
  <c r="F585" i="2"/>
  <c r="I595" i="2"/>
  <c r="H595" i="2"/>
  <c r="G595" i="2"/>
  <c r="F595" i="2"/>
  <c r="E595" i="2"/>
  <c r="D595" i="2"/>
  <c r="C595" i="2"/>
  <c r="A595" i="2"/>
  <c r="B595" i="2"/>
  <c r="I453" i="2"/>
  <c r="B453" i="2"/>
  <c r="A453" i="2"/>
  <c r="G453" i="2"/>
  <c r="F453" i="2"/>
  <c r="E453" i="2"/>
  <c r="D453" i="2"/>
  <c r="C453" i="2"/>
  <c r="H453" i="2"/>
  <c r="C475" i="2"/>
  <c r="B475" i="2"/>
  <c r="A475" i="2"/>
  <c r="I475" i="2"/>
  <c r="H475" i="2"/>
  <c r="G475" i="2"/>
  <c r="F475" i="2"/>
  <c r="D475" i="2"/>
  <c r="E475" i="2"/>
  <c r="F422" i="2"/>
  <c r="A422" i="2"/>
  <c r="E422" i="2"/>
  <c r="D422" i="2"/>
  <c r="C422" i="2"/>
  <c r="B422" i="2"/>
  <c r="H422" i="2"/>
  <c r="I422" i="2"/>
  <c r="G422" i="2"/>
  <c r="H399" i="2"/>
  <c r="I399" i="2"/>
  <c r="G399" i="2"/>
  <c r="F399" i="2"/>
  <c r="D399" i="2"/>
  <c r="C399" i="2"/>
  <c r="E399" i="2"/>
  <c r="B399" i="2"/>
  <c r="A399" i="2"/>
  <c r="E597" i="2"/>
  <c r="D597" i="2"/>
  <c r="C597" i="2"/>
  <c r="B597" i="2"/>
  <c r="A597" i="2"/>
  <c r="I597" i="2"/>
  <c r="F597" i="2"/>
  <c r="H597" i="2"/>
  <c r="G597" i="2"/>
  <c r="B39" i="2"/>
  <c r="H39" i="2"/>
  <c r="G39" i="2"/>
  <c r="F39" i="2"/>
  <c r="I39" i="2"/>
  <c r="E39" i="2"/>
  <c r="D39" i="2"/>
  <c r="C39" i="2"/>
  <c r="A39" i="2"/>
  <c r="I42" i="2"/>
  <c r="F42" i="2"/>
  <c r="E42" i="2"/>
  <c r="D42" i="2"/>
  <c r="H42" i="2"/>
  <c r="G42" i="2"/>
  <c r="C42" i="2"/>
  <c r="B42" i="2"/>
  <c r="A42" i="2"/>
  <c r="I587" i="2"/>
  <c r="H587" i="2"/>
  <c r="G587" i="2"/>
  <c r="F587" i="2"/>
  <c r="E587" i="2"/>
  <c r="D587" i="2"/>
  <c r="C587" i="2"/>
  <c r="A587" i="2"/>
  <c r="B587" i="2"/>
  <c r="I19" i="2"/>
  <c r="H19" i="2"/>
  <c r="G19" i="2"/>
  <c r="F19" i="2"/>
  <c r="E19" i="2"/>
  <c r="C19" i="2"/>
  <c r="B19" i="2"/>
  <c r="A19" i="2"/>
  <c r="D19" i="2"/>
  <c r="I349" i="2"/>
  <c r="G349" i="2"/>
  <c r="E349" i="2"/>
  <c r="D349" i="2"/>
  <c r="C349" i="2"/>
  <c r="B349" i="2"/>
  <c r="A349" i="2"/>
  <c r="H349" i="2"/>
  <c r="F349" i="2"/>
  <c r="H163" i="2"/>
  <c r="D163" i="2"/>
  <c r="C163" i="2"/>
  <c r="B163" i="2"/>
  <c r="A163" i="2"/>
  <c r="G163" i="2"/>
  <c r="I163" i="2"/>
  <c r="F163" i="2"/>
  <c r="E163" i="2"/>
  <c r="I384" i="2"/>
  <c r="H384" i="2"/>
  <c r="B384" i="2"/>
  <c r="A384" i="2"/>
  <c r="G384" i="2"/>
  <c r="F384" i="2"/>
  <c r="E384" i="2"/>
  <c r="D384" i="2"/>
  <c r="C384" i="2"/>
  <c r="I514" i="2"/>
  <c r="H514" i="2"/>
  <c r="G514" i="2"/>
  <c r="D514" i="2"/>
  <c r="C514" i="2"/>
  <c r="A514" i="2"/>
  <c r="B514" i="2"/>
  <c r="F514" i="2"/>
  <c r="E514" i="2"/>
  <c r="I607" i="2"/>
  <c r="H607" i="2"/>
  <c r="D607" i="2"/>
  <c r="G607" i="2"/>
  <c r="F607" i="2"/>
  <c r="B607" i="2"/>
  <c r="E607" i="2"/>
  <c r="C607" i="2"/>
  <c r="A607" i="2"/>
  <c r="I387" i="2"/>
  <c r="H387" i="2"/>
  <c r="D387" i="2"/>
  <c r="C387" i="2"/>
  <c r="B387" i="2"/>
  <c r="A387" i="2"/>
  <c r="G387" i="2"/>
  <c r="F387" i="2"/>
  <c r="E387" i="2"/>
  <c r="A303" i="2"/>
  <c r="I303" i="2"/>
  <c r="H303" i="2"/>
  <c r="G303" i="2"/>
  <c r="D303" i="2"/>
  <c r="C303" i="2"/>
  <c r="B303" i="2"/>
  <c r="F303" i="2"/>
  <c r="E303" i="2"/>
  <c r="H410" i="2"/>
  <c r="D410" i="2"/>
  <c r="C410" i="2"/>
  <c r="B410" i="2"/>
  <c r="A410" i="2"/>
  <c r="I410" i="2"/>
  <c r="G410" i="2"/>
  <c r="F410" i="2"/>
  <c r="E410" i="2"/>
  <c r="I123" i="2"/>
  <c r="H123" i="2"/>
  <c r="G123" i="2"/>
  <c r="F123" i="2"/>
  <c r="B123" i="2"/>
  <c r="E123" i="2"/>
  <c r="D123" i="2"/>
  <c r="C123" i="2"/>
  <c r="A123" i="2"/>
  <c r="I379" i="2"/>
  <c r="H379" i="2"/>
  <c r="G379" i="2"/>
  <c r="F379" i="2"/>
  <c r="E379" i="2"/>
  <c r="D379" i="2"/>
  <c r="C379" i="2"/>
  <c r="B379" i="2"/>
  <c r="A379" i="2"/>
  <c r="I523" i="2"/>
  <c r="H523" i="2"/>
  <c r="G523" i="2"/>
  <c r="F523" i="2"/>
  <c r="A523" i="2"/>
  <c r="E523" i="2"/>
  <c r="C523" i="2"/>
  <c r="B523" i="2"/>
  <c r="D523" i="2"/>
  <c r="B561" i="2"/>
  <c r="A561" i="2"/>
  <c r="G561" i="2"/>
  <c r="F561" i="2"/>
  <c r="I561" i="2"/>
  <c r="H561" i="2"/>
  <c r="E561" i="2"/>
  <c r="D561" i="2"/>
  <c r="C561" i="2"/>
  <c r="G29" i="2"/>
  <c r="F29" i="2"/>
  <c r="D29" i="2"/>
  <c r="C29" i="2"/>
  <c r="I29" i="2"/>
  <c r="H29" i="2"/>
  <c r="E29" i="2"/>
  <c r="B29" i="2"/>
  <c r="A29" i="2"/>
  <c r="I186" i="2"/>
  <c r="G186" i="2"/>
  <c r="C186" i="2"/>
  <c r="A186" i="2"/>
  <c r="B186" i="2"/>
  <c r="D186" i="2"/>
  <c r="H186" i="2"/>
  <c r="F186" i="2"/>
  <c r="E186" i="2"/>
  <c r="A264" i="2"/>
  <c r="I264" i="2"/>
  <c r="H264" i="2"/>
  <c r="G264" i="2"/>
  <c r="F264" i="2"/>
  <c r="D264" i="2"/>
  <c r="C264" i="2"/>
  <c r="B264" i="2"/>
  <c r="E264" i="2"/>
  <c r="E36" i="2"/>
  <c r="C36" i="2"/>
  <c r="I36" i="2"/>
  <c r="H36" i="2"/>
  <c r="F36" i="2"/>
  <c r="D36" i="2"/>
  <c r="A36" i="2"/>
  <c r="B36" i="2"/>
  <c r="G36" i="2"/>
  <c r="B376" i="2"/>
  <c r="A376" i="2"/>
  <c r="I376" i="2"/>
  <c r="H376" i="2"/>
  <c r="C376" i="2"/>
  <c r="E376" i="2"/>
  <c r="G376" i="2"/>
  <c r="F376" i="2"/>
  <c r="D376" i="2"/>
  <c r="H177" i="2"/>
  <c r="B177" i="2"/>
  <c r="A177" i="2"/>
  <c r="I177" i="2"/>
  <c r="G177" i="2"/>
  <c r="E177" i="2"/>
  <c r="F177" i="2"/>
  <c r="D177" i="2"/>
  <c r="C177" i="2"/>
  <c r="F446" i="2"/>
  <c r="H446" i="2"/>
  <c r="G446" i="2"/>
  <c r="E446" i="2"/>
  <c r="I446" i="2"/>
  <c r="D446" i="2"/>
  <c r="B446" i="2"/>
  <c r="C446" i="2"/>
  <c r="A446" i="2"/>
  <c r="B554" i="2"/>
  <c r="A554" i="2"/>
  <c r="I554" i="2"/>
  <c r="H554" i="2"/>
  <c r="E554" i="2"/>
  <c r="D554" i="2"/>
  <c r="C554" i="2"/>
  <c r="G554" i="2"/>
  <c r="F554" i="2"/>
  <c r="I487" i="2"/>
  <c r="H487" i="2"/>
  <c r="G487" i="2"/>
  <c r="F487" i="2"/>
  <c r="E487" i="2"/>
  <c r="D487" i="2"/>
  <c r="C487" i="2"/>
  <c r="B487" i="2"/>
  <c r="A487" i="2"/>
  <c r="C395" i="2"/>
  <c r="A395" i="2"/>
  <c r="I395" i="2"/>
  <c r="G395" i="2"/>
  <c r="D395" i="2"/>
  <c r="H395" i="2"/>
  <c r="F395" i="2"/>
  <c r="E395" i="2"/>
  <c r="B395" i="2"/>
  <c r="I43" i="2"/>
  <c r="B43" i="2"/>
  <c r="A43" i="2"/>
  <c r="E43" i="2"/>
  <c r="G43" i="2"/>
  <c r="D43" i="2"/>
  <c r="H43" i="2"/>
  <c r="C43" i="2"/>
  <c r="F43" i="2"/>
  <c r="F462" i="2"/>
  <c r="I462" i="2"/>
  <c r="H462" i="2"/>
  <c r="G462" i="2"/>
  <c r="E462" i="2"/>
  <c r="D462" i="2"/>
  <c r="C462" i="2"/>
  <c r="A462" i="2"/>
  <c r="B462" i="2"/>
  <c r="C335" i="2"/>
  <c r="A335" i="2"/>
  <c r="I335" i="2"/>
  <c r="G335" i="2"/>
  <c r="H335" i="2"/>
  <c r="F335" i="2"/>
  <c r="E335" i="2"/>
  <c r="D335" i="2"/>
  <c r="B335" i="2"/>
  <c r="G30" i="2"/>
  <c r="F30" i="2"/>
  <c r="E30" i="2"/>
  <c r="D30" i="2"/>
  <c r="I30" i="2"/>
  <c r="H30" i="2"/>
  <c r="C30" i="2"/>
  <c r="B30" i="2"/>
  <c r="A30" i="2"/>
  <c r="B393" i="2"/>
  <c r="I393" i="2"/>
  <c r="H393" i="2"/>
  <c r="G393" i="2"/>
  <c r="F393" i="2"/>
  <c r="E393" i="2"/>
  <c r="D393" i="2"/>
  <c r="C393" i="2"/>
  <c r="A393" i="2"/>
  <c r="G320" i="2"/>
  <c r="F320" i="2"/>
  <c r="E320" i="2"/>
  <c r="D320" i="2"/>
  <c r="C320" i="2"/>
  <c r="B320" i="2"/>
  <c r="I320" i="2"/>
  <c r="H320" i="2"/>
  <c r="A320" i="2"/>
  <c r="I236" i="2"/>
  <c r="H236" i="2"/>
  <c r="C236" i="2"/>
  <c r="B236" i="2"/>
  <c r="A236" i="2"/>
  <c r="D236" i="2"/>
  <c r="G236" i="2"/>
  <c r="F236" i="2"/>
  <c r="E236" i="2"/>
  <c r="E71" i="2"/>
  <c r="D71" i="2"/>
  <c r="C71" i="2"/>
  <c r="H71" i="2"/>
  <c r="G71" i="2"/>
  <c r="F71" i="2"/>
  <c r="B71" i="2"/>
  <c r="A71" i="2"/>
  <c r="I71" i="2"/>
  <c r="B466" i="2"/>
  <c r="A466" i="2"/>
  <c r="I466" i="2"/>
  <c r="H466" i="2"/>
  <c r="G466" i="2"/>
  <c r="F466" i="2"/>
  <c r="E466" i="2"/>
  <c r="D466" i="2"/>
  <c r="C466" i="2"/>
  <c r="I315" i="2"/>
  <c r="H315" i="2"/>
  <c r="G315" i="2"/>
  <c r="F315" i="2"/>
  <c r="E315" i="2"/>
  <c r="C315" i="2"/>
  <c r="B315" i="2"/>
  <c r="A315" i="2"/>
  <c r="D315" i="2"/>
  <c r="H132" i="2"/>
  <c r="F132" i="2"/>
  <c r="E132" i="2"/>
  <c r="D132" i="2"/>
  <c r="C132" i="2"/>
  <c r="I132" i="2"/>
  <c r="G132" i="2"/>
  <c r="B132" i="2"/>
  <c r="A132" i="2"/>
  <c r="A23" i="2"/>
  <c r="G23" i="2"/>
  <c r="F23" i="2"/>
  <c r="E23" i="2"/>
  <c r="D23" i="2"/>
  <c r="C23" i="2"/>
  <c r="B23" i="2"/>
  <c r="I23" i="2"/>
  <c r="H23" i="2"/>
  <c r="E229" i="2"/>
  <c r="C229" i="2"/>
  <c r="F229" i="2"/>
  <c r="D229" i="2"/>
  <c r="B229" i="2"/>
  <c r="A229" i="2"/>
  <c r="I229" i="2"/>
  <c r="H229" i="2"/>
  <c r="G229" i="2"/>
  <c r="I353" i="2"/>
  <c r="F353" i="2"/>
  <c r="E353" i="2"/>
  <c r="D353" i="2"/>
  <c r="C353" i="2"/>
  <c r="B353" i="2"/>
  <c r="A353" i="2"/>
  <c r="G353" i="2"/>
  <c r="H353" i="2"/>
  <c r="C436" i="2"/>
  <c r="B436" i="2"/>
  <c r="A436" i="2"/>
  <c r="H436" i="2"/>
  <c r="G436" i="2"/>
  <c r="F436" i="2"/>
  <c r="E436" i="2"/>
  <c r="D436" i="2"/>
  <c r="I436" i="2"/>
  <c r="E205" i="2"/>
  <c r="C205" i="2"/>
  <c r="F205" i="2"/>
  <c r="I205" i="2"/>
  <c r="H205" i="2"/>
  <c r="G205" i="2"/>
  <c r="D205" i="2"/>
  <c r="B205" i="2"/>
  <c r="A205" i="2"/>
  <c r="B463" i="2"/>
  <c r="A463" i="2"/>
  <c r="G463" i="2"/>
  <c r="D463" i="2"/>
  <c r="I463" i="2"/>
  <c r="F463" i="2"/>
  <c r="C463" i="2"/>
  <c r="H463" i="2"/>
  <c r="E463" i="2"/>
  <c r="I365" i="2"/>
  <c r="H365" i="2"/>
  <c r="G365" i="2"/>
  <c r="E365" i="2"/>
  <c r="D365" i="2"/>
  <c r="B365" i="2"/>
  <c r="A365" i="2"/>
  <c r="F365" i="2"/>
  <c r="C365" i="2"/>
  <c r="E477" i="2"/>
  <c r="B477" i="2"/>
  <c r="C477" i="2"/>
  <c r="A477" i="2"/>
  <c r="F477" i="2"/>
  <c r="D477" i="2"/>
  <c r="I477" i="2"/>
  <c r="H477" i="2"/>
  <c r="G477" i="2"/>
  <c r="I234" i="2"/>
  <c r="G234" i="2"/>
  <c r="A234" i="2"/>
  <c r="H234" i="2"/>
  <c r="F234" i="2"/>
  <c r="B234" i="2"/>
  <c r="E234" i="2"/>
  <c r="D234" i="2"/>
  <c r="C234" i="2"/>
  <c r="F91" i="2"/>
  <c r="D91" i="2"/>
  <c r="I91" i="2"/>
  <c r="H91" i="2"/>
  <c r="B91" i="2"/>
  <c r="A91" i="2"/>
  <c r="G91" i="2"/>
  <c r="E91" i="2"/>
  <c r="C91" i="2"/>
  <c r="I493" i="2"/>
  <c r="H493" i="2"/>
  <c r="G493" i="2"/>
  <c r="F493" i="2"/>
  <c r="E493" i="2"/>
  <c r="D493" i="2"/>
  <c r="C493" i="2"/>
  <c r="B493" i="2"/>
  <c r="A493" i="2"/>
  <c r="I194" i="2"/>
  <c r="G194" i="2"/>
  <c r="F194" i="2"/>
  <c r="H194" i="2"/>
  <c r="E194" i="2"/>
  <c r="C194" i="2"/>
  <c r="B194" i="2"/>
  <c r="A194" i="2"/>
  <c r="D194" i="2"/>
  <c r="B545" i="2"/>
  <c r="A545" i="2"/>
  <c r="I545" i="2"/>
  <c r="H545" i="2"/>
  <c r="D545" i="2"/>
  <c r="F545" i="2"/>
  <c r="G545" i="2"/>
  <c r="E545" i="2"/>
  <c r="C545" i="2"/>
  <c r="F558" i="2"/>
  <c r="E558" i="2"/>
  <c r="D558" i="2"/>
  <c r="C558" i="2"/>
  <c r="B558" i="2"/>
  <c r="A558" i="2"/>
  <c r="I558" i="2"/>
  <c r="H558" i="2"/>
  <c r="G558" i="2"/>
  <c r="I504" i="2"/>
  <c r="H504" i="2"/>
  <c r="G504" i="2"/>
  <c r="F504" i="2"/>
  <c r="E504" i="2"/>
  <c r="A504" i="2"/>
  <c r="B504" i="2"/>
  <c r="D504" i="2"/>
  <c r="C504" i="2"/>
  <c r="I403" i="2"/>
  <c r="F403" i="2"/>
  <c r="E403" i="2"/>
  <c r="D403" i="2"/>
  <c r="C403" i="2"/>
  <c r="B403" i="2"/>
  <c r="A403" i="2"/>
  <c r="G403" i="2"/>
  <c r="H403" i="2"/>
  <c r="I52" i="2"/>
  <c r="E52" i="2"/>
  <c r="D52" i="2"/>
  <c r="C52" i="2"/>
  <c r="B52" i="2"/>
  <c r="F52" i="2"/>
  <c r="A52" i="2"/>
  <c r="H52" i="2"/>
  <c r="G52" i="2"/>
  <c r="B431" i="2"/>
  <c r="A431" i="2"/>
  <c r="I431" i="2"/>
  <c r="H431" i="2"/>
  <c r="G431" i="2"/>
  <c r="F431" i="2"/>
  <c r="E431" i="2"/>
  <c r="D431" i="2"/>
  <c r="C431" i="2"/>
  <c r="I167" i="2"/>
  <c r="H167" i="2"/>
  <c r="E167" i="2"/>
  <c r="B167" i="2"/>
  <c r="A167" i="2"/>
  <c r="F167" i="2"/>
  <c r="D167" i="2"/>
  <c r="C167" i="2"/>
  <c r="G167" i="2"/>
  <c r="A559" i="2"/>
  <c r="I559" i="2"/>
  <c r="H559" i="2"/>
  <c r="G559" i="2"/>
  <c r="F559" i="2"/>
  <c r="E559" i="2"/>
  <c r="D559" i="2"/>
  <c r="C559" i="2"/>
  <c r="B559" i="2"/>
  <c r="G65" i="2"/>
  <c r="F65" i="2"/>
  <c r="E65" i="2"/>
  <c r="B65" i="2"/>
  <c r="I65" i="2"/>
  <c r="H65" i="2"/>
  <c r="D65" i="2"/>
  <c r="C65" i="2"/>
  <c r="A65" i="2"/>
  <c r="E213" i="2"/>
  <c r="C213" i="2"/>
  <c r="H213" i="2"/>
  <c r="I213" i="2"/>
  <c r="G213" i="2"/>
  <c r="F213" i="2"/>
  <c r="D213" i="2"/>
  <c r="B213" i="2"/>
  <c r="A213" i="2"/>
  <c r="E498" i="2"/>
  <c r="D498" i="2"/>
  <c r="C498" i="2"/>
  <c r="B498" i="2"/>
  <c r="A498" i="2"/>
  <c r="I498" i="2"/>
  <c r="H498" i="2"/>
  <c r="G498" i="2"/>
  <c r="F498" i="2"/>
  <c r="G78" i="2"/>
  <c r="C78" i="2"/>
  <c r="B78" i="2"/>
  <c r="F78" i="2"/>
  <c r="E78" i="2"/>
  <c r="D78" i="2"/>
  <c r="A78" i="2"/>
  <c r="I78" i="2"/>
  <c r="H78" i="2"/>
  <c r="B260" i="2"/>
  <c r="A260" i="2"/>
  <c r="H260" i="2"/>
  <c r="I260" i="2"/>
  <c r="G260" i="2"/>
  <c r="F260" i="2"/>
  <c r="C260" i="2"/>
  <c r="E260" i="2"/>
  <c r="D260" i="2"/>
  <c r="I347" i="2"/>
  <c r="H347" i="2"/>
  <c r="G347" i="2"/>
  <c r="F347" i="2"/>
  <c r="E347" i="2"/>
  <c r="D347" i="2"/>
  <c r="C347" i="2"/>
  <c r="A347" i="2"/>
  <c r="B347" i="2"/>
  <c r="G588" i="2"/>
  <c r="I588" i="2"/>
  <c r="H588" i="2"/>
  <c r="F588" i="2"/>
  <c r="E588" i="2"/>
  <c r="D588" i="2"/>
  <c r="C588" i="2"/>
  <c r="A588" i="2"/>
  <c r="B588" i="2"/>
  <c r="I305" i="2"/>
  <c r="A305" i="2"/>
  <c r="E305" i="2"/>
  <c r="D305" i="2"/>
  <c r="C305" i="2"/>
  <c r="H305" i="2"/>
  <c r="G305" i="2"/>
  <c r="F305" i="2"/>
  <c r="B305" i="2"/>
  <c r="C127" i="2"/>
  <c r="A127" i="2"/>
  <c r="I127" i="2"/>
  <c r="H127" i="2"/>
  <c r="G127" i="2"/>
  <c r="E127" i="2"/>
  <c r="F127" i="2"/>
  <c r="D127" i="2"/>
  <c r="B127" i="2"/>
  <c r="I270" i="2"/>
  <c r="H270" i="2"/>
  <c r="G270" i="2"/>
  <c r="F270" i="2"/>
  <c r="A270" i="2"/>
  <c r="E270" i="2"/>
  <c r="D270" i="2"/>
  <c r="C270" i="2"/>
  <c r="B270" i="2"/>
  <c r="I528" i="2"/>
  <c r="H528" i="2"/>
  <c r="G528" i="2"/>
  <c r="B528" i="2"/>
  <c r="A528" i="2"/>
  <c r="F528" i="2"/>
  <c r="E528" i="2"/>
  <c r="D528" i="2"/>
  <c r="C528" i="2"/>
  <c r="I108" i="2"/>
  <c r="G108" i="2"/>
  <c r="H108" i="2"/>
  <c r="F108" i="2"/>
  <c r="E108" i="2"/>
  <c r="D108" i="2"/>
  <c r="B108" i="2"/>
  <c r="C108" i="2"/>
  <c r="A108" i="2"/>
  <c r="I536" i="2"/>
  <c r="H536" i="2"/>
  <c r="G536" i="2"/>
  <c r="F536" i="2"/>
  <c r="E536" i="2"/>
  <c r="D536" i="2"/>
  <c r="C536" i="2"/>
  <c r="B536" i="2"/>
  <c r="A536" i="2"/>
  <c r="H180" i="2"/>
  <c r="F180" i="2"/>
  <c r="B180" i="2"/>
  <c r="A180" i="2"/>
  <c r="E180" i="2"/>
  <c r="D180" i="2"/>
  <c r="C180" i="2"/>
  <c r="I180" i="2"/>
  <c r="G180" i="2"/>
  <c r="E165" i="2"/>
  <c r="C165" i="2"/>
  <c r="D165" i="2"/>
  <c r="B165" i="2"/>
  <c r="A165" i="2"/>
  <c r="G165" i="2"/>
  <c r="I165" i="2"/>
  <c r="H165" i="2"/>
  <c r="F165" i="2"/>
  <c r="I297" i="2"/>
  <c r="G297" i="2"/>
  <c r="F297" i="2"/>
  <c r="E297" i="2"/>
  <c r="D297" i="2"/>
  <c r="C297" i="2"/>
  <c r="B297" i="2"/>
  <c r="H297" i="2"/>
  <c r="A297" i="2"/>
  <c r="D416" i="2"/>
  <c r="B416" i="2"/>
  <c r="I416" i="2"/>
  <c r="H416" i="2"/>
  <c r="G416" i="2"/>
  <c r="F416" i="2"/>
  <c r="E416" i="2"/>
  <c r="C416" i="2"/>
  <c r="A416" i="2"/>
  <c r="I560" i="2"/>
  <c r="F560" i="2"/>
  <c r="E560" i="2"/>
  <c r="D560" i="2"/>
  <c r="C560" i="2"/>
  <c r="B560" i="2"/>
  <c r="A560" i="2"/>
  <c r="G560" i="2"/>
  <c r="H560" i="2"/>
  <c r="A40" i="2"/>
  <c r="I40" i="2"/>
  <c r="H40" i="2"/>
  <c r="F40" i="2"/>
  <c r="G40" i="2"/>
  <c r="B40" i="2"/>
  <c r="E40" i="2"/>
  <c r="D40" i="2"/>
  <c r="C40" i="2"/>
  <c r="D464" i="2"/>
  <c r="C464" i="2"/>
  <c r="B464" i="2"/>
  <c r="A464" i="2"/>
  <c r="I464" i="2"/>
  <c r="H464" i="2"/>
  <c r="G464" i="2"/>
  <c r="F464" i="2"/>
  <c r="E464" i="2"/>
  <c r="F291" i="2"/>
  <c r="A291" i="2"/>
  <c r="E291" i="2"/>
  <c r="D291" i="2"/>
  <c r="C291" i="2"/>
  <c r="B291" i="2"/>
  <c r="H291" i="2"/>
  <c r="G291" i="2"/>
  <c r="I291" i="2"/>
  <c r="F590" i="2"/>
  <c r="E590" i="2"/>
  <c r="D590" i="2"/>
  <c r="C590" i="2"/>
  <c r="B590" i="2"/>
  <c r="A590" i="2"/>
  <c r="I590" i="2"/>
  <c r="H590" i="2"/>
  <c r="G590" i="2"/>
  <c r="B567" i="2"/>
  <c r="A567" i="2"/>
  <c r="I567" i="2"/>
  <c r="H567" i="2"/>
  <c r="G567" i="2"/>
  <c r="F567" i="2"/>
  <c r="E567" i="2"/>
  <c r="D567" i="2"/>
  <c r="C567" i="2"/>
  <c r="C172" i="2"/>
  <c r="A172" i="2"/>
  <c r="F172" i="2"/>
  <c r="I172" i="2"/>
  <c r="H172" i="2"/>
  <c r="G172" i="2"/>
  <c r="E172" i="2"/>
  <c r="D172" i="2"/>
  <c r="B172" i="2"/>
  <c r="C203" i="2"/>
  <c r="A203" i="2"/>
  <c r="I203" i="2"/>
  <c r="H203" i="2"/>
  <c r="G203" i="2"/>
  <c r="D203" i="2"/>
  <c r="F203" i="2"/>
  <c r="E203" i="2"/>
  <c r="B203" i="2"/>
  <c r="G97" i="2"/>
  <c r="F97" i="2"/>
  <c r="E97" i="2"/>
  <c r="H97" i="2"/>
  <c r="I97" i="2"/>
  <c r="B97" i="2"/>
  <c r="A97" i="2"/>
  <c r="C97" i="2"/>
  <c r="D97" i="2"/>
  <c r="A80" i="2"/>
  <c r="F80" i="2"/>
  <c r="D80" i="2"/>
  <c r="E80" i="2"/>
  <c r="C80" i="2"/>
  <c r="B80" i="2"/>
  <c r="G80" i="2"/>
  <c r="I80" i="2"/>
  <c r="H80" i="2"/>
  <c r="E133" i="2"/>
  <c r="C133" i="2"/>
  <c r="F133" i="2"/>
  <c r="D133" i="2"/>
  <c r="B133" i="2"/>
  <c r="A133" i="2"/>
  <c r="H133" i="2"/>
  <c r="I133" i="2"/>
  <c r="G133" i="2"/>
  <c r="I50" i="2"/>
  <c r="B50" i="2"/>
  <c r="H50" i="2"/>
  <c r="F50" i="2"/>
  <c r="E50" i="2"/>
  <c r="D50" i="2"/>
  <c r="C50" i="2"/>
  <c r="A50" i="2"/>
  <c r="G50" i="2"/>
  <c r="G402" i="2"/>
  <c r="E402" i="2"/>
  <c r="F402" i="2"/>
  <c r="I402" i="2"/>
  <c r="A402" i="2"/>
  <c r="D402" i="2"/>
  <c r="C402" i="2"/>
  <c r="B402" i="2"/>
  <c r="H402" i="2"/>
  <c r="I346" i="2"/>
  <c r="F346" i="2"/>
  <c r="E346" i="2"/>
  <c r="D346" i="2"/>
  <c r="C346" i="2"/>
  <c r="B346" i="2"/>
  <c r="G346" i="2"/>
  <c r="A346" i="2"/>
  <c r="H346" i="2"/>
  <c r="E101" i="2"/>
  <c r="I101" i="2"/>
  <c r="H101" i="2"/>
  <c r="B101" i="2"/>
  <c r="C101" i="2"/>
  <c r="G101" i="2"/>
  <c r="A101" i="2"/>
  <c r="F101" i="2"/>
  <c r="D101" i="2"/>
  <c r="D370" i="2"/>
  <c r="C370" i="2"/>
  <c r="B370" i="2"/>
  <c r="A370" i="2"/>
  <c r="G370" i="2"/>
  <c r="F370" i="2"/>
  <c r="E370" i="2"/>
  <c r="I370" i="2"/>
  <c r="H370" i="2"/>
  <c r="E509" i="2"/>
  <c r="B509" i="2"/>
  <c r="F509" i="2"/>
  <c r="A509" i="2"/>
  <c r="G509" i="2"/>
  <c r="D509" i="2"/>
  <c r="C509" i="2"/>
  <c r="H509" i="2"/>
  <c r="I509" i="2"/>
  <c r="A272" i="2"/>
  <c r="I272" i="2"/>
  <c r="H272" i="2"/>
  <c r="D272" i="2"/>
  <c r="G272" i="2"/>
  <c r="F272" i="2"/>
  <c r="C272" i="2"/>
  <c r="E272" i="2"/>
  <c r="B272" i="2"/>
  <c r="A120" i="2"/>
  <c r="I120" i="2"/>
  <c r="H120" i="2"/>
  <c r="G120" i="2"/>
  <c r="C120" i="2"/>
  <c r="F120" i="2"/>
  <c r="E120" i="2"/>
  <c r="D120" i="2"/>
  <c r="B120" i="2"/>
  <c r="B537" i="2"/>
  <c r="A537" i="2"/>
  <c r="D537" i="2"/>
  <c r="C537" i="2"/>
  <c r="I537" i="2"/>
  <c r="H537" i="2"/>
  <c r="G537" i="2"/>
  <c r="F537" i="2"/>
  <c r="E537" i="2"/>
  <c r="A208" i="2"/>
  <c r="H208" i="2"/>
  <c r="I208" i="2"/>
  <c r="E208" i="2"/>
  <c r="G208" i="2"/>
  <c r="F208" i="2"/>
  <c r="D208" i="2"/>
  <c r="C208" i="2"/>
  <c r="B208" i="2"/>
  <c r="G562" i="2"/>
  <c r="F562" i="2"/>
  <c r="E562" i="2"/>
  <c r="D562" i="2"/>
  <c r="C562" i="2"/>
  <c r="B562" i="2"/>
  <c r="I562" i="2"/>
  <c r="H562" i="2"/>
  <c r="A562" i="2"/>
  <c r="I565" i="2"/>
  <c r="H565" i="2"/>
  <c r="G565" i="2"/>
  <c r="F565" i="2"/>
  <c r="C565" i="2"/>
  <c r="B565" i="2"/>
  <c r="A565" i="2"/>
  <c r="D565" i="2"/>
  <c r="E565" i="2"/>
  <c r="F510" i="2"/>
  <c r="E510" i="2"/>
  <c r="D510" i="2"/>
  <c r="I510" i="2"/>
  <c r="H510" i="2"/>
  <c r="C510" i="2"/>
  <c r="G510" i="2"/>
  <c r="B510" i="2"/>
  <c r="A510" i="2"/>
  <c r="G411" i="2"/>
  <c r="A411" i="2"/>
  <c r="H411" i="2"/>
  <c r="F411" i="2"/>
  <c r="B411" i="2"/>
  <c r="I411" i="2"/>
  <c r="E411" i="2"/>
  <c r="D411" i="2"/>
  <c r="C411" i="2"/>
  <c r="D341" i="2"/>
  <c r="B341" i="2"/>
  <c r="G341" i="2"/>
  <c r="F341" i="2"/>
  <c r="E341" i="2"/>
  <c r="C341" i="2"/>
  <c r="A341" i="2"/>
  <c r="H341" i="2"/>
  <c r="I341" i="2"/>
  <c r="A317" i="2"/>
  <c r="G317" i="2"/>
  <c r="F317" i="2"/>
  <c r="E317" i="2"/>
  <c r="I317" i="2"/>
  <c r="H317" i="2"/>
  <c r="D317" i="2"/>
  <c r="C317" i="2"/>
  <c r="B317" i="2"/>
  <c r="F526" i="2"/>
  <c r="E526" i="2"/>
  <c r="D526" i="2"/>
  <c r="C526" i="2"/>
  <c r="B526" i="2"/>
  <c r="G526" i="2"/>
  <c r="A526" i="2"/>
  <c r="H526" i="2"/>
  <c r="I526" i="2"/>
  <c r="I530" i="2"/>
  <c r="F530" i="2"/>
  <c r="A530" i="2"/>
  <c r="H530" i="2"/>
  <c r="G530" i="2"/>
  <c r="E530" i="2"/>
  <c r="D530" i="2"/>
  <c r="C530" i="2"/>
  <c r="B530" i="2"/>
  <c r="E69" i="2"/>
  <c r="F69" i="2"/>
  <c r="C69" i="2"/>
  <c r="I69" i="2"/>
  <c r="H69" i="2"/>
  <c r="G69" i="2"/>
  <c r="D69" i="2"/>
  <c r="B69" i="2"/>
  <c r="A69" i="2"/>
  <c r="H135" i="2"/>
  <c r="F135" i="2"/>
  <c r="G135" i="2"/>
  <c r="E135" i="2"/>
  <c r="D135" i="2"/>
  <c r="C135" i="2"/>
  <c r="B135" i="2"/>
  <c r="A135" i="2"/>
  <c r="I135" i="2"/>
  <c r="F534" i="2"/>
  <c r="E534" i="2"/>
  <c r="D534" i="2"/>
  <c r="C534" i="2"/>
  <c r="B534" i="2"/>
  <c r="I534" i="2"/>
  <c r="H534" i="2"/>
  <c r="G534" i="2"/>
  <c r="A534" i="2"/>
  <c r="F414" i="2"/>
  <c r="I414" i="2"/>
  <c r="H414" i="2"/>
  <c r="G414" i="2"/>
  <c r="E414" i="2"/>
  <c r="C414" i="2"/>
  <c r="B414" i="2"/>
  <c r="A414" i="2"/>
  <c r="D414" i="2"/>
  <c r="I154" i="2"/>
  <c r="G154" i="2"/>
  <c r="C154" i="2"/>
  <c r="B154" i="2"/>
  <c r="A154" i="2"/>
  <c r="H154" i="2"/>
  <c r="F154" i="2"/>
  <c r="E154" i="2"/>
  <c r="D154" i="2"/>
  <c r="A54" i="2"/>
  <c r="I54" i="2"/>
  <c r="D54" i="2"/>
  <c r="H54" i="2"/>
  <c r="G54" i="2"/>
  <c r="F54" i="2"/>
  <c r="E54" i="2"/>
  <c r="C54" i="2"/>
  <c r="B54" i="2"/>
  <c r="I73" i="2"/>
  <c r="H73" i="2"/>
  <c r="B73" i="2"/>
  <c r="A73" i="2"/>
  <c r="E73" i="2"/>
  <c r="G73" i="2"/>
  <c r="F73" i="2"/>
  <c r="D73" i="2"/>
  <c r="C73" i="2"/>
  <c r="I70" i="2"/>
  <c r="H70" i="2"/>
  <c r="G70" i="2"/>
  <c r="C70" i="2"/>
  <c r="F70" i="2"/>
  <c r="E70" i="2"/>
  <c r="A70" i="2"/>
  <c r="D70" i="2"/>
  <c r="B70" i="2"/>
  <c r="I274" i="2"/>
  <c r="H274" i="2"/>
  <c r="G274" i="2"/>
  <c r="A274" i="2"/>
  <c r="D274" i="2"/>
  <c r="F274" i="2"/>
  <c r="E274" i="2"/>
  <c r="C274" i="2"/>
  <c r="B274" i="2"/>
  <c r="A144" i="2"/>
  <c r="B144" i="2"/>
  <c r="G144" i="2"/>
  <c r="F144" i="2"/>
  <c r="E144" i="2"/>
  <c r="D144" i="2"/>
  <c r="C144" i="2"/>
  <c r="I144" i="2"/>
  <c r="H144" i="2"/>
  <c r="I185" i="2"/>
  <c r="H185" i="2"/>
  <c r="D185" i="2"/>
  <c r="G185" i="2"/>
  <c r="F185" i="2"/>
  <c r="E185" i="2"/>
  <c r="C185" i="2"/>
  <c r="B185" i="2"/>
  <c r="A185" i="2"/>
  <c r="E389" i="2"/>
  <c r="C389" i="2"/>
  <c r="G389" i="2"/>
  <c r="F389" i="2"/>
  <c r="D389" i="2"/>
  <c r="B389" i="2"/>
  <c r="A389" i="2"/>
  <c r="I389" i="2"/>
  <c r="H389" i="2"/>
  <c r="I572" i="2"/>
  <c r="F572" i="2"/>
  <c r="H572" i="2"/>
  <c r="B572" i="2"/>
  <c r="A572" i="2"/>
  <c r="E572" i="2"/>
  <c r="D572" i="2"/>
  <c r="C572" i="2"/>
  <c r="G572" i="2"/>
  <c r="I598" i="2"/>
  <c r="G598" i="2"/>
  <c r="H598" i="2"/>
  <c r="F598" i="2"/>
  <c r="C598" i="2"/>
  <c r="D598" i="2"/>
  <c r="A598" i="2"/>
  <c r="E598" i="2"/>
  <c r="B598" i="2"/>
  <c r="I242" i="2"/>
  <c r="G242" i="2"/>
  <c r="F242" i="2"/>
  <c r="E242" i="2"/>
  <c r="D242" i="2"/>
  <c r="C242" i="2"/>
  <c r="B242" i="2"/>
  <c r="H242" i="2"/>
  <c r="A242" i="2"/>
  <c r="E261" i="2"/>
  <c r="C261" i="2"/>
  <c r="I261" i="2"/>
  <c r="H261" i="2"/>
  <c r="G261" i="2"/>
  <c r="B261" i="2"/>
  <c r="A261" i="2"/>
  <c r="F261" i="2"/>
  <c r="D261" i="2"/>
  <c r="C367" i="2"/>
  <c r="A367" i="2"/>
  <c r="E367" i="2"/>
  <c r="D367" i="2"/>
  <c r="B367" i="2"/>
  <c r="F367" i="2"/>
  <c r="H367" i="2"/>
  <c r="I367" i="2"/>
  <c r="G367" i="2"/>
  <c r="B425" i="2"/>
  <c r="C425" i="2"/>
  <c r="A425" i="2"/>
  <c r="E425" i="2"/>
  <c r="I425" i="2"/>
  <c r="H425" i="2"/>
  <c r="G425" i="2"/>
  <c r="F425" i="2"/>
  <c r="D425" i="2"/>
  <c r="I170" i="2"/>
  <c r="G170" i="2"/>
  <c r="A170" i="2"/>
  <c r="D170" i="2"/>
  <c r="C170" i="2"/>
  <c r="B170" i="2"/>
  <c r="E170" i="2"/>
  <c r="H170" i="2"/>
  <c r="F170" i="2"/>
  <c r="F89" i="2"/>
  <c r="E89" i="2"/>
  <c r="B89" i="2"/>
  <c r="D89" i="2"/>
  <c r="C89" i="2"/>
  <c r="A89" i="2"/>
  <c r="G89" i="2"/>
  <c r="I89" i="2"/>
  <c r="H89" i="2"/>
  <c r="I121" i="2"/>
  <c r="G121" i="2"/>
  <c r="F121" i="2"/>
  <c r="E121" i="2"/>
  <c r="D121" i="2"/>
  <c r="C121" i="2"/>
  <c r="B121" i="2"/>
  <c r="A121" i="2"/>
  <c r="H121" i="2"/>
  <c r="B34" i="2"/>
  <c r="A34" i="2"/>
  <c r="H34" i="2"/>
  <c r="G34" i="2"/>
  <c r="D34" i="2"/>
  <c r="C34" i="2"/>
  <c r="F34" i="2"/>
  <c r="E34" i="2"/>
  <c r="I34" i="2"/>
  <c r="E141" i="2"/>
  <c r="C141" i="2"/>
  <c r="D141" i="2"/>
  <c r="A141" i="2"/>
  <c r="I141" i="2"/>
  <c r="H141" i="2"/>
  <c r="G141" i="2"/>
  <c r="F141" i="2"/>
  <c r="B141" i="2"/>
  <c r="A168" i="2"/>
  <c r="D168" i="2"/>
  <c r="C168" i="2"/>
  <c r="B168" i="2"/>
  <c r="H168" i="2"/>
  <c r="E168" i="2"/>
  <c r="I168" i="2"/>
  <c r="G168" i="2"/>
  <c r="F168" i="2"/>
  <c r="H55" i="2"/>
  <c r="F55" i="2"/>
  <c r="D55" i="2"/>
  <c r="C55" i="2"/>
  <c r="B55" i="2"/>
  <c r="A55" i="2"/>
  <c r="I55" i="2"/>
  <c r="G55" i="2"/>
  <c r="E55" i="2"/>
  <c r="C581" i="2"/>
  <c r="B581" i="2"/>
  <c r="A581" i="2"/>
  <c r="I581" i="2"/>
  <c r="F581" i="2"/>
  <c r="E581" i="2"/>
  <c r="H581" i="2"/>
  <c r="G581" i="2"/>
  <c r="D581" i="2"/>
  <c r="G437" i="2"/>
  <c r="F437" i="2"/>
  <c r="E437" i="2"/>
  <c r="D437" i="2"/>
  <c r="C437" i="2"/>
  <c r="B437" i="2"/>
  <c r="A437" i="2"/>
  <c r="I437" i="2"/>
  <c r="H437" i="2"/>
  <c r="A235" i="2"/>
  <c r="H235" i="2"/>
  <c r="B235" i="2"/>
  <c r="G235" i="2"/>
  <c r="F235" i="2"/>
  <c r="E235" i="2"/>
  <c r="D235" i="2"/>
  <c r="C235" i="2"/>
  <c r="I235" i="2"/>
  <c r="F398" i="2"/>
  <c r="A398" i="2"/>
  <c r="C398" i="2"/>
  <c r="B398" i="2"/>
  <c r="I398" i="2"/>
  <c r="H398" i="2"/>
  <c r="G398" i="2"/>
  <c r="E398" i="2"/>
  <c r="D398" i="2"/>
  <c r="B600" i="2"/>
  <c r="A600" i="2"/>
  <c r="E600" i="2"/>
  <c r="D600" i="2"/>
  <c r="C600" i="2"/>
  <c r="H600" i="2"/>
  <c r="G600" i="2"/>
  <c r="I600" i="2"/>
  <c r="F600" i="2"/>
  <c r="I323" i="2"/>
  <c r="H323" i="2"/>
  <c r="G323" i="2"/>
  <c r="F323" i="2"/>
  <c r="A323" i="2"/>
  <c r="E323" i="2"/>
  <c r="D323" i="2"/>
  <c r="C323" i="2"/>
  <c r="B323" i="2"/>
  <c r="F228" i="2"/>
  <c r="E228" i="2"/>
  <c r="D228" i="2"/>
  <c r="C228" i="2"/>
  <c r="I228" i="2"/>
  <c r="H228" i="2"/>
  <c r="G228" i="2"/>
  <c r="B228" i="2"/>
  <c r="A228" i="2"/>
  <c r="B577" i="2"/>
  <c r="A577" i="2"/>
  <c r="I577" i="2"/>
  <c r="H577" i="2"/>
  <c r="G577" i="2"/>
  <c r="F577" i="2"/>
  <c r="E577" i="2"/>
  <c r="D577" i="2"/>
  <c r="C577" i="2"/>
  <c r="E300" i="2"/>
  <c r="I300" i="2"/>
  <c r="H300" i="2"/>
  <c r="G300" i="2"/>
  <c r="F300" i="2"/>
  <c r="D300" i="2"/>
  <c r="C300" i="2"/>
  <c r="A300" i="2"/>
  <c r="B300" i="2"/>
  <c r="A319" i="2"/>
  <c r="I319" i="2"/>
  <c r="H319" i="2"/>
  <c r="G319" i="2"/>
  <c r="F319" i="2"/>
  <c r="E319" i="2"/>
  <c r="D319" i="2"/>
  <c r="C319" i="2"/>
  <c r="B319" i="2"/>
  <c r="B360" i="2"/>
  <c r="A360" i="2"/>
  <c r="E360" i="2"/>
  <c r="D360" i="2"/>
  <c r="C360" i="2"/>
  <c r="I360" i="2"/>
  <c r="F360" i="2"/>
  <c r="H360" i="2"/>
  <c r="G360" i="2"/>
  <c r="I516" i="2"/>
  <c r="H516" i="2"/>
  <c r="A516" i="2"/>
  <c r="G516" i="2"/>
  <c r="F516" i="2"/>
  <c r="E516" i="2"/>
  <c r="D516" i="2"/>
  <c r="C516" i="2"/>
  <c r="B516" i="2"/>
  <c r="A419" i="2"/>
  <c r="I419" i="2"/>
  <c r="D419" i="2"/>
  <c r="G419" i="2"/>
  <c r="F419" i="2"/>
  <c r="E419" i="2"/>
  <c r="C419" i="2"/>
  <c r="H419" i="2"/>
  <c r="B419" i="2"/>
  <c r="A216" i="2"/>
  <c r="C216" i="2"/>
  <c r="B216" i="2"/>
  <c r="H216" i="2"/>
  <c r="G216" i="2"/>
  <c r="E216" i="2"/>
  <c r="I216" i="2"/>
  <c r="D216" i="2"/>
  <c r="F216" i="2"/>
  <c r="I246" i="2"/>
  <c r="E246" i="2"/>
  <c r="D246" i="2"/>
  <c r="C246" i="2"/>
  <c r="B246" i="2"/>
  <c r="A246" i="2"/>
  <c r="H246" i="2"/>
  <c r="F246" i="2"/>
  <c r="G246" i="2"/>
  <c r="I467" i="2"/>
  <c r="H467" i="2"/>
  <c r="G467" i="2"/>
  <c r="F467" i="2"/>
  <c r="E467" i="2"/>
  <c r="D467" i="2"/>
  <c r="A467" i="2"/>
  <c r="C467" i="2"/>
  <c r="B467" i="2"/>
  <c r="A240" i="2"/>
  <c r="B240" i="2"/>
  <c r="E240" i="2"/>
  <c r="I240" i="2"/>
  <c r="H240" i="2"/>
  <c r="G240" i="2"/>
  <c r="F240" i="2"/>
  <c r="D240" i="2"/>
  <c r="C240" i="2"/>
  <c r="E420" i="2"/>
  <c r="D420" i="2"/>
  <c r="C420" i="2"/>
  <c r="B420" i="2"/>
  <c r="A420" i="2"/>
  <c r="I420" i="2"/>
  <c r="H420" i="2"/>
  <c r="G420" i="2"/>
  <c r="F420" i="2"/>
  <c r="G364" i="2"/>
  <c r="E364" i="2"/>
  <c r="C364" i="2"/>
  <c r="B364" i="2"/>
  <c r="A364" i="2"/>
  <c r="F364" i="2"/>
  <c r="D364" i="2"/>
  <c r="I364" i="2"/>
  <c r="H364" i="2"/>
  <c r="F100" i="2"/>
  <c r="E100" i="2"/>
  <c r="D100" i="2"/>
  <c r="C100" i="2"/>
  <c r="A100" i="2"/>
  <c r="I100" i="2"/>
  <c r="H100" i="2"/>
  <c r="G100" i="2"/>
  <c r="B100" i="2"/>
  <c r="G391" i="2"/>
  <c r="E391" i="2"/>
  <c r="C391" i="2"/>
  <c r="B391" i="2"/>
  <c r="A391" i="2"/>
  <c r="I391" i="2"/>
  <c r="H391" i="2"/>
  <c r="F391" i="2"/>
  <c r="D391" i="2"/>
  <c r="I507" i="2"/>
  <c r="H507" i="2"/>
  <c r="G507" i="2"/>
  <c r="F507" i="2"/>
  <c r="D507" i="2"/>
  <c r="C507" i="2"/>
  <c r="B507" i="2"/>
  <c r="A507" i="2"/>
  <c r="E507" i="2"/>
  <c r="E277" i="2"/>
  <c r="D277" i="2"/>
  <c r="C277" i="2"/>
  <c r="I277" i="2"/>
  <c r="H277" i="2"/>
  <c r="F277" i="2"/>
  <c r="A277" i="2"/>
  <c r="G277" i="2"/>
  <c r="B277" i="2"/>
  <c r="F113" i="2"/>
  <c r="D113" i="2"/>
  <c r="C113" i="2"/>
  <c r="I113" i="2"/>
  <c r="H113" i="2"/>
  <c r="G113" i="2"/>
  <c r="E113" i="2"/>
  <c r="B113" i="2"/>
  <c r="A113" i="2"/>
  <c r="D589" i="2"/>
  <c r="C589" i="2"/>
  <c r="B589" i="2"/>
  <c r="A589" i="2"/>
  <c r="I589" i="2"/>
  <c r="H589" i="2"/>
  <c r="G589" i="2"/>
  <c r="F589" i="2"/>
  <c r="E589" i="2"/>
  <c r="A265" i="2"/>
  <c r="I265" i="2"/>
  <c r="H265" i="2"/>
  <c r="G265" i="2"/>
  <c r="F265" i="2"/>
  <c r="E265" i="2"/>
  <c r="D265" i="2"/>
  <c r="C265" i="2"/>
  <c r="B265" i="2"/>
  <c r="E426" i="2"/>
  <c r="D426" i="2"/>
  <c r="C426" i="2"/>
  <c r="B426" i="2"/>
  <c r="A426" i="2"/>
  <c r="G426" i="2"/>
  <c r="F426" i="2"/>
  <c r="I426" i="2"/>
  <c r="H426" i="2"/>
  <c r="F406" i="2"/>
  <c r="I406" i="2"/>
  <c r="G406" i="2"/>
  <c r="E406" i="2"/>
  <c r="D406" i="2"/>
  <c r="C406" i="2"/>
  <c r="B406" i="2"/>
  <c r="A406" i="2"/>
  <c r="H406" i="2"/>
  <c r="I179" i="2"/>
  <c r="H179" i="2"/>
  <c r="D179" i="2"/>
  <c r="C179" i="2"/>
  <c r="B179" i="2"/>
  <c r="A179" i="2"/>
  <c r="G179" i="2"/>
  <c r="F179" i="2"/>
  <c r="E179" i="2"/>
  <c r="I363" i="2"/>
  <c r="G363" i="2"/>
  <c r="D363" i="2"/>
  <c r="C363" i="2"/>
  <c r="B363" i="2"/>
  <c r="A363" i="2"/>
  <c r="H363" i="2"/>
  <c r="F363" i="2"/>
  <c r="E363" i="2"/>
  <c r="A461" i="2"/>
  <c r="B461" i="2"/>
  <c r="F461" i="2"/>
  <c r="E461" i="2"/>
  <c r="D461" i="2"/>
  <c r="I461" i="2"/>
  <c r="H461" i="2"/>
  <c r="G461" i="2"/>
  <c r="C461" i="2"/>
  <c r="I182" i="2"/>
  <c r="B182" i="2"/>
  <c r="A182" i="2"/>
  <c r="H182" i="2"/>
  <c r="G182" i="2"/>
  <c r="F182" i="2"/>
  <c r="E182" i="2"/>
  <c r="C182" i="2"/>
  <c r="D182" i="2"/>
  <c r="G366" i="2"/>
  <c r="E366" i="2"/>
  <c r="I366" i="2"/>
  <c r="H366" i="2"/>
  <c r="F366" i="2"/>
  <c r="D366" i="2"/>
  <c r="C366" i="2"/>
  <c r="B366" i="2"/>
  <c r="A366" i="2"/>
  <c r="G290" i="2"/>
  <c r="F290" i="2"/>
  <c r="E290" i="2"/>
  <c r="D290" i="2"/>
  <c r="C290" i="2"/>
  <c r="B290" i="2"/>
  <c r="I290" i="2"/>
  <c r="H290" i="2"/>
  <c r="A290" i="2"/>
  <c r="I345" i="2"/>
  <c r="H345" i="2"/>
  <c r="G345" i="2"/>
  <c r="F345" i="2"/>
  <c r="A345" i="2"/>
  <c r="E345" i="2"/>
  <c r="D345" i="2"/>
  <c r="C345" i="2"/>
  <c r="B345" i="2"/>
  <c r="I209" i="2"/>
  <c r="H209" i="2"/>
  <c r="G209" i="2"/>
  <c r="F209" i="2"/>
  <c r="E209" i="2"/>
  <c r="D209" i="2"/>
  <c r="C209" i="2"/>
  <c r="B209" i="2"/>
  <c r="A209" i="2"/>
  <c r="F214" i="2"/>
  <c r="E214" i="2"/>
  <c r="D214" i="2"/>
  <c r="C214" i="2"/>
  <c r="I214" i="2"/>
  <c r="H214" i="2"/>
  <c r="G214" i="2"/>
  <c r="B214" i="2"/>
  <c r="A214" i="2"/>
  <c r="A275" i="2"/>
  <c r="B275" i="2"/>
  <c r="E275" i="2"/>
  <c r="G275" i="2"/>
  <c r="D275" i="2"/>
  <c r="F275" i="2"/>
  <c r="H275" i="2"/>
  <c r="C275" i="2"/>
  <c r="I275" i="2"/>
  <c r="B480" i="2"/>
  <c r="A480" i="2"/>
  <c r="F480" i="2"/>
  <c r="E480" i="2"/>
  <c r="D480" i="2"/>
  <c r="C480" i="2"/>
  <c r="I480" i="2"/>
  <c r="H480" i="2"/>
  <c r="G480" i="2"/>
  <c r="H331" i="2"/>
  <c r="G331" i="2"/>
  <c r="F331" i="2"/>
  <c r="E331" i="2"/>
  <c r="I331" i="2"/>
  <c r="D331" i="2"/>
  <c r="C331" i="2"/>
  <c r="B331" i="2"/>
  <c r="A331" i="2"/>
  <c r="I250" i="2"/>
  <c r="G250" i="2"/>
  <c r="F250" i="2"/>
  <c r="E250" i="2"/>
  <c r="D250" i="2"/>
  <c r="C250" i="2"/>
  <c r="B250" i="2"/>
  <c r="A250" i="2"/>
  <c r="H250" i="2"/>
  <c r="E20" i="2"/>
  <c r="C20" i="2"/>
  <c r="A20" i="2"/>
  <c r="H20" i="2"/>
  <c r="G20" i="2"/>
  <c r="I20" i="2"/>
  <c r="F20" i="2"/>
  <c r="D20" i="2"/>
  <c r="B20" i="2"/>
  <c r="F338" i="2"/>
  <c r="D338" i="2"/>
  <c r="E338" i="2"/>
  <c r="C338" i="2"/>
  <c r="B338" i="2"/>
  <c r="A338" i="2"/>
  <c r="I338" i="2"/>
  <c r="G338" i="2"/>
  <c r="H338" i="2"/>
  <c r="G340" i="2"/>
  <c r="E340" i="2"/>
  <c r="H340" i="2"/>
  <c r="F340" i="2"/>
  <c r="D340" i="2"/>
  <c r="C340" i="2"/>
  <c r="I340" i="2"/>
  <c r="B340" i="2"/>
  <c r="A340" i="2"/>
  <c r="I63" i="2"/>
  <c r="F63" i="2"/>
  <c r="C63" i="2"/>
  <c r="H63" i="2"/>
  <c r="G63" i="2"/>
  <c r="E63" i="2"/>
  <c r="D63" i="2"/>
  <c r="B63" i="2"/>
  <c r="A63" i="2"/>
  <c r="D302" i="2"/>
  <c r="B302" i="2"/>
  <c r="G302" i="2"/>
  <c r="F302" i="2"/>
  <c r="E302" i="2"/>
  <c r="I302" i="2"/>
  <c r="A302" i="2"/>
  <c r="C302" i="2"/>
  <c r="H302" i="2"/>
  <c r="I429" i="2"/>
  <c r="H429" i="2"/>
  <c r="G429" i="2"/>
  <c r="F429" i="2"/>
  <c r="A429" i="2"/>
  <c r="D429" i="2"/>
  <c r="E429" i="2"/>
  <c r="C429" i="2"/>
  <c r="B429" i="2"/>
  <c r="I74" i="2"/>
  <c r="C74" i="2"/>
  <c r="B74" i="2"/>
  <c r="A74" i="2"/>
  <c r="D74" i="2"/>
  <c r="F74" i="2"/>
  <c r="E74" i="2"/>
  <c r="H74" i="2"/>
  <c r="G74" i="2"/>
  <c r="I342" i="2"/>
  <c r="H342" i="2"/>
  <c r="G342" i="2"/>
  <c r="F342" i="2"/>
  <c r="E342" i="2"/>
  <c r="D342" i="2"/>
  <c r="C342" i="2"/>
  <c r="A342" i="2"/>
  <c r="B342" i="2"/>
  <c r="I378" i="2"/>
  <c r="H378" i="2"/>
  <c r="G378" i="2"/>
  <c r="C378" i="2"/>
  <c r="F378" i="2"/>
  <c r="E378" i="2"/>
  <c r="D378" i="2"/>
  <c r="A378" i="2"/>
  <c r="B378" i="2"/>
  <c r="I374" i="2"/>
  <c r="G374" i="2"/>
  <c r="B374" i="2"/>
  <c r="D374" i="2"/>
  <c r="C374" i="2"/>
  <c r="A374" i="2"/>
  <c r="H374" i="2"/>
  <c r="F374" i="2"/>
  <c r="E374" i="2"/>
  <c r="I522" i="2"/>
  <c r="H522" i="2"/>
  <c r="B522" i="2"/>
  <c r="A522" i="2"/>
  <c r="G522" i="2"/>
  <c r="F522" i="2"/>
  <c r="E522" i="2"/>
  <c r="D522" i="2"/>
  <c r="C522" i="2"/>
  <c r="D427" i="2"/>
  <c r="B427" i="2"/>
  <c r="C427" i="2"/>
  <c r="I427" i="2"/>
  <c r="F427" i="2"/>
  <c r="E427" i="2"/>
  <c r="A427" i="2"/>
  <c r="H427" i="2"/>
  <c r="G427" i="2"/>
  <c r="C87" i="2"/>
  <c r="B87" i="2"/>
  <c r="A87" i="2"/>
  <c r="D87" i="2"/>
  <c r="G87" i="2"/>
  <c r="H87" i="2"/>
  <c r="F87" i="2"/>
  <c r="I87" i="2"/>
  <c r="E87" i="2"/>
  <c r="F68" i="2"/>
  <c r="E68" i="2"/>
  <c r="D68" i="2"/>
  <c r="I68" i="2"/>
  <c r="G68" i="2"/>
  <c r="B68" i="2"/>
  <c r="A68" i="2"/>
  <c r="H68" i="2"/>
  <c r="C68" i="2"/>
  <c r="E117" i="2"/>
  <c r="I117" i="2"/>
  <c r="D117" i="2"/>
  <c r="C117" i="2"/>
  <c r="B117" i="2"/>
  <c r="A117" i="2"/>
  <c r="F117" i="2"/>
  <c r="H117" i="2"/>
  <c r="G117" i="2"/>
  <c r="D231" i="2"/>
  <c r="C231" i="2"/>
  <c r="B231" i="2"/>
  <c r="A231" i="2"/>
  <c r="I231" i="2"/>
  <c r="H231" i="2"/>
  <c r="G231" i="2"/>
  <c r="F231" i="2"/>
  <c r="E231" i="2"/>
  <c r="H273" i="2"/>
  <c r="G273" i="2"/>
  <c r="F273" i="2"/>
  <c r="E273" i="2"/>
  <c r="D273" i="2"/>
  <c r="C273" i="2"/>
  <c r="A273" i="2"/>
  <c r="I273" i="2"/>
  <c r="B273" i="2"/>
  <c r="I90" i="2"/>
  <c r="H90" i="2"/>
  <c r="D90" i="2"/>
  <c r="G90" i="2"/>
  <c r="F90" i="2"/>
  <c r="E90" i="2"/>
  <c r="C90" i="2"/>
  <c r="A90" i="2"/>
  <c r="B90" i="2"/>
  <c r="E37" i="2"/>
  <c r="H37" i="2"/>
  <c r="G37" i="2"/>
  <c r="A37" i="2"/>
  <c r="F37" i="2"/>
  <c r="C37" i="2"/>
  <c r="D37" i="2"/>
  <c r="B37" i="2"/>
  <c r="I37" i="2"/>
  <c r="I138" i="2"/>
  <c r="G138" i="2"/>
  <c r="E138" i="2"/>
  <c r="C138" i="2"/>
  <c r="H138" i="2"/>
  <c r="F138" i="2"/>
  <c r="D138" i="2"/>
  <c r="B138" i="2"/>
  <c r="A138" i="2"/>
  <c r="I222" i="2"/>
  <c r="H222" i="2"/>
  <c r="D222" i="2"/>
  <c r="C222" i="2"/>
  <c r="B222" i="2"/>
  <c r="A222" i="2"/>
  <c r="F222" i="2"/>
  <c r="G222" i="2"/>
  <c r="E222" i="2"/>
  <c r="G255" i="2"/>
  <c r="C255" i="2"/>
  <c r="I255" i="2"/>
  <c r="H255" i="2"/>
  <c r="D255" i="2"/>
  <c r="A255" i="2"/>
  <c r="F255" i="2"/>
  <c r="E255" i="2"/>
  <c r="B255" i="2"/>
  <c r="B551" i="2"/>
  <c r="A551" i="2"/>
  <c r="I551" i="2"/>
  <c r="H551" i="2"/>
  <c r="G551" i="2"/>
  <c r="F551" i="2"/>
  <c r="E551" i="2"/>
  <c r="D551" i="2"/>
  <c r="C551" i="2"/>
  <c r="I564" i="2"/>
  <c r="D564" i="2"/>
  <c r="A564" i="2"/>
  <c r="H564" i="2"/>
  <c r="E564" i="2"/>
  <c r="G564" i="2"/>
  <c r="F564" i="2"/>
  <c r="C564" i="2"/>
  <c r="B564" i="2"/>
  <c r="A278" i="2"/>
  <c r="I278" i="2"/>
  <c r="H278" i="2"/>
  <c r="G278" i="2"/>
  <c r="B278" i="2"/>
  <c r="F278" i="2"/>
  <c r="E278" i="2"/>
  <c r="D278" i="2"/>
  <c r="C278" i="2"/>
  <c r="B505" i="2"/>
  <c r="A505" i="2"/>
  <c r="C505" i="2"/>
  <c r="D505" i="2"/>
  <c r="I505" i="2"/>
  <c r="H505" i="2"/>
  <c r="G505" i="2"/>
  <c r="F505" i="2"/>
  <c r="E505" i="2"/>
  <c r="E197" i="2"/>
  <c r="C197" i="2"/>
  <c r="H197" i="2"/>
  <c r="F197" i="2"/>
  <c r="I197" i="2"/>
  <c r="A197" i="2"/>
  <c r="G197" i="2"/>
  <c r="B197" i="2"/>
  <c r="D197" i="2"/>
  <c r="G357" i="2"/>
  <c r="F357" i="2"/>
  <c r="E357" i="2"/>
  <c r="D357" i="2"/>
  <c r="C357" i="2"/>
  <c r="B357" i="2"/>
  <c r="I357" i="2"/>
  <c r="H357" i="2"/>
  <c r="A357" i="2"/>
  <c r="F390" i="2"/>
  <c r="I390" i="2"/>
  <c r="H390" i="2"/>
  <c r="G390" i="2"/>
  <c r="E390" i="2"/>
  <c r="D390" i="2"/>
  <c r="C390" i="2"/>
  <c r="B390" i="2"/>
  <c r="A390" i="2"/>
  <c r="I377" i="2"/>
  <c r="H377" i="2"/>
  <c r="A377" i="2"/>
  <c r="D377" i="2"/>
  <c r="E377" i="2"/>
  <c r="G377" i="2"/>
  <c r="F377" i="2"/>
  <c r="C377" i="2"/>
  <c r="B377" i="2"/>
  <c r="C327" i="2"/>
  <c r="A327" i="2"/>
  <c r="D327" i="2"/>
  <c r="I327" i="2"/>
  <c r="H327" i="2"/>
  <c r="G327" i="2"/>
  <c r="F327" i="2"/>
  <c r="B327" i="2"/>
  <c r="E327" i="2"/>
  <c r="B596" i="2"/>
  <c r="A596" i="2"/>
  <c r="D596" i="2"/>
  <c r="C596" i="2"/>
  <c r="I596" i="2"/>
  <c r="H596" i="2"/>
  <c r="G596" i="2"/>
  <c r="F596" i="2"/>
  <c r="E596" i="2"/>
  <c r="I41" i="2"/>
  <c r="A41" i="2"/>
  <c r="H41" i="2"/>
  <c r="G41" i="2"/>
  <c r="C41" i="2"/>
  <c r="B41" i="2"/>
  <c r="E41" i="2"/>
  <c r="F41" i="2"/>
  <c r="D41" i="2"/>
  <c r="I202" i="2"/>
  <c r="G202" i="2"/>
  <c r="B202" i="2"/>
  <c r="A202" i="2"/>
  <c r="H202" i="2"/>
  <c r="E202" i="2"/>
  <c r="F202" i="2"/>
  <c r="D202" i="2"/>
  <c r="C202" i="2"/>
  <c r="B417" i="2"/>
  <c r="I417" i="2"/>
  <c r="H417" i="2"/>
  <c r="G417" i="2"/>
  <c r="F417" i="2"/>
  <c r="D417" i="2"/>
  <c r="E417" i="2"/>
  <c r="C417" i="2"/>
  <c r="A417" i="2"/>
  <c r="I329" i="2"/>
  <c r="F329" i="2"/>
  <c r="E329" i="2"/>
  <c r="D329" i="2"/>
  <c r="C329" i="2"/>
  <c r="B329" i="2"/>
  <c r="A329" i="2"/>
  <c r="H329" i="2"/>
  <c r="G329" i="2"/>
  <c r="A224" i="2"/>
  <c r="I224" i="2"/>
  <c r="H224" i="2"/>
  <c r="G224" i="2"/>
  <c r="F224" i="2"/>
  <c r="E224" i="2"/>
  <c r="D224" i="2"/>
  <c r="C224" i="2"/>
  <c r="B224" i="2"/>
  <c r="H479" i="2"/>
  <c r="G479" i="2"/>
  <c r="F479" i="2"/>
  <c r="E479" i="2"/>
  <c r="D479" i="2"/>
  <c r="I479" i="2"/>
  <c r="A479" i="2"/>
  <c r="C479" i="2"/>
  <c r="B479" i="2"/>
  <c r="F582" i="2"/>
  <c r="E582" i="2"/>
  <c r="D582" i="2"/>
  <c r="C582" i="2"/>
  <c r="B582" i="2"/>
  <c r="A582" i="2"/>
  <c r="I582" i="2"/>
  <c r="H582" i="2"/>
  <c r="G582" i="2"/>
  <c r="D573" i="2"/>
  <c r="C573" i="2"/>
  <c r="B573" i="2"/>
  <c r="A573" i="2"/>
  <c r="I573" i="2"/>
  <c r="H573" i="2"/>
  <c r="G573" i="2"/>
  <c r="F573" i="2"/>
  <c r="E573" i="2"/>
  <c r="B492" i="2"/>
  <c r="A492" i="2"/>
  <c r="H492" i="2"/>
  <c r="E492" i="2"/>
  <c r="D492" i="2"/>
  <c r="C492" i="2"/>
  <c r="I492" i="2"/>
  <c r="G492" i="2"/>
  <c r="F492" i="2"/>
  <c r="B409" i="2"/>
  <c r="I409" i="2"/>
  <c r="G409" i="2"/>
  <c r="F409" i="2"/>
  <c r="E409" i="2"/>
  <c r="D409" i="2"/>
  <c r="C409" i="2"/>
  <c r="A409" i="2"/>
  <c r="H409" i="2"/>
  <c r="E86" i="2"/>
  <c r="D86" i="2"/>
  <c r="A86" i="2"/>
  <c r="C86" i="2"/>
  <c r="B86" i="2"/>
  <c r="I86" i="2"/>
  <c r="H86" i="2"/>
  <c r="G86" i="2"/>
  <c r="F86" i="2"/>
  <c r="B500" i="2"/>
  <c r="A500" i="2"/>
  <c r="G500" i="2"/>
  <c r="F500" i="2"/>
  <c r="E500" i="2"/>
  <c r="D500" i="2"/>
  <c r="C500" i="2"/>
  <c r="I500" i="2"/>
  <c r="H500" i="2"/>
  <c r="B441" i="2"/>
  <c r="A441" i="2"/>
  <c r="I441" i="2"/>
  <c r="H441" i="2"/>
  <c r="G441" i="2"/>
  <c r="F441" i="2"/>
  <c r="E441" i="2"/>
  <c r="D441" i="2"/>
  <c r="C441" i="2"/>
  <c r="F438" i="2"/>
  <c r="D438" i="2"/>
  <c r="C438" i="2"/>
  <c r="B438" i="2"/>
  <c r="I438" i="2"/>
  <c r="H438" i="2"/>
  <c r="G438" i="2"/>
  <c r="E438" i="2"/>
  <c r="A438" i="2"/>
  <c r="I301" i="2"/>
  <c r="H301" i="2"/>
  <c r="G301" i="2"/>
  <c r="F301" i="2"/>
  <c r="E301" i="2"/>
  <c r="D301" i="2"/>
  <c r="C301" i="2"/>
  <c r="A301" i="2"/>
  <c r="B301" i="2"/>
  <c r="I35" i="2"/>
  <c r="H35" i="2"/>
  <c r="D35" i="2"/>
  <c r="A35" i="2"/>
  <c r="G35" i="2"/>
  <c r="C35" i="2"/>
  <c r="E35" i="2"/>
  <c r="B35" i="2"/>
  <c r="F35" i="2"/>
  <c r="A546" i="2"/>
  <c r="G546" i="2"/>
  <c r="E546" i="2"/>
  <c r="B546" i="2"/>
  <c r="D546" i="2"/>
  <c r="C546" i="2"/>
  <c r="H546" i="2"/>
  <c r="I546" i="2"/>
  <c r="F546" i="2"/>
  <c r="F304" i="2"/>
  <c r="E304" i="2"/>
  <c r="D304" i="2"/>
  <c r="C304" i="2"/>
  <c r="B304" i="2"/>
  <c r="A304" i="2"/>
  <c r="H304" i="2"/>
  <c r="I304" i="2"/>
  <c r="G304" i="2"/>
  <c r="C158" i="2"/>
  <c r="A158" i="2"/>
  <c r="D158" i="2"/>
  <c r="B158" i="2"/>
  <c r="H158" i="2"/>
  <c r="F158" i="2"/>
  <c r="E158" i="2"/>
  <c r="I158" i="2"/>
  <c r="G158" i="2"/>
  <c r="E153" i="2"/>
  <c r="D153" i="2"/>
  <c r="C153" i="2"/>
  <c r="B153" i="2"/>
  <c r="A153" i="2"/>
  <c r="I153" i="2"/>
  <c r="H153" i="2"/>
  <c r="G153" i="2"/>
  <c r="F153" i="2"/>
  <c r="A136" i="2"/>
  <c r="I136" i="2"/>
  <c r="H136" i="2"/>
  <c r="E136" i="2"/>
  <c r="D136" i="2"/>
  <c r="G136" i="2"/>
  <c r="F136" i="2"/>
  <c r="C136" i="2"/>
  <c r="B136" i="2"/>
  <c r="F542" i="2"/>
  <c r="E542" i="2"/>
  <c r="D542" i="2"/>
  <c r="C542" i="2"/>
  <c r="B542" i="2"/>
  <c r="H542" i="2"/>
  <c r="A542" i="2"/>
  <c r="I542" i="2"/>
  <c r="G542" i="2"/>
  <c r="F183" i="2"/>
  <c r="D183" i="2"/>
  <c r="B183" i="2"/>
  <c r="A183" i="2"/>
  <c r="I183" i="2"/>
  <c r="H183" i="2"/>
  <c r="G183" i="2"/>
  <c r="E183" i="2"/>
  <c r="C183" i="2"/>
  <c r="A442" i="2"/>
  <c r="E442" i="2"/>
  <c r="D442" i="2"/>
  <c r="C442" i="2"/>
  <c r="B442" i="2"/>
  <c r="I442" i="2"/>
  <c r="F442" i="2"/>
  <c r="G442" i="2"/>
  <c r="H442" i="2"/>
  <c r="A488" i="2"/>
  <c r="D488" i="2"/>
  <c r="C488" i="2"/>
  <c r="B488" i="2"/>
  <c r="I488" i="2"/>
  <c r="H488" i="2"/>
  <c r="G488" i="2"/>
  <c r="F488" i="2"/>
  <c r="E488" i="2"/>
  <c r="G413" i="2"/>
  <c r="E413" i="2"/>
  <c r="B413" i="2"/>
  <c r="A413" i="2"/>
  <c r="I413" i="2"/>
  <c r="H413" i="2"/>
  <c r="F413" i="2"/>
  <c r="D413" i="2"/>
  <c r="C413" i="2"/>
  <c r="E85" i="2"/>
  <c r="I85" i="2"/>
  <c r="G85" i="2"/>
  <c r="B85" i="2"/>
  <c r="H85" i="2"/>
  <c r="F85" i="2"/>
  <c r="D85" i="2"/>
  <c r="C85" i="2"/>
  <c r="A85" i="2"/>
  <c r="C373" i="2"/>
  <c r="B373" i="2"/>
  <c r="A373" i="2"/>
  <c r="I373" i="2"/>
  <c r="H373" i="2"/>
  <c r="G373" i="2"/>
  <c r="F373" i="2"/>
  <c r="E373" i="2"/>
  <c r="D373" i="2"/>
  <c r="I381" i="2"/>
  <c r="H381" i="2"/>
  <c r="G381" i="2"/>
  <c r="F381" i="2"/>
  <c r="E381" i="2"/>
  <c r="D381" i="2"/>
  <c r="A381" i="2"/>
  <c r="B381" i="2"/>
  <c r="C381" i="2"/>
  <c r="F400" i="2"/>
  <c r="E400" i="2"/>
  <c r="D400" i="2"/>
  <c r="C400" i="2"/>
  <c r="B400" i="2"/>
  <c r="A400" i="2"/>
  <c r="G400" i="2"/>
  <c r="I400" i="2"/>
  <c r="H400" i="2"/>
  <c r="B513" i="2"/>
  <c r="A513" i="2"/>
  <c r="I513" i="2"/>
  <c r="H513" i="2"/>
  <c r="G513" i="2"/>
  <c r="E513" i="2"/>
  <c r="D513" i="2"/>
  <c r="C513" i="2"/>
  <c r="F513" i="2"/>
  <c r="G435" i="2"/>
  <c r="F435" i="2"/>
  <c r="E435" i="2"/>
  <c r="I435" i="2"/>
  <c r="A435" i="2"/>
  <c r="D435" i="2"/>
  <c r="H435" i="2"/>
  <c r="B435" i="2"/>
  <c r="C435" i="2"/>
  <c r="E61" i="2"/>
  <c r="B61" i="2"/>
  <c r="G61" i="2"/>
  <c r="F61" i="2"/>
  <c r="D61" i="2"/>
  <c r="C61" i="2"/>
  <c r="A61" i="2"/>
  <c r="H61" i="2"/>
  <c r="I61" i="2"/>
  <c r="C51" i="2"/>
  <c r="B51" i="2"/>
  <c r="A51" i="2"/>
  <c r="G51" i="2"/>
  <c r="F51" i="2"/>
  <c r="E51" i="2"/>
  <c r="D51" i="2"/>
  <c r="I51" i="2"/>
  <c r="H51" i="2"/>
  <c r="I196" i="2"/>
  <c r="H196" i="2"/>
  <c r="G196" i="2"/>
  <c r="E196" i="2"/>
  <c r="B196" i="2"/>
  <c r="A196" i="2"/>
  <c r="F196" i="2"/>
  <c r="D196" i="2"/>
  <c r="C196" i="2"/>
  <c r="I293" i="2"/>
  <c r="H293" i="2"/>
  <c r="G293" i="2"/>
  <c r="F293" i="2"/>
  <c r="E293" i="2"/>
  <c r="D293" i="2"/>
  <c r="C293" i="2"/>
  <c r="B293" i="2"/>
  <c r="A293" i="2"/>
  <c r="A469" i="2"/>
  <c r="E469" i="2"/>
  <c r="D469" i="2"/>
  <c r="C469" i="2"/>
  <c r="B469" i="2"/>
  <c r="I469" i="2"/>
  <c r="H469" i="2"/>
  <c r="G469" i="2"/>
  <c r="F469" i="2"/>
  <c r="A64" i="2"/>
  <c r="H64" i="2"/>
  <c r="G64" i="2"/>
  <c r="D64" i="2"/>
  <c r="F64" i="2"/>
  <c r="E64" i="2"/>
  <c r="I64" i="2"/>
  <c r="C64" i="2"/>
  <c r="B64" i="2"/>
  <c r="E316" i="2"/>
  <c r="A316" i="2"/>
  <c r="I316" i="2"/>
  <c r="H316" i="2"/>
  <c r="G316" i="2"/>
  <c r="F316" i="2"/>
  <c r="D316" i="2"/>
  <c r="C316" i="2"/>
  <c r="B316" i="2"/>
  <c r="E482" i="2"/>
  <c r="D482" i="2"/>
  <c r="C482" i="2"/>
  <c r="B482" i="2"/>
  <c r="A482" i="2"/>
  <c r="G482" i="2"/>
  <c r="I482" i="2"/>
  <c r="H482" i="2"/>
  <c r="F482" i="2"/>
  <c r="H318" i="2"/>
  <c r="I318" i="2"/>
  <c r="G318" i="2"/>
  <c r="F318" i="2"/>
  <c r="E318" i="2"/>
  <c r="D318" i="2"/>
  <c r="C318" i="2"/>
  <c r="B318" i="2"/>
  <c r="A318" i="2"/>
  <c r="I67" i="2"/>
  <c r="H67" i="2"/>
  <c r="G67" i="2"/>
  <c r="F67" i="2"/>
  <c r="C67" i="2"/>
  <c r="E67" i="2"/>
  <c r="A67" i="2"/>
  <c r="D67" i="2"/>
  <c r="B67" i="2"/>
  <c r="I549" i="2"/>
  <c r="H549" i="2"/>
  <c r="G549" i="2"/>
  <c r="F549" i="2"/>
  <c r="E549" i="2"/>
  <c r="A549" i="2"/>
  <c r="B549" i="2"/>
  <c r="C549" i="2"/>
  <c r="D549" i="2"/>
  <c r="C326" i="2"/>
  <c r="B326" i="2"/>
  <c r="A326" i="2"/>
  <c r="F326" i="2"/>
  <c r="G326" i="2"/>
  <c r="D326" i="2"/>
  <c r="I326" i="2"/>
  <c r="H326" i="2"/>
  <c r="E326" i="2"/>
  <c r="I81" i="2"/>
  <c r="H81" i="2"/>
  <c r="G81" i="2"/>
  <c r="F81" i="2"/>
  <c r="E81" i="2"/>
  <c r="A81" i="2"/>
  <c r="C81" i="2"/>
  <c r="D81" i="2"/>
  <c r="B81" i="2"/>
  <c r="E245" i="2"/>
  <c r="C245" i="2"/>
  <c r="F245" i="2"/>
  <c r="D245" i="2"/>
  <c r="B245" i="2"/>
  <c r="A245" i="2"/>
  <c r="I245" i="2"/>
  <c r="H245" i="2"/>
  <c r="G245" i="2"/>
  <c r="G538" i="2"/>
  <c r="F538" i="2"/>
  <c r="E538" i="2"/>
  <c r="D538" i="2"/>
  <c r="C538" i="2"/>
  <c r="B538" i="2"/>
  <c r="A538" i="2"/>
  <c r="I538" i="2"/>
  <c r="H538" i="2"/>
  <c r="H211" i="2"/>
  <c r="G211" i="2"/>
  <c r="F211" i="2"/>
  <c r="A211" i="2"/>
  <c r="C211" i="2"/>
  <c r="D211" i="2"/>
  <c r="B211" i="2"/>
  <c r="I211" i="2"/>
  <c r="E211" i="2"/>
  <c r="F382" i="2"/>
  <c r="G382" i="2"/>
  <c r="C382" i="2"/>
  <c r="I382" i="2"/>
  <c r="D382" i="2"/>
  <c r="H382" i="2"/>
  <c r="A382" i="2"/>
  <c r="E382" i="2"/>
  <c r="B382" i="2"/>
  <c r="H468" i="2"/>
  <c r="G468" i="2"/>
  <c r="F468" i="2"/>
  <c r="E468" i="2"/>
  <c r="I468" i="2"/>
  <c r="D468" i="2"/>
  <c r="C468" i="2"/>
  <c r="B468" i="2"/>
  <c r="A468" i="2"/>
  <c r="G334" i="2"/>
  <c r="F334" i="2"/>
  <c r="E334" i="2"/>
  <c r="D334" i="2"/>
  <c r="A334" i="2"/>
  <c r="B334" i="2"/>
  <c r="I334" i="2"/>
  <c r="H334" i="2"/>
  <c r="C334" i="2"/>
  <c r="I321" i="2"/>
  <c r="G321" i="2"/>
  <c r="E321" i="2"/>
  <c r="D321" i="2"/>
  <c r="B321" i="2"/>
  <c r="A321" i="2"/>
  <c r="H321" i="2"/>
  <c r="F321" i="2"/>
  <c r="C321" i="2"/>
  <c r="C94" i="2"/>
  <c r="A94" i="2"/>
  <c r="I94" i="2"/>
  <c r="H94" i="2"/>
  <c r="G94" i="2"/>
  <c r="B94" i="2"/>
  <c r="F94" i="2"/>
  <c r="E94" i="2"/>
  <c r="D94" i="2"/>
  <c r="A386" i="2"/>
  <c r="F386" i="2"/>
  <c r="D386" i="2"/>
  <c r="E386" i="2"/>
  <c r="C386" i="2"/>
  <c r="I386" i="2"/>
  <c r="H386" i="2"/>
  <c r="G386" i="2"/>
  <c r="B386" i="2"/>
  <c r="F140" i="2"/>
  <c r="I140" i="2"/>
  <c r="H140" i="2"/>
  <c r="G140" i="2"/>
  <c r="E140" i="2"/>
  <c r="B140" i="2"/>
  <c r="C140" i="2"/>
  <c r="A140" i="2"/>
  <c r="D140" i="2"/>
  <c r="I361" i="2"/>
  <c r="D361" i="2"/>
  <c r="C361" i="2"/>
  <c r="B361" i="2"/>
  <c r="A361" i="2"/>
  <c r="H361" i="2"/>
  <c r="G361" i="2"/>
  <c r="F361" i="2"/>
  <c r="E361" i="2"/>
  <c r="I143" i="2"/>
  <c r="C143" i="2"/>
  <c r="A143" i="2"/>
  <c r="H143" i="2"/>
  <c r="G143" i="2"/>
  <c r="F143" i="2"/>
  <c r="E143" i="2"/>
  <c r="D143" i="2"/>
  <c r="B143" i="2"/>
  <c r="E221" i="2"/>
  <c r="C221" i="2"/>
  <c r="H221" i="2"/>
  <c r="G221" i="2"/>
  <c r="F221" i="2"/>
  <c r="D221" i="2"/>
  <c r="B221" i="2"/>
  <c r="A221" i="2"/>
  <c r="I221" i="2"/>
  <c r="D262" i="2"/>
  <c r="C262" i="2"/>
  <c r="B262" i="2"/>
  <c r="A262" i="2"/>
  <c r="H262" i="2"/>
  <c r="E262" i="2"/>
  <c r="I262" i="2"/>
  <c r="G262" i="2"/>
  <c r="F262" i="2"/>
  <c r="G299" i="2"/>
  <c r="E299" i="2"/>
  <c r="H299" i="2"/>
  <c r="F299" i="2"/>
  <c r="D299" i="2"/>
  <c r="B299" i="2"/>
  <c r="A299" i="2"/>
  <c r="C299" i="2"/>
  <c r="I299" i="2"/>
  <c r="I57" i="2"/>
  <c r="G57" i="2"/>
  <c r="H57" i="2"/>
  <c r="F57" i="2"/>
  <c r="B57" i="2"/>
  <c r="E57" i="2"/>
  <c r="D57" i="2"/>
  <c r="C57" i="2"/>
  <c r="A57" i="2"/>
  <c r="I137" i="2"/>
  <c r="D137" i="2"/>
  <c r="C137" i="2"/>
  <c r="B137" i="2"/>
  <c r="A137" i="2"/>
  <c r="H137" i="2"/>
  <c r="F137" i="2"/>
  <c r="G137" i="2"/>
  <c r="E137" i="2"/>
  <c r="A232" i="2"/>
  <c r="I232" i="2"/>
  <c r="H232" i="2"/>
  <c r="G232" i="2"/>
  <c r="F232" i="2"/>
  <c r="C232" i="2"/>
  <c r="E232" i="2"/>
  <c r="D232" i="2"/>
  <c r="B232" i="2"/>
  <c r="B533" i="2"/>
  <c r="A533" i="2"/>
  <c r="D533" i="2"/>
  <c r="C533" i="2"/>
  <c r="I533" i="2"/>
  <c r="H533" i="2"/>
  <c r="G533" i="2"/>
  <c r="F533" i="2"/>
  <c r="E533" i="2"/>
  <c r="I33" i="2"/>
  <c r="G33" i="2"/>
  <c r="E33" i="2"/>
  <c r="D33" i="2"/>
  <c r="C33" i="2"/>
  <c r="B33" i="2"/>
  <c r="A33" i="2"/>
  <c r="H33" i="2"/>
  <c r="F33" i="2"/>
  <c r="D434" i="2"/>
  <c r="C434" i="2"/>
  <c r="B434" i="2"/>
  <c r="A434" i="2"/>
  <c r="H434" i="2"/>
  <c r="G434" i="2"/>
  <c r="F434" i="2"/>
  <c r="E434" i="2"/>
  <c r="I434" i="2"/>
  <c r="A96" i="2"/>
  <c r="H96" i="2"/>
  <c r="G96" i="2"/>
  <c r="B96" i="2"/>
  <c r="F96" i="2"/>
  <c r="E96" i="2"/>
  <c r="D96" i="2"/>
  <c r="C96" i="2"/>
  <c r="I96" i="2"/>
  <c r="B401" i="2"/>
  <c r="I401" i="2"/>
  <c r="H401" i="2"/>
  <c r="G401" i="2"/>
  <c r="F401" i="2"/>
  <c r="E401" i="2"/>
  <c r="C401" i="2"/>
  <c r="D401" i="2"/>
  <c r="A401" i="2"/>
  <c r="B593" i="2"/>
  <c r="A593" i="2"/>
  <c r="I593" i="2"/>
  <c r="H593" i="2"/>
  <c r="G593" i="2"/>
  <c r="F593" i="2"/>
  <c r="C593" i="2"/>
  <c r="E593" i="2"/>
  <c r="D593" i="2"/>
  <c r="I444" i="2"/>
  <c r="H444" i="2"/>
  <c r="G444" i="2"/>
  <c r="F444" i="2"/>
  <c r="E444" i="2"/>
  <c r="D444" i="2"/>
  <c r="C444" i="2"/>
  <c r="B444" i="2"/>
  <c r="A444" i="2"/>
  <c r="D599" i="2"/>
  <c r="C599" i="2"/>
  <c r="B599" i="2"/>
  <c r="A599" i="2"/>
  <c r="I599" i="2"/>
  <c r="H599" i="2"/>
  <c r="G599" i="2"/>
  <c r="F599" i="2"/>
  <c r="E599" i="2"/>
  <c r="I443" i="2"/>
  <c r="H443" i="2"/>
  <c r="G443" i="2"/>
  <c r="F443" i="2"/>
  <c r="E443" i="2"/>
  <c r="D443" i="2"/>
  <c r="C443" i="2"/>
  <c r="B443" i="2"/>
  <c r="A443" i="2"/>
  <c r="I82" i="2"/>
  <c r="H82" i="2"/>
  <c r="E82" i="2"/>
  <c r="D82" i="2"/>
  <c r="C82" i="2"/>
  <c r="B82" i="2"/>
  <c r="A82" i="2"/>
  <c r="F82" i="2"/>
  <c r="G82" i="2"/>
  <c r="I333" i="2"/>
  <c r="H333" i="2"/>
  <c r="G333" i="2"/>
  <c r="F333" i="2"/>
  <c r="D333" i="2"/>
  <c r="C333" i="2"/>
  <c r="E333" i="2"/>
  <c r="B333" i="2"/>
  <c r="A333" i="2"/>
  <c r="D355" i="2"/>
  <c r="B355" i="2"/>
  <c r="F355" i="2"/>
  <c r="E355" i="2"/>
  <c r="C355" i="2"/>
  <c r="A355" i="2"/>
  <c r="I355" i="2"/>
  <c r="H355" i="2"/>
  <c r="G355" i="2"/>
  <c r="G458" i="2"/>
  <c r="D458" i="2"/>
  <c r="I458" i="2"/>
  <c r="H458" i="2"/>
  <c r="F458" i="2"/>
  <c r="E458" i="2"/>
  <c r="C458" i="2"/>
  <c r="B458" i="2"/>
  <c r="A458" i="2"/>
  <c r="I226" i="2"/>
  <c r="G226" i="2"/>
  <c r="F226" i="2"/>
  <c r="H226" i="2"/>
  <c r="E226" i="2"/>
  <c r="C226" i="2"/>
  <c r="D226" i="2"/>
  <c r="B226" i="2"/>
  <c r="A226" i="2"/>
  <c r="G276" i="2"/>
  <c r="F276" i="2"/>
  <c r="E276" i="2"/>
  <c r="D276" i="2"/>
  <c r="C276" i="2"/>
  <c r="B276" i="2"/>
  <c r="I276" i="2"/>
  <c r="H276" i="2"/>
  <c r="A276" i="2"/>
  <c r="F124" i="2"/>
  <c r="D124" i="2"/>
  <c r="G124" i="2"/>
  <c r="I124" i="2"/>
  <c r="H124" i="2"/>
  <c r="E124" i="2"/>
  <c r="C124" i="2"/>
  <c r="B124" i="2"/>
  <c r="A124" i="2"/>
  <c r="G243" i="2"/>
  <c r="F243" i="2"/>
  <c r="E243" i="2"/>
  <c r="D243" i="2"/>
  <c r="C243" i="2"/>
  <c r="B243" i="2"/>
  <c r="H243" i="2"/>
  <c r="I243" i="2"/>
  <c r="A243" i="2"/>
  <c r="A495" i="2"/>
  <c r="I495" i="2"/>
  <c r="H495" i="2"/>
  <c r="G495" i="2"/>
  <c r="F495" i="2"/>
  <c r="E495" i="2"/>
  <c r="B495" i="2"/>
  <c r="C495" i="2"/>
  <c r="D495" i="2"/>
  <c r="I76" i="2"/>
  <c r="G76" i="2"/>
  <c r="F76" i="2"/>
  <c r="A76" i="2"/>
  <c r="E76" i="2"/>
  <c r="D76" i="2"/>
  <c r="C76" i="2"/>
  <c r="B76" i="2"/>
  <c r="H76" i="2"/>
  <c r="E253" i="2"/>
  <c r="C253" i="2"/>
  <c r="I253" i="2"/>
  <c r="H253" i="2"/>
  <c r="G253" i="2"/>
  <c r="F253" i="2"/>
  <c r="D253" i="2"/>
  <c r="B253" i="2"/>
  <c r="A253" i="2"/>
  <c r="I106" i="2"/>
  <c r="D106" i="2"/>
  <c r="C106" i="2"/>
  <c r="B106" i="2"/>
  <c r="A106" i="2"/>
  <c r="H106" i="2"/>
  <c r="G106" i="2"/>
  <c r="F106" i="2"/>
  <c r="E106" i="2"/>
  <c r="I445" i="2"/>
  <c r="H445" i="2"/>
  <c r="G445" i="2"/>
  <c r="F445" i="2"/>
  <c r="E445" i="2"/>
  <c r="D445" i="2"/>
  <c r="B445" i="2"/>
  <c r="C445" i="2"/>
  <c r="A445" i="2"/>
  <c r="G332" i="2"/>
  <c r="E332" i="2"/>
  <c r="I332" i="2"/>
  <c r="H332" i="2"/>
  <c r="F332" i="2"/>
  <c r="D332" i="2"/>
  <c r="C332" i="2"/>
  <c r="A332" i="2"/>
  <c r="B332" i="2"/>
  <c r="C524" i="2"/>
  <c r="B524" i="2"/>
  <c r="A524" i="2"/>
  <c r="G524" i="2"/>
  <c r="D524" i="2"/>
  <c r="I524" i="2"/>
  <c r="E524" i="2"/>
  <c r="F524" i="2"/>
  <c r="H524" i="2"/>
  <c r="I448" i="2"/>
  <c r="A448" i="2"/>
  <c r="G448" i="2"/>
  <c r="D448" i="2"/>
  <c r="F448" i="2"/>
  <c r="E448" i="2"/>
  <c r="H448" i="2"/>
  <c r="C448" i="2"/>
  <c r="B448" i="2"/>
  <c r="I525" i="2"/>
  <c r="G525" i="2"/>
  <c r="F525" i="2"/>
  <c r="E525" i="2"/>
  <c r="D525" i="2"/>
  <c r="C525" i="2"/>
  <c r="B525" i="2"/>
  <c r="A525" i="2"/>
  <c r="H525" i="2"/>
  <c r="E189" i="2"/>
  <c r="C189" i="2"/>
  <c r="A189" i="2"/>
  <c r="B189" i="2"/>
  <c r="G189" i="2"/>
  <c r="I189" i="2"/>
  <c r="H189" i="2"/>
  <c r="F189" i="2"/>
  <c r="D189" i="2"/>
  <c r="I98" i="2"/>
  <c r="G98" i="2"/>
  <c r="H98" i="2"/>
  <c r="F98" i="2"/>
  <c r="E98" i="2"/>
  <c r="D98" i="2"/>
  <c r="C98" i="2"/>
  <c r="B98" i="2"/>
  <c r="A98" i="2"/>
  <c r="E156" i="2"/>
  <c r="D156" i="2"/>
  <c r="C156" i="2"/>
  <c r="B156" i="2"/>
  <c r="A156" i="2"/>
  <c r="G156" i="2"/>
  <c r="F156" i="2"/>
  <c r="I156" i="2"/>
  <c r="H156" i="2"/>
  <c r="B238" i="2"/>
  <c r="A238" i="2"/>
  <c r="E238" i="2"/>
  <c r="I238" i="2"/>
  <c r="F238" i="2"/>
  <c r="H238" i="2"/>
  <c r="D238" i="2"/>
  <c r="G238" i="2"/>
  <c r="C238" i="2"/>
  <c r="E159" i="2"/>
  <c r="D159" i="2"/>
  <c r="C159" i="2"/>
  <c r="B159" i="2"/>
  <c r="A159" i="2"/>
  <c r="I159" i="2"/>
  <c r="H159" i="2"/>
  <c r="G159" i="2"/>
  <c r="F159" i="2"/>
  <c r="F279" i="2"/>
  <c r="E279" i="2"/>
  <c r="D279" i="2"/>
  <c r="C279" i="2"/>
  <c r="B279" i="2"/>
  <c r="A279" i="2"/>
  <c r="H279" i="2"/>
  <c r="G279" i="2"/>
  <c r="I279" i="2"/>
  <c r="I188" i="2"/>
  <c r="H188" i="2"/>
  <c r="B188" i="2"/>
  <c r="G188" i="2"/>
  <c r="F188" i="2"/>
  <c r="E188" i="2"/>
  <c r="D188" i="2"/>
  <c r="C188" i="2"/>
  <c r="A188" i="2"/>
  <c r="A200" i="2"/>
  <c r="E200" i="2"/>
  <c r="C200" i="2"/>
  <c r="I200" i="2"/>
  <c r="H200" i="2"/>
  <c r="G200" i="2"/>
  <c r="F200" i="2"/>
  <c r="D200" i="2"/>
  <c r="B200" i="2"/>
  <c r="I58" i="2"/>
  <c r="E58" i="2"/>
  <c r="C58" i="2"/>
  <c r="F58" i="2"/>
  <c r="D58" i="2"/>
  <c r="A58" i="2"/>
  <c r="B58" i="2"/>
  <c r="H58" i="2"/>
  <c r="G58" i="2"/>
  <c r="D368" i="2"/>
  <c r="C368" i="2"/>
  <c r="B368" i="2"/>
  <c r="A368" i="2"/>
  <c r="I368" i="2"/>
  <c r="H368" i="2"/>
  <c r="G368" i="2"/>
  <c r="F368" i="2"/>
  <c r="E368" i="2"/>
  <c r="I178" i="2"/>
  <c r="G178" i="2"/>
  <c r="D178" i="2"/>
  <c r="C178" i="2"/>
  <c r="B178" i="2"/>
  <c r="A178" i="2"/>
  <c r="F178" i="2"/>
  <c r="H178" i="2"/>
  <c r="E178" i="2"/>
  <c r="E173" i="2"/>
  <c r="C173" i="2"/>
  <c r="G173" i="2"/>
  <c r="F173" i="2"/>
  <c r="D173" i="2"/>
  <c r="B173" i="2"/>
  <c r="A173" i="2"/>
  <c r="I173" i="2"/>
  <c r="H173" i="2"/>
  <c r="H252" i="2"/>
  <c r="B252" i="2"/>
  <c r="G252" i="2"/>
  <c r="F252" i="2"/>
  <c r="E252" i="2"/>
  <c r="D252" i="2"/>
  <c r="C252" i="2"/>
  <c r="A252" i="2"/>
  <c r="I252" i="2"/>
  <c r="G84" i="2"/>
  <c r="F84" i="2"/>
  <c r="B84" i="2"/>
  <c r="E84" i="2"/>
  <c r="D84" i="2"/>
  <c r="A84" i="2"/>
  <c r="H84" i="2"/>
  <c r="C84" i="2"/>
  <c r="I84" i="2"/>
  <c r="A311" i="2"/>
  <c r="D311" i="2"/>
  <c r="C311" i="2"/>
  <c r="B311" i="2"/>
  <c r="I311" i="2"/>
  <c r="H311" i="2"/>
  <c r="G311" i="2"/>
  <c r="F311" i="2"/>
  <c r="E311" i="2"/>
  <c r="B198" i="2"/>
  <c r="A198" i="2"/>
  <c r="G198" i="2"/>
  <c r="F198" i="2"/>
  <c r="E198" i="2"/>
  <c r="D198" i="2"/>
  <c r="C198" i="2"/>
  <c r="H198" i="2"/>
  <c r="I198" i="2"/>
  <c r="I193" i="2"/>
  <c r="H193" i="2"/>
  <c r="G193" i="2"/>
  <c r="F193" i="2"/>
  <c r="E193" i="2"/>
  <c r="D193" i="2"/>
  <c r="C193" i="2"/>
  <c r="B193" i="2"/>
  <c r="A193" i="2"/>
  <c r="I362" i="2"/>
  <c r="H362" i="2"/>
  <c r="G362" i="2"/>
  <c r="F362" i="2"/>
  <c r="E362" i="2"/>
  <c r="D362" i="2"/>
  <c r="B362" i="2"/>
  <c r="A362" i="2"/>
  <c r="C362" i="2"/>
  <c r="E155" i="2"/>
  <c r="C155" i="2"/>
  <c r="I155" i="2"/>
  <c r="B155" i="2"/>
  <c r="A155" i="2"/>
  <c r="H155" i="2"/>
  <c r="G155" i="2"/>
  <c r="F155" i="2"/>
  <c r="D155" i="2"/>
  <c r="I254" i="2"/>
  <c r="H254" i="2"/>
  <c r="G254" i="2"/>
  <c r="F254" i="2"/>
  <c r="B254" i="2"/>
  <c r="D254" i="2"/>
  <c r="E254" i="2"/>
  <c r="C254" i="2"/>
  <c r="A254" i="2"/>
  <c r="E161" i="2"/>
  <c r="I161" i="2"/>
  <c r="H161" i="2"/>
  <c r="G161" i="2"/>
  <c r="F161" i="2"/>
  <c r="D161" i="2"/>
  <c r="C161" i="2"/>
  <c r="B161" i="2"/>
  <c r="A161" i="2"/>
  <c r="A56" i="2"/>
  <c r="E56" i="2"/>
  <c r="D56" i="2"/>
  <c r="C56" i="2"/>
  <c r="B56" i="2"/>
  <c r="H56" i="2"/>
  <c r="I56" i="2"/>
  <c r="F56" i="2"/>
  <c r="G56" i="2"/>
  <c r="F478" i="2"/>
  <c r="D478" i="2"/>
  <c r="C478" i="2"/>
  <c r="B478" i="2"/>
  <c r="A478" i="2"/>
  <c r="I478" i="2"/>
  <c r="H478" i="2"/>
  <c r="G478" i="2"/>
  <c r="E478" i="2"/>
  <c r="H107" i="2"/>
  <c r="G107" i="2"/>
  <c r="C107" i="2"/>
  <c r="A107" i="2"/>
  <c r="I107" i="2"/>
  <c r="F107" i="2"/>
  <c r="D107" i="2"/>
  <c r="E107" i="2"/>
  <c r="B107" i="2"/>
  <c r="I423" i="2"/>
  <c r="H423" i="2"/>
  <c r="G423" i="2"/>
  <c r="F423" i="2"/>
  <c r="E423" i="2"/>
  <c r="D423" i="2"/>
  <c r="C423" i="2"/>
  <c r="B423" i="2"/>
  <c r="A423" i="2"/>
  <c r="I322" i="2"/>
  <c r="H322" i="2"/>
  <c r="G322" i="2"/>
  <c r="F322" i="2"/>
  <c r="E322" i="2"/>
  <c r="D322" i="2"/>
  <c r="B322" i="2"/>
  <c r="C322" i="2"/>
  <c r="A322" i="2"/>
  <c r="A447" i="2"/>
  <c r="I447" i="2"/>
  <c r="H447" i="2"/>
  <c r="G447" i="2"/>
  <c r="F447" i="2"/>
  <c r="E447" i="2"/>
  <c r="D447" i="2"/>
  <c r="C447" i="2"/>
  <c r="B447" i="2"/>
  <c r="F454" i="2"/>
  <c r="I454" i="2"/>
  <c r="E454" i="2"/>
  <c r="B454" i="2"/>
  <c r="D454" i="2"/>
  <c r="C454" i="2"/>
  <c r="G454" i="2"/>
  <c r="A454" i="2"/>
  <c r="H454" i="2"/>
  <c r="H451" i="2"/>
  <c r="G451" i="2"/>
  <c r="F451" i="2"/>
  <c r="E451" i="2"/>
  <c r="D451" i="2"/>
  <c r="C451" i="2"/>
  <c r="B451" i="2"/>
  <c r="A451" i="2"/>
  <c r="I451" i="2"/>
</calcChain>
</file>

<file path=xl/sharedStrings.xml><?xml version="1.0" encoding="utf-8"?>
<sst xmlns="http://schemas.openxmlformats.org/spreadsheetml/2006/main" count="8542" uniqueCount="2201">
  <si>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</si>
  <si>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</si>
  <si>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</si>
  <si>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</si>
  <si>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</si>
  <si>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</si>
  <si>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</si>
  <si>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</si>
  <si>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</si>
  <si>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</si>
  <si>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</si>
  <si>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</si>
  <si>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</si>
  <si>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</si>
  <si>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</si>
  <si>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</si>
  <si>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</si>
  <si>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</si>
  <si>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</si>
  <si>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</si>
  <si>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</si>
  <si>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Low</t>
  </si>
  <si>
    <t>Technology and component choices must stay maintainable for the whole support period (take responsibility for cybersecurity during the entire support period).</t>
  </si>
  <si>
    <t>Technology and component selection</t>
  </si>
  <si>
    <t>Check support horizons of major components (OS, frameworks, COTS) against the planned support period in architecture reviews.</t>
  </si>
  <si>
    <t>Component lifecycle check in the architecture review</t>
  </si>
  <si>
    <t>Software Architect</t>
  </si>
  <si>
    <t>Support period from 1. Presale</t>
  </si>
  <si>
    <t>S</t>
  </si>
  <si>
    <t>TR1-002</t>
  </si>
  <si>
    <t>3.1 New Legislative Framework</t>
  </si>
  <si>
    <t>The framework obliges manufacturers to ensure that the PwDE fulfils the applicable legal requirements.</t>
  </si>
  <si>
    <t>MUST (equiv. 'obliges')</t>
  </si>
  <si>
    <t>CRA conformity - general</t>
  </si>
  <si>
    <t>Security-by-design obligations shape the whole development lifecycle (the NLF obliges manufacturers to ensure the product fulfils the applicable legal requirements).</t>
  </si>
  <si>
    <t>Secure development lifecycle (SDL)</t>
  </si>
  <si>
    <t>Anchor the obligation in the SDL policy: security requirements, threat modelling, secure coding, security testing gates.</t>
  </si>
  <si>
    <t>SDL policy; gate records per release</t>
  </si>
  <si>
    <t>Head of Engineering / Security Architect</t>
  </si>
  <si>
    <t>Feeds evidence to 3. Integration/Build</t>
  </si>
  <si>
    <t>TR1-003</t>
  </si>
  <si>
    <t>Manufacturers are free to choose any technical solution to meet these requirements.</t>
  </si>
  <si>
    <t>MAY (equiv. 'are free to')</t>
  </si>
  <si>
    <t>Freedom of technical solution: own controls or standards may be chosen, but the choice must be justified in the risk assessment and applicability statement.</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</si>
  <si>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</si>
  <si>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</si>
  <si>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</si>
  <si>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</si>
  <si>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</si>
  <si>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Nil</t>
  </si>
  <si>
    <t>Nil - no change needed in 2. Solution Development. Handled in 3. Solution Integration / Build (CRA Compliance Manager (management signatory)).</t>
  </si>
  <si>
    <t>None for this process</t>
  </si>
  <si>
    <t>No action in this process.</t>
  </si>
  <si>
    <t>n/a</t>
  </si>
  <si>
    <t>Handled in 3. Solution Integration / Build</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</si>
  <si>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</si>
  <si>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</si>
  <si>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</si>
  <si>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</si>
  <si>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</si>
  <si>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Nil - no change needed in 2. Solution Development. Handled in 5. Solution Maintenance (RUN) (PSIRT Lead / Service Delivery Manager).</t>
  </si>
  <si>
    <t>Handled in 5. Solution Maintenance (RUN)</t>
  </si>
  <si>
    <t>Applicability rule without a modal verb; registered because it decides when CRA obligations apply to our solutions. Today is 18 Oct 2026, so this obligation is already in force.</t>
  </si>
  <si>
    <t>TR1-006</t>
  </si>
  <si>
    <t>This applies also to PwDEs already placed on the European market.</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</si>
  <si>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</si>
  <si>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</si>
  <si>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</si>
  <si>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</si>
  <si>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</si>
  <si>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High</t>
  </si>
  <si>
    <t>All solution versions still made available after 11 Dec 2027 must close their Annex I gaps before that date; the roadmap has to be planned now.</t>
  </si>
  <si>
    <t>Secure design, threat model, implementation and tests</t>
  </si>
  <si>
    <t>Add 'from 11 Dec 2027 all in-scope products made available must meet all CRA requirements' to the secure-design checklist and definition of done; implement and test it.</t>
  </si>
  <si>
    <t>Design/threat-model record, code review and test results referencing this requirement</t>
  </si>
  <si>
    <t>Development Lead / Security Architect</t>
  </si>
  <si>
    <t>Input from the risk assessment; outputs to 3. Integration/Build (evidence) and 4. Deployment (instructions)</t>
  </si>
  <si>
    <t>M</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</si>
  <si>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</si>
  <si>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</si>
  <si>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</si>
  <si>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</si>
  <si>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</si>
  <si>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</si>
  <si>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</si>
  <si>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Medium</t>
  </si>
  <si>
    <t>Design changes to legacy solutions must be assessed against the original risk assessment.</t>
  </si>
  <si>
    <t>Add 'products placed on the market before 11 Dec 2027 fall under the CRA only after a substantial modification after that date' to the secure-design checklist and definition of done; implement and test it.</t>
  </si>
  <si>
    <t>TR1-010</t>
  </si>
  <si>
    <t>The above mentioned Obligations laid down in Article 14 form an exception and apply to all products with digital elements that fall within the scope of this Regulation that have been placed on the market before 11 December 2027 (Article 69(3) CRA).</t>
  </si>
  <si>
    <t>TR1-011</t>
  </si>
  <si>
    <t>Based on the NLF [3] a substantial modification is given if the type and purpose of a PwDE is changed in a way which was not foreseen in the initial risk assessment.</t>
  </si>
  <si>
    <t>Applicability rule (definition)</t>
  </si>
  <si>
    <t>The current risk assessment is the reference for the check, so it must be kept up to date.</t>
  </si>
  <si>
    <t>Add 'a substantial modification exists if type and purpose change in a way not foreseen in the initial risk assessment' to the secure-design checklist and definition of done; implement and test it.</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</si>
  <si>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</si>
  <si>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</si>
  <si>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</si>
  <si>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</si>
  <si>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</si>
  <si>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</si>
  <si>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</si>
  <si>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</si>
  <si>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Requires a secure development lifecycle covering planning, design, development and maintenance (security requirements, threat modelling, secure coding, security testing) for every solution.</t>
  </si>
  <si>
    <t>TR1-014</t>
  </si>
  <si>
    <t>It also requires PwDEs to be secure by default, meaning users should not need to take extra steps to ensure secure use out-of-the-box.</t>
  </si>
  <si>
    <t>MUST (equiv. 'requires')</t>
  </si>
  <si>
    <t>Secure by default</t>
  </si>
  <si>
    <t>Solutions must be secure out of the box (no default passwords, minimal services, secure protocols); detailed in ER.2.</t>
  </si>
  <si>
    <t>Architecture, implementation and security tests</t>
  </si>
  <si>
    <t>Implement the requirement where applicable, record the design decision and test evidence, otherwise justify non-applicability in the applicability statement.</t>
  </si>
  <si>
    <t>Design decision record; test results; applicability statement entry</t>
  </si>
  <si>
    <t>Security Architect / Development Lead</t>
  </si>
  <si>
    <t>Risk assessment (TR-1 chapter 5); evidence to 3. Integration/Build</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</si>
  <si>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</si>
  <si>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</si>
  <si>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</si>
  <si>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</si>
  <si>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</si>
  <si>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Annex I implementation has to be driven by a documented risk assessment that considers intended purpose and foreseeable use of each solution.</t>
  </si>
  <si>
    <t>Cybersecurity risk assessment (context, assets, threats, analysis, evaluation)</t>
  </si>
  <si>
    <t>Embed this step in a documented risk-assessment method and template (e.g. TR-1 chapter 5, ISO/IEC 27005, IEC 62443-3-2) used for every solution and reusable component.</t>
  </si>
  <si>
    <t>Risk assessment document per solution/version</t>
  </si>
  <si>
    <t>Security Architect</t>
  </si>
  <si>
    <t>Inputs from 1. Presale (intended use); outputs to 3. Integration/Build (technical documentation)</t>
  </si>
  <si>
    <t>TR1-016</t>
  </si>
  <si>
    <t>This approach ensures that all cybersecurity risks relevant to the PwDE have to be addressed ensuring an appropriate level of cybersecurity.</t>
  </si>
  <si>
    <t>The risk assessment must cover all relevant risks; scope completeness must be checked in reviews.</t>
  </si>
  <si>
    <t>TR1-017</t>
  </si>
  <si>
    <t>3.5 Concepts - Lifecycle Responsibility</t>
  </si>
  <si>
    <t>Manufacturers are responsible for cybersecurity throughout the entire lifecycle of their PwDEs, not just until the point of sale.</t>
  </si>
  <si>
    <t>Responsibility (equiv. 'are responsible')</t>
  </si>
  <si>
    <t>Technology and component choices must stay maintainable for the whole support period (manufacturers are responsible for cybersecurity throughout the lifecycle, not only until sale).</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</si>
  <si>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</si>
  <si>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</si>
  <si>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</si>
  <si>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</si>
  <si>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Technology and component choices must stay maintainable for the whole support period (handle vulnerabilities with timely updates during a support period reflecting expected use time (minimum five years)).</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</si>
  <si>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</si>
  <si>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</si>
  <si>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</si>
  <si>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</si>
  <si>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</si>
  <si>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Developers supply the security-relevant content of the user information (provide clear information on security features, vulnerability contact and update policies).</t>
  </si>
  <si>
    <t>Secure configuration and residual-risk content</t>
  </si>
  <si>
    <t>Document secure configuration, residual risks and expected user mitigations for each release.</t>
  </si>
  <si>
    <t>Security content input per release</t>
  </si>
  <si>
    <t>Development Lead</t>
  </si>
  <si>
    <t>Published by 3. Integration/Build</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</si>
  <si>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</si>
  <si>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</si>
  <si>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</si>
  <si>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</si>
  <si>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</si>
  <si>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Each solution must be designed, developed and produced to meet the applicable Annex I requirements on the basis of a per-product risk assessment and risk treatment.</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</si>
  <si>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</si>
  <si>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</si>
  <si>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</si>
  <si>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Critical</t>
  </si>
  <si>
    <t>Integrating third-party and open-source components needs documented due diligence (suitability, maintenance, ability to handle vulnerabilities); solution providers integrate many COTS/FOSS parts, so a component approval process is a new capability.</t>
  </si>
  <si>
    <t>Third-party/FOSS component selection and approval</t>
  </si>
  <si>
    <t>Introduce a component approval process with due-diligence criteria and a register of approved components and suppliers.</t>
  </si>
  <si>
    <t>Component approval records; supplier register</t>
  </si>
  <si>
    <t>Software Architect / Open Source Program Office</t>
  </si>
  <si>
    <t>Feeds the SBOM in 3. and monitoring in 5.</t>
  </si>
  <si>
    <t>L</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</si>
  <si>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</si>
  <si>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</si>
  <si>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</si>
  <si>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Development provides the design, risk and test content of the technical documentation (draw up the technical documentation (Art. 31, Annex VII) demonstrating compliance).</t>
  </si>
  <si>
    <t>Design, risk-assessment and test documentation</t>
  </si>
  <si>
    <t>Produce design, risk-assessment and test documents in the agreed templates as part of the definition of done.</t>
  </si>
  <si>
    <t>Versioned design/RA/test documents</t>
  </si>
  <si>
    <t>Assembled by 3. Integration/Build</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</si>
  <si>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</si>
  <si>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</si>
  <si>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Development must author the risk assessment (threats, vulnerabilities, impact, mitigations) in a form that can go into the technical file.</t>
  </si>
  <si>
    <t>TR1-022-c</t>
  </si>
  <si>
    <t>[The manufacturer has several obligations before placing a product with digital elements (PwDE) on the market:] It must also include […] as well as a Software Bill of Material (SBOM).</t>
  </si>
  <si>
    <t>Technical documentation - SBOM</t>
  </si>
  <si>
    <t>Development provides the design, risk and test content of the technical documentation (the technical documentation must include an SBOM).</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</si>
  <si>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</si>
  <si>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</si>
  <si>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</si>
  <si>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Developers supply the security-relevant content of the user information (provide Annex II information and instructions incl. single point of contact for vulnerability reporting).</t>
  </si>
  <si>
    <t>TR1-023-b</t>
  </si>
  <si>
    <t>[The manufacturer has several obligations before placing a product with digital elements (PwDE) on the market:] The PwDE has to be accompanied by the user information set out in Annex II, in paper or electronic form.</t>
  </si>
  <si>
    <t>MUST (equiv. 'has to')</t>
  </si>
  <si>
    <t>Nil - no change needed in 2. Solution Development. Handled in 4. Solution Deployment (Deployment Manager).</t>
  </si>
  <si>
    <t>Handled in 4. Solution Deployment</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</si>
  <si>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</si>
  <si>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</si>
  <si>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</si>
  <si>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Development provides the evidence the conformity assessment relies on (carry out conformity assessment procedures (self-assessment or notified body)).</t>
  </si>
  <si>
    <t>Evidence (design, tests, risk assessment)</t>
  </si>
  <si>
    <t>Deliver evidence per Annex I requirement to the conformity assessment.</t>
  </si>
  <si>
    <t>Evidence package</t>
  </si>
  <si>
    <t>Used by 3. Integration/Build</t>
  </si>
  <si>
    <t>TR1-025-a</t>
  </si>
  <si>
    <t>[The manufacturer has several obligations before placing a product with digital elements (PwDE) on the market:] Where compliance with the essential cybersecurity requirements was demonstrated, draw up an EU declaration of conformity […]</t>
  </si>
  <si>
    <t>TR1-025-b</t>
  </si>
  <si>
    <t>[The manufacturer has several obligations before placing a product with digital elements (PwDE) on the market:] […] and affix the CE marking to the PwDE.</t>
  </si>
  <si>
    <t>If the CE marking is shown in the software (e.g. an about screen), it must be implemented.</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</si>
  <si>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</si>
  <si>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</si>
  <si>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</si>
  <si>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</si>
  <si>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Engineering must fix vulnerabilities and update the risk assessment after release (systematically document and regularly review cybersecurity aspects during the support period).</t>
  </si>
  <si>
    <t>Fix development; risk-assessment updates</t>
  </si>
  <si>
    <t>Reserve engineering capacity for post-market fixes and risk-assessment updates.</t>
  </si>
  <si>
    <t>Capacity plan; fix tickets</t>
  </si>
  <si>
    <t>Triggered by 5. Maintenance</t>
  </si>
  <si>
    <t>TR1-027</t>
  </si>
  <si>
    <t>This review includes updating the risk assessment as needed and addressing new risks appropriately.</t>
  </si>
  <si>
    <t>MUST (part of the review duty; 'includes')</t>
  </si>
  <si>
    <t>Development updates the risk assessment and implements the treatments identified in post-market reviews.</t>
  </si>
  <si>
    <t>TR1-028-a</t>
  </si>
  <si>
    <t>Additionally, the manufacturer ought to monitor the PwDE for vulnerabilities throughout its defined support period […]</t>
  </si>
  <si>
    <t>MUST (equiv. 'ought to')</t>
  </si>
  <si>
    <t>Vulnerability monitoring</t>
  </si>
  <si>
    <t>Development must provide software composition analysis tooling and triage support for monitored findings.</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</si>
  <si>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</si>
  <si>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</si>
  <si>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</si>
  <si>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</si>
  <si>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Engineering must fix vulnerabilities and update the risk assessment after release (address found vulnerabilities including by providing security updates).</t>
  </si>
  <si>
    <t>TR1-028-c</t>
  </si>
  <si>
    <t>[…] generally free of charge unless otherwise agreed between a manufacturer and a business user in relation to a tailor-made product with digital elements.</t>
  </si>
  <si>
    <t>Security updates - free of charge</t>
  </si>
  <si>
    <t>Nil - no change needed in 2. Solution Development. Handled in 1. Presale (Bid Manager / Product Manager).</t>
  </si>
  <si>
    <t>Handled in 1. Presale</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</si>
  <si>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</si>
  <si>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</si>
  <si>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</si>
  <si>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Technology and component choices must stay maintainable for the whole support period (post-market obligations must be upheld during the support period based on expected duration of use).</t>
  </si>
  <si>
    <t>TR1-030</t>
  </si>
  <si>
    <t>Generally, the support period is at least five years unless not appropriate for the type of PwDE and its foreseeable duration of use.</t>
  </si>
  <si>
    <t>Rule (equiv. 'is at least')</t>
  </si>
  <si>
    <t>Technology and component choices must stay maintainable for the whole support period (the support period is generally at least five years).</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</si>
  <si>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</si>
  <si>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</si>
  <si>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</si>
  <si>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Nil - no change needed in 2. Solution Development. Handled in 5. Solution Maintenance (RUN) (Service Delivery Manager / PSIRT Lead).</t>
  </si>
  <si>
    <t>TR1-031-b</t>
  </si>
  <si>
    <t>In addition to that the manufacturer has to ensure that […] the technical documentation are available for at least 10 years after the PwDE has been placed on the market or for the full support period, whichever is longer.</t>
  </si>
  <si>
    <t>Records retention</t>
  </si>
  <si>
    <t>Nil - no change needed in 2. Solution Development. Handled in 6. Solution Decommissioning (Records / Documentation Manager).</t>
  </si>
  <si>
    <t>Handled in 6. Solution Decommissioning</t>
  </si>
  <si>
    <t>TR1-032-a</t>
  </si>
  <si>
    <t>3.6 Obligations of the manufacturer - Reporting obligations</t>
  </si>
  <si>
    <t>Manufacturers have to report actively exploited vulnerabilities of the PwDE […] upon becoming aware of them.</t>
  </si>
  <si>
    <t>CRA Art. 14 reporting - vulnerabilities</t>
  </si>
  <si>
    <t>Engineering must supply technical facts (affected versions, nature of the exploit, mitigations) inside the reporting deadlines (report actively exploited vulnerabilities upon becoming aware of them).</t>
  </si>
  <si>
    <t>Technical analysis support for reportable cases</t>
  </si>
  <si>
    <t>Provide analysis input within hours for reportable cases (on-call).</t>
  </si>
  <si>
    <t>Case analysis notes</t>
  </si>
  <si>
    <t>Cases from 5. Maintenance</t>
  </si>
  <si>
    <t>TR1-032-b</t>
  </si>
  <si>
    <t>Manufacturers have to report […] severe cybersecurity incidents negatively affecting the security of products with digital elements upon becoming aware of them.</t>
  </si>
  <si>
    <t>CRA Art. 14 reporting - incidents</t>
  </si>
  <si>
    <t>Engineering must supply technical facts (affected versions, nature of the exploit, mitigations) inside the reporting deadlines (report severe incidents affecting product security upon becoming aware of them).</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</si>
  <si>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</si>
  <si>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</si>
  <si>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</si>
  <si>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</si>
  <si>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Nil - no change needed in 2. Solution Development. Handled in 5. Solution Maintenance (RUN) (PSIRT Lead / Compliance Officer).</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</si>
  <si>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</si>
  <si>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</si>
  <si>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</si>
  <si>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</si>
  <si>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</si>
  <si>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</si>
  <si>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</si>
  <si>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Engineering must supply technical facts (affected versions, nature of the exploit, mitigations) inside the reporting deadlines (detailed vulnerability notification within 72 hours).</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</si>
  <si>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</si>
  <si>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</si>
  <si>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Engineering must supply technical facts (affected versions, nature of the exploit, mitigations) inside the reporting deadlines (the 72-hour notification should include product info, nature of exploit, mitigations and user guidance).</t>
  </si>
  <si>
    <t>TR1-037</t>
  </si>
  <si>
    <t>[The following notification timelines and content are given for actively exploited vulnerabilities:] It should also indicate the sensitivity of the information, if relevant.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</si>
  <si>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</si>
  <si>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</si>
  <si>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Engineering must supply technical facts (affected versions, nature of the exploit, mitigations) inside the reporting deadlines (final report within 14 days after a corrective or mitigating measure is available).</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</si>
  <si>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</si>
  <si>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</si>
  <si>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</si>
  <si>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TR1-040</t>
  </si>
  <si>
    <t>[For severe incidents:] Early Warning Notification: Must be submitted without undue delay and in any case within 24 hours after becoming aware of the severe incident.</t>
  </si>
  <si>
    <t>TR1-041-a</t>
  </si>
  <si>
    <t>[For severe incidents:] Includes at least whether the incident is suspected of being caused by unlawful or malicious acts […]</t>
  </si>
  <si>
    <t>MUST (equiv. 'includes at least')</t>
  </si>
  <si>
    <t>TR1-041-b</t>
  </si>
  <si>
    <t>[For severe incidents:] […] and should indicate, where applicable, the Member States on the territory of which the manufacturer is aware that their product with digital elements has been made available;</t>
  </si>
  <si>
    <t>TR1-042</t>
  </si>
  <si>
    <t>[For severe incidents:] Incident Notification: If not already provided, a more detailed notification must be submitted within 72 hours after becoming aware of the severe incident.</t>
  </si>
  <si>
    <t>Engineering must supply technical facts (affected versions, nature of the exploit, mitigations) inside the reporting deadlines (detailed incident notification within 72 hours).</t>
  </si>
  <si>
    <t>TR1-043</t>
  </si>
  <si>
    <t>[For severe incidents:] This should include general information about the PwDE, the nature of the exploit and vulnerability, corrective or mitigating actions taken, and guidance for users.</t>
  </si>
  <si>
    <t>Engineering must supply technical facts (affected versions, nature of the exploit, mitigations) inside the reporting deadlines (the incident notification should include product info, nature, mitigations and user guidance).</t>
  </si>
  <si>
    <t>TR1-044</t>
  </si>
  <si>
    <t>[For severe incidents:] It should also indicate the sensitivity of the information, if relevant.</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</si>
  <si>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</si>
  <si>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</si>
  <si>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Engineering must supply technical facts (affected versions, nature of the exploit, mitigations) inside the reporting deadlines (final incident report within one month incl. severity, impact, root cause and mitigations).</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</si>
  <si>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</si>
  <si>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</si>
  <si>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</si>
  <si>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</si>
  <si>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</si>
  <si>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</si>
  <si>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</si>
  <si>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</si>
  <si>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TR1-048</t>
  </si>
  <si>
    <t>CSIRTs and ENISA must ensure confidentiality and appropriate protection of the information provided.</t>
  </si>
  <si>
    <t>MUST (addressed to CSIRTs/ENISA)</t>
  </si>
  <si>
    <t>Authority obligations</t>
  </si>
  <si>
    <t>Nil - no change needed in 2. Solution Development. Addressed to authorities (CSIRT/ENISA/European Commission/standardisation), not to the manufacturer. Handled in 5. Solution Maintenance (RUN) (PSIRT Lead).</t>
  </si>
  <si>
    <t>TR1-049</t>
  </si>
  <si>
    <t>If a party other than the manufacturer notifies a vulnerability or severe incident, the CSIRT must inform the manufacturer without undue delay.</t>
  </si>
  <si>
    <t>MUST (addressed to CSIRTs)</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</si>
  <si>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</si>
  <si>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</si>
  <si>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</si>
  <si>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</si>
  <si>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</si>
  <si>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</si>
  <si>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</si>
  <si>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</si>
  <si>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report vulnerabilities found in third-party components to their manufacturer or maintainer - component selection must include documented due diligence (maintenance status, vulnerability history, supplier CRA status, licence).</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</si>
  <si>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</si>
  <si>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</si>
  <si>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Fixes we develop for third-party components must be shared with the maintainer (e.g. patches/pull requests) - needs a legally cleared contribution process.</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</si>
  <si>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</si>
  <si>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</si>
  <si>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</si>
  <si>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</si>
  <si>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</si>
  <si>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Nil - no change needed in 2. Solution Development. Addressed to authorities (CSIRT/ENISA/European Commission/standardisation), not to the manufacturer. Handled in 3. Solution Integration / Build (CRA Compliance Manager).</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</si>
  <si>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</si>
  <si>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</si>
  <si>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</si>
  <si>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</si>
  <si>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</si>
  <si>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</si>
  <si>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</si>
  <si>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</si>
  <si>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</si>
  <si>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</si>
  <si>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</si>
  <si>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</si>
  <si>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</si>
  <si>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</si>
  <si>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</si>
  <si>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</si>
  <si>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</si>
  <si>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</si>
  <si>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</si>
  <si>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</si>
  <si>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</si>
  <si>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TR1-060</t>
  </si>
  <si>
    <t>3.8.3 Important PwDEs Class II</t>
  </si>
  <si>
    <t>Class II does not allow self-assessment of the manufacturer (Article 32(3) CRA).</t>
  </si>
  <si>
    <t>MUST NOT (equiv. 'does not allow')</t>
  </si>
  <si>
    <t>Product classification</t>
  </si>
  <si>
    <t>Nil - no change needed in 2. Solution Development. Not applicable to default-category products, which use Module A self-assessment. Handled in 1. Presale (Bid Manager / CRA Compliance Manager).</t>
  </si>
  <si>
    <t>TR1-061</t>
  </si>
  <si>
    <t>3.8.4 Critical PwDEs</t>
  </si>
  <si>
    <t>Critical PwDEs require a certification following an European cybersecurity certification scheme (Article 32(4) CRA), if available.</t>
  </si>
  <si>
    <t>MUST (equiv. 'require')</t>
  </si>
  <si>
    <t>TR1-062</t>
  </si>
  <si>
    <t>If no such scheme exists the conformity has to be demonstrated following the procedures for important class II.</t>
  </si>
  <si>
    <t>TR1-063-a</t>
  </si>
  <si>
    <t>3.9 The Essential Requirements</t>
  </si>
  <si>
    <t>PwDEs and manufacturers have to comply […] to the essential cybersecurity requirements of the CRA.</t>
  </si>
  <si>
    <t>Restates the overall duty to comply with Annex I; the effort is carried by the specific ER/VH rows.</t>
  </si>
  <si>
    <t>TR1-063-b</t>
  </si>
  <si>
    <t>PwDEs and manufacturers have to […] demonstrate conformity to the essential cybersecurity requirements of the CRA.</t>
  </si>
  <si>
    <t>Development provides the evidence the conformity assessment relies on (products and manufacturers have to demonstrate conformity).</t>
  </si>
  <si>
    <t>TR1-064</t>
  </si>
  <si>
    <t>Only PwDEs meeting the requirements of Part I may be placed on the European market.</t>
  </si>
  <si>
    <t>MUST NOT (equiv. 'only ... may be placed')</t>
  </si>
  <si>
    <t>Part I gaps must be closed before release; development planning must include the conformity work.</t>
  </si>
  <si>
    <t>TR1-065</t>
  </si>
  <si>
    <t>This has to be demonstrated by the manufacturer beforehand.</t>
  </si>
  <si>
    <t>Development provides the evidence the conformity assessment relies on (Part I conformity has to be demonstrated beforehand).</t>
  </si>
  <si>
    <t>TR1-066</t>
  </si>
  <si>
    <t>Part II requirements are to be fulfilled by the manufacturer from the moment the PwDE is placed on the market and for the entire support period of the PwDE.</t>
  </si>
  <si>
    <t>MUST (equiv. 'are to be fulfilled')</t>
  </si>
  <si>
    <t>Technology and component choices must stay maintainable for the whole support period (Part II applies from placing on the market for the entire support period).</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</si>
  <si>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</si>
  <si>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</si>
  <si>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</si>
  <si>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Pre-release vulnerability scanning and fixing (SCA, SAST, DAST) must be part of development.</t>
  </si>
  <si>
    <t>Fix development; security testing</t>
  </si>
  <si>
    <t>Provide fixes, analysis and test capacity for the vulnerability-handling process.</t>
  </si>
  <si>
    <t>Fix and test records</t>
  </si>
  <si>
    <t>TR1-068</t>
  </si>
  <si>
    <t>Part II requires the manufacturer to identify, address and remediate vulnerabilities.</t>
  </si>
  <si>
    <t>Engineering delivers fixes, analysis and security testing for this (Part II requires identifying, addressing and remediating vulnerabilities).</t>
  </si>
  <si>
    <t>TR1-069</t>
  </si>
  <si>
    <t>Part I (1) is the overarching requirement of the CRA and requires the manufacturer to ensure an appropriate level of cybersecurity of the PwDE based on a cybersecurity risk assessment.</t>
  </si>
  <si>
    <t>The overarching Annex I Part I(1) requirement: appropriate cybersecurity based on a risk assessment for every solution.</t>
  </si>
  <si>
    <t>TR1-070</t>
  </si>
  <si>
    <t>Part I (2) supports the first requirement with high-level PwDE requirements which have to be implemented into the PwDE based on the risk assessment and where applicable.</t>
  </si>
  <si>
    <t>The Part I(2) requirements must be implemented where the risk assessment makes them applicable.</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</si>
  <si>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</si>
  <si>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</si>
  <si>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</si>
  <si>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</si>
  <si>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</si>
  <si>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Engineering must support corrective measures demanded by authorities (provide all conformity information and documentation to market surveillance authorities on reasoned request).</t>
  </si>
  <si>
    <t>Corrective development</t>
  </si>
  <si>
    <t>Provide fixes or mitigations for authority-ordered measures.</t>
  </si>
  <si>
    <t>Corrective action tickets</t>
  </si>
  <si>
    <t>Requests via 5. Maintenance</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</si>
  <si>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</si>
  <si>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</si>
  <si>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</si>
  <si>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Engineering must support corrective measures demanded by authorities (cooperate with market surveillance authorities on measures to eliminate risks).</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</si>
  <si>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</si>
  <si>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</si>
  <si>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</si>
  <si>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</si>
  <si>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</si>
  <si>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Recommendation to perform an honest product risk assessment covering assets and threats (made concrete by RH_RA.*).</t>
  </si>
  <si>
    <t>Add 'perform an honest risk assessment of assets and threats' to the secure-design checklist and definition of done; implement and test it.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</si>
  <si>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</si>
  <si>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</si>
  <si>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Recommendation to mitigate risks to an acceptable level with Annex I-based controls (made concrete by RH_RT.*).</t>
  </si>
  <si>
    <t>Add 'mitigate risks to an acceptable level with controls based on the essential requirements' to the secure-design checklist and definition of done; implement and test it.</t>
  </si>
  <si>
    <t>TR1-075</t>
  </si>
  <si>
    <t>[Simplified, the following aspects should be considered to prepare for the CRA even without specific regulatory guidance:] Keep your users in mind and communicate openly and transparently in the users' best interest.</t>
  </si>
  <si>
    <t>TR1-076-a</t>
  </si>
  <si>
    <t>[Simplified, the following aspects should be considered to prepare for the CRA even without specific regulatory guidance:] Maintain the security of the PwDE throughout its lifecycle […]</t>
  </si>
  <si>
    <t>TR1-076-b</t>
  </si>
  <si>
    <t>[Simplified, the following aspects should be considered to prepare for the CRA even without specific regulatory guidance:] […] and cooperate with the authorities on vulnerabilities.</t>
  </si>
  <si>
    <t>TR1-077</t>
  </si>
  <si>
    <t>[Simplified, the following aspects should be considered to prepare for the CRA even without specific regulatory guidance:] Use existing best practices and do not reinvent the wheel.</t>
  </si>
  <si>
    <t>Recommendation to use established practices and standards (e.g. IEC 62443-4-1, ISO/IEC 27034, OWASP SAMM) instead of inventing methods.</t>
  </si>
  <si>
    <t>Add 'use existing best practices' to the secure-design checklist and definition of done; implement and test it.</t>
  </si>
  <si>
    <t>TR1-078</t>
  </si>
  <si>
    <t>4 Usage</t>
  </si>
  <si>
    <t>The following clarifications and assessment procedures have to be taken into account when performing the assessment.</t>
  </si>
  <si>
    <t>Self-assessment procedure</t>
  </si>
  <si>
    <t>Nil - no change needed in 2. Solution Development. Handled in 3. Solution Integration / Build (CRA Compliance Manager / Evaluator).</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</si>
  <si>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</si>
  <si>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</si>
  <si>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</si>
  <si>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</si>
  <si>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TR1-080</t>
  </si>
  <si>
    <t>[The following aspects have to be taken into account when selecting an evaluator:] The evaluator requires access to, or has to be provided with, all information required to perform the assessment</t>
  </si>
  <si>
    <t>MUST (equiv. 'requires' / 'has to be provided')</t>
  </si>
  <si>
    <t>Development supplies documentation and test evidence to the evaluator (the evaluator needs access to all information required).</t>
  </si>
  <si>
    <t>Evidence for the self-assessment</t>
  </si>
  <si>
    <t>Provide documentation and access to the evaluator.</t>
  </si>
  <si>
    <t>Self-assessment in 3. Integration/Build</t>
  </si>
  <si>
    <t>TR1-081-a</t>
  </si>
  <si>
    <t>[The following aspects have to be taken into account when selecting an evaluator:] The evaluator has to be impartial […]</t>
  </si>
  <si>
    <t>TR1-081-b</t>
  </si>
  <si>
    <t>[The following aspects have to be taken into account when selecting an evaluator:] […] and should, if possible not be involved in the development of the PwDE, to facilitate an independent assessment.</t>
  </si>
  <si>
    <t>Development supplies documentation and test evidence to the evaluator (the evaluator should not be involved in developing the product).</t>
  </si>
  <si>
    <t>TR1-082</t>
  </si>
  <si>
    <t>It is always important to perform the assessment with an appropriately impartial and independent mindset and to stay objective, even if the evaluation is performed by the development team</t>
  </si>
  <si>
    <t>SHOULD (equiv. 'it is always important to')</t>
  </si>
  <si>
    <t>Development supplies documentation and test evidence to the evaluator (perform the assessment impartially and objectively, even when done by the development team).</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</si>
  <si>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</si>
  <si>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</si>
  <si>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</si>
  <si>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</si>
  <si>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Development supplies documentation and test evidence to the evaluator (add-on components placed on the market by others need not be assessed).</t>
  </si>
  <si>
    <t>TR1-084</t>
  </si>
  <si>
    <t>Furthermore, the effects of possible additional components have to be considered in the risk assessment.</t>
  </si>
  <si>
    <t>Risk assessment - scope</t>
  </si>
  <si>
    <t>The risk assessment must consider effects of possible additional components (plug-ins, integrations).</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</si>
  <si>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</si>
  <si>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</si>
  <si>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Airport and government customers integrate our solutions with many other systems; risks of foreseeable customer integrations must be part of the risk assessment.</t>
  </si>
  <si>
    <t>TR1-086</t>
  </si>
  <si>
    <t>4.5 Control</t>
  </si>
  <si>
    <t>Control: has to be met by the PwDE or part thereof where applicable.</t>
  </si>
  <si>
    <t>Development supplies documentation and test evidence to the evaluator (a control has to be met by the product or part of it where applicable).</t>
  </si>
  <si>
    <t>TR1-087</t>
  </si>
  <si>
    <t>4.6 Assessment Procedure</t>
  </si>
  <si>
    <t>For reproducibility and consistency every assessment step should be documented by the evaluator and included in the assessment report as defined in section 4.8.</t>
  </si>
  <si>
    <t>Assessment report</t>
  </si>
  <si>
    <t>TR1-088</t>
  </si>
  <si>
    <t>Generally controls are specific enough for evaluation, if not the control will be supplemented by additional guidance which has to be used for assessing the control.</t>
  </si>
  <si>
    <t>TR1-089</t>
  </si>
  <si>
    <t>Controls have to be at least assessed on a conceptional level based on the documentation of the PwDE.</t>
  </si>
  <si>
    <t>Development supplies documentation and test evidence to the evaluator (controls have to be assessed at least conceptually based on documentation).</t>
  </si>
  <si>
    <t>TR1-090</t>
  </si>
  <si>
    <t>A functional assessment based on the behaviour of the PwDE or the manufacturer is recommended for additional assurance if possible, but not required.</t>
  </si>
  <si>
    <t>RECOMMENDED (equiv. 'is recommended')</t>
  </si>
  <si>
    <t>Security testing</t>
  </si>
  <si>
    <t>Functional assessment (testing actual behaviour) is recommended for extra assurance; security testing provides it.</t>
  </si>
  <si>
    <t>TR1-091</t>
  </si>
  <si>
    <t>The assessment is preferably integrated into the development processes and continuous quality assurance processes, if possible in an automated manner.</t>
  </si>
  <si>
    <t>SHOULD (equiv. 'preferably')</t>
  </si>
  <si>
    <t>Automated security checks in CI/CD make the assessment continuous.</t>
  </si>
  <si>
    <t>TR1-092</t>
  </si>
  <si>
    <t>The assessment step might include one of the following terms, which have to be interpreted by the evaluator:</t>
  </si>
  <si>
    <t>TR1-093</t>
  </si>
  <si>
    <t>By default the manufacturer is not required to make documentation or other records available for thirdparties if not otherwise specified with provide or publish.</t>
  </si>
  <si>
    <t>MAY (equiv. 'is not required')</t>
  </si>
  <si>
    <t>Technical documentation - disclosure</t>
  </si>
  <si>
    <t>TR1-094</t>
  </si>
  <si>
    <t>4.8 Assessment Report</t>
  </si>
  <si>
    <t>Pursuant to Article 31 CRA the manufacturer must draw up technical documentation before placing a PwDE on the market.</t>
  </si>
  <si>
    <t>Development provides the design, risk and test content of the technical documentation (draw up technical documentation before placing on the market (Art. 31)).</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</si>
  <si>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</si>
  <si>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</si>
  <si>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</si>
  <si>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</si>
  <si>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Development provides the design, risk and test content of the technical documentation (general description incl. intended purpose, software versions, Annex II information, hardware photos).</t>
  </si>
  <si>
    <t>TR1-096</t>
  </si>
  <si>
    <t>[This includes, among other things:] A description of the design, development and production of the product with digital elements and vulnerability handling processes</t>
  </si>
  <si>
    <t>Development must document its secure development process and the solution design.</t>
  </si>
  <si>
    <t>TR1-097</t>
  </si>
  <si>
    <t>[This includes, among other things:] Necessary information and specifications of the production and monitoring processes of the product with digital elements and the validation of those processes;</t>
  </si>
  <si>
    <t>Development provides the design, risk and test content of the technical documentation (information on production and monitoring processes and their validation).</t>
  </si>
  <si>
    <t>TR1-098</t>
  </si>
  <si>
    <t>[This includes, among other things:] An assessment of the cybersecurity risks against which the product with digital elements is designed, developed, produced including how the essential cybersecurity requirements of Annex I Part I are applicable;</t>
  </si>
  <si>
    <t>Development provides the design, risk and test content of the technical documentation (cybersecurity risk assessment incl. applicability of Annex I Part I).</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</si>
  <si>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</si>
  <si>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</si>
  <si>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Security test reports (penetration tests, SAST/DAST, functional security tests) must be produced and kept per version.</t>
  </si>
  <si>
    <t>TR1-100</t>
  </si>
  <si>
    <t>4.8 Assessment Report - report content</t>
  </si>
  <si>
    <t>[Based on the requirements for technical documentation the assessment report has to include at least the following information:] Date of the assessment</t>
  </si>
  <si>
    <t>MUST (equiv. 'has to include')</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</si>
  <si>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</si>
  <si>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</si>
  <si>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Development supplies documentation and test evidence to the evaluator (assessment report: identification of the product (name, description, versions, SBOM, hardware photos)).</t>
  </si>
  <si>
    <t>TR1-102</t>
  </si>
  <si>
    <t>[Based on the requirements for technical documentation the assessment report has to include at least the following information:] Risk assessment Identified assets and threats Evaluated risks Accepted risks</t>
  </si>
  <si>
    <t>Development supplies documentation and test evidence to the evaluator (assessment report: identified assets and threats, evaluated and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</si>
  <si>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</si>
  <si>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</si>
  <si>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Development supplies documentation and test evidence to the evaluator (assessment report: design documentation (architecture, controls, (non-)applicable requirements, implementation, verification)).</t>
  </si>
  <si>
    <t>TR1-104</t>
  </si>
  <si>
    <t>[Based on the requirements for technical documentation the assessment report has to include at least the following information:] Description of vulnerability handling activities</t>
  </si>
  <si>
    <t>TR1-105</t>
  </si>
  <si>
    <t>[Based on the requirements for technical documentation the assessment report has to include at least the following information:] Verification of vulnerability handling activities</t>
  </si>
  <si>
    <t>TR1-106</t>
  </si>
  <si>
    <t>[Based on the requirements for technical documentation the assessment report has to include at least the following information:] Provided user documentation</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</si>
  <si>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</si>
  <si>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</si>
  <si>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</si>
  <si>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Restated Art. 13 / Annex I Part I duty: solutions designed, developed and produced to the essential requirements based on the risks.</t>
  </si>
  <si>
    <t>TR1-108-a</t>
  </si>
  <si>
    <t>For this manufacturers shall undertake an assessment of the (cybersecurity) risks associated with a PwDE […]</t>
  </si>
  <si>
    <t>A documented cybersecurity risk assessment per solution is a legal prerequisite (Art. 13(2)) and, for most solution providers, a new structured capability.</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</si>
  <si>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</si>
  <si>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</si>
  <si>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Risk-assessment results must steer planning, design, development, production, delivery and maintenance.</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</si>
  <si>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</si>
  <si>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</si>
  <si>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</si>
  <si>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</si>
  <si>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</si>
  <si>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Permission to tailor the risk-handling activities to existing processes as long as the TR's aspects and requirements are met.</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</si>
  <si>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</si>
  <si>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</si>
  <si>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</si>
  <si>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Use established frameworks for tailoring, e.g. ISO/IEC 27005 or IEC 62443-3-2 for airport OT systems.</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</si>
  <si>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</si>
  <si>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</si>
  <si>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</si>
  <si>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Risk handling is iterative: interactions changed by mitigation measures must be reassessed.</t>
  </si>
  <si>
    <t>TR1-112</t>
  </si>
  <si>
    <t>Thus it is important to stay flexible by implementing usable and structured processes able to react to change and uncertainty.</t>
  </si>
  <si>
    <t>SHOULD (equiv. 'it is important to')</t>
  </si>
  <si>
    <t>Risk handling must be a living, structured process that reacts to change (pre- and post-market), not a one-off document.</t>
  </si>
  <si>
    <t>TR1-113</t>
  </si>
  <si>
    <t>Thus it is important to be transparent on risks and communicate them with the relevant stakeholders.</t>
  </si>
  <si>
    <t>Risk communication</t>
  </si>
  <si>
    <t>Risks must be communicated transparently to the relevant stakeholders (product management, operations, customers where risks are shared).</t>
  </si>
  <si>
    <t>TR1-114</t>
  </si>
  <si>
    <t>5.6 Perspectives for risk handling</t>
  </si>
  <si>
    <t>Risk handling has to find an appropriate balance between the different perspectives.</t>
  </si>
  <si>
    <t>Balance security, developer and attacker perspectives (e.g. involve penetration testers in risk workshops).</t>
  </si>
  <si>
    <t>TR1-115</t>
  </si>
  <si>
    <t>A developer has primarily the function in mind and thus risks have to be assessed and treated in harmony with the intended purpose of the PwDE.</t>
  </si>
  <si>
    <t>Risks must be assessed and treated in line with the intended purpose of the solution.</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</si>
  <si>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</si>
  <si>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</si>
  <si>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</si>
  <si>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</si>
  <si>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</si>
  <si>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A documented risk context (intended purpose, foreseeable use, operating environment, users, expected time in use) is the basis of every risk assessment.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</si>
  <si>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</si>
  <si>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</si>
  <si>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</si>
  <si>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Market-access condition: solutions must meet Part I when properly installed, maintained and updated - design, installation instructions and update path must make this achievable.</t>
  </si>
  <si>
    <t>TR1-117-b</t>
  </si>
  <si>
    <t>[…] and the processes put in place by the manufacturer comply with the essential cybersecurity requirements set out in Annex I Part I.</t>
  </si>
  <si>
    <t>Engineering delivers fixes, analysis and security testing for this (the manufacturer's processes must comply with the essential requirements).</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</si>
  <si>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</si>
  <si>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</si>
  <si>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</si>
  <si>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Identify foreseeable misuse (e.g. exposing admin interfaces to airport public networks) during the risk assessment.</t>
  </si>
  <si>
    <t>TR1-119</t>
  </si>
  <si>
    <t>5.7.2 PwDE architecture</t>
  </si>
  <si>
    <t>Besides the intended purpose and foreseeable use a PwDE architecture is also necessary to perform an effective risk assessment.</t>
  </si>
  <si>
    <t>MUST (equiv. 'is also necessary')</t>
  </si>
  <si>
    <t>A high-level architecture description per solution is required input for the risk assessment.</t>
  </si>
  <si>
    <t>TR1-120</t>
  </si>
  <si>
    <t>[The architecture is a high level technical description of the PwDE and should include:] The connective capabilities of the PwDE (WAN, Bluetooth, WLAN or other )</t>
  </si>
  <si>
    <t>SHOULD (equiv. 'should include')</t>
  </si>
  <si>
    <t>The architecture description should document all connectivity (WAN, WLAN, Bluetooth, other).</t>
  </si>
  <si>
    <t>TR1-121</t>
  </si>
  <si>
    <t>[The architecture is a high level technical description of the PwDE and should include:] The (potential) relation and communication of the PwDE's components with its remote data processing solutions</t>
  </si>
  <si>
    <t>Document relations/communication with remote data processing solutions (RDPS), e.g. hosted back-ends we operate.</t>
  </si>
  <si>
    <t>TR1-122</t>
  </si>
  <si>
    <t>[The architecture is a high level technical description of the PwDE and should include:] The (potential) relation and communication to other PwDE or PwDE components</t>
  </si>
  <si>
    <t>Document relations/communication to other products and components of the airport/government system landscape.</t>
  </si>
  <si>
    <t>TR1-123</t>
  </si>
  <si>
    <t>[The architecture is a high level technical description of the PwDE and should include:] The boundaries of the PwDE</t>
  </si>
  <si>
    <t>Document the solution boundaries (what is ours vs. customer infrastructure).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</si>
  <si>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</si>
  <si>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</si>
  <si>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</si>
  <si>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Components under the CRA come with their own manufacturer obligations, which supports risk sharing with CRA-compliant suppliers.</t>
  </si>
  <si>
    <t>TR1-125-a</t>
  </si>
  <si>
    <t>The manufacturer is generally responsible for third-party components integrated by the manufacturer itself […]</t>
  </si>
  <si>
    <t>Responsibility (equiv. 'is responsible')</t>
  </si>
  <si>
    <t>We are responsible for every third-party component we integrate into a solution.</t>
  </si>
  <si>
    <t>TR1-125-b</t>
  </si>
  <si>
    <t>[…] and has to exercise due diligence according to CRA Article 13 (5).</t>
  </si>
  <si>
    <t>Due diligence (Art. 13(5)) must be exercised and documented for integrated third-party components.</t>
  </si>
  <si>
    <t>TR1-126</t>
  </si>
  <si>
    <t>5.7.3 Decision Criteria</t>
  </si>
  <si>
    <t>To establish a comprehensible and consistent assessment the factors and criteria used for decision making have to be established as part of the risk context.</t>
  </si>
  <si>
    <t>Risk decision criteria</t>
  </si>
  <si>
    <t>Impact, likelihood and acceptance criteria must be established as part of the risk context.</t>
  </si>
  <si>
    <t>Risk decision / acceptance criteria</t>
  </si>
  <si>
    <t>Define and approve impact, likelihood and acceptance criteria tailored to the customer sectors (airport OT/IT, public administration).</t>
  </si>
  <si>
    <t>Approved criteria document</t>
  </si>
  <si>
    <t>Security Architect / Product Security Officer</t>
  </si>
  <si>
    <t>Used in the risk assessment</t>
  </si>
  <si>
    <t>TR1-127</t>
  </si>
  <si>
    <t>It is generally advisable to use existing specific standards based on existing sectorial knowledge and best practices.</t>
  </si>
  <si>
    <t>Use existing sector standards and practices for decision criteria (e.g. aviation and critical-infrastructure guidance).</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</si>
  <si>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</si>
  <si>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</si>
  <si>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</si>
  <si>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The TR's initial criteria may be tailored to own processes.</t>
  </si>
  <si>
    <t>TR1-129</t>
  </si>
  <si>
    <t>5.8.1.1.1 Asset Identification - General</t>
  </si>
  <si>
    <t>To identify potential risks to a PwDE it is necessary to identify the assets of the PwDE potentially affected by the realization of a risk.</t>
  </si>
  <si>
    <t>Risk assessment - assets</t>
  </si>
  <si>
    <t>Asset identification is the prerequisite for risk identification (made mandatory by RH_RA.1.1.1).</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</si>
  <si>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</si>
  <si>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</si>
  <si>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</si>
  <si>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Asset lists should exclude objects outside the solution boundary.</t>
  </si>
  <si>
    <t>TR1-131</t>
  </si>
  <si>
    <t>To keep the list of identified assets manageable it is advisable to group assets into categories based on the use case and general type of asset based on an asset catalogue.</t>
  </si>
  <si>
    <t>SHOULD (equiv. 'is advisable')</t>
  </si>
  <si>
    <t>Group assets into categories using an asset catalogue.</t>
  </si>
  <si>
    <t>TR1-132</t>
  </si>
  <si>
    <t>The list of assets in the impact criteria may be used as a base for the asset management.</t>
  </si>
  <si>
    <t>The TR's impact-criteria asset list may serve as the asset catalogue.</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</si>
  <si>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</si>
  <si>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</si>
  <si>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</si>
  <si>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Asset identification is the first mandatory activity of the product risk assessment; a categorised asset list per solution is required.</t>
  </si>
  <si>
    <t>TR1-133</t>
  </si>
  <si>
    <t>5.8.1.2.1 Threat Modelling - General</t>
  </si>
  <si>
    <t>It is generally advisable to use a structured approach for threat identification based on an existing threat catalogue.</t>
  </si>
  <si>
    <t>Risk assessment - threats</t>
  </si>
  <si>
    <t>Use a structured threat catalogue (e.g. STRIDE, IEC 62443 threat lists) for threat identification.</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</si>
  <si>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</si>
  <si>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</si>
  <si>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Platform components reused across several solutions should get their own threat model and risk assessment for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</si>
  <si>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</si>
  <si>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</si>
  <si>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</si>
  <si>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Threat modelling for each solution (threats to assets and affected components) is mandatory and needs method, tooling and skills.</t>
  </si>
  <si>
    <t>TR1-135</t>
  </si>
  <si>
    <t>5.9.1 Risk Analysis - General</t>
  </si>
  <si>
    <t>To keep the estimation of likelihood comprehensible appropriate likelihood criteria have to be established.</t>
  </si>
  <si>
    <t>Likelihood criteria must be established to keep estimates comprehensible.</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</si>
  <si>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</si>
  <si>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</si>
  <si>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</si>
  <si>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Split risks whose impact or likelihood depends on parameters (attacker potential, duration, number of affected installations).</t>
  </si>
  <si>
    <t>TR1-137</t>
  </si>
  <si>
    <t>5.9.1 Risk Analysis - General (NOTE)</t>
  </si>
  <si>
    <t>It is generally advisable to use sectorial appropriate methods for the risk analysis, fitting for the specific use case.</t>
  </si>
  <si>
    <t>Use sector-appropriate risk-analysis methods.</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</si>
  <si>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</si>
  <si>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</si>
  <si>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</si>
  <si>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Keep risk-analysis effort proportionate to the effort of treating the risk.</t>
  </si>
  <si>
    <t>RH_RA.1.2</t>
  </si>
  <si>
    <t>5.9.3 Control - RH_RA.1.2 Risk Analysis (Activity)</t>
  </si>
  <si>
    <t>The manufacturer MUST analyse the risks of the PwDE in regard to their likelihood and potential impact. [Output: List of (analysed) risks including impact and likelihood]</t>
  </si>
  <si>
    <t>Every identified risk must be analysed for likelihood and impact using defined criteria.</t>
  </si>
  <si>
    <t>TR1-139</t>
  </si>
  <si>
    <t>5.10.1 Risk Evaluation - General</t>
  </si>
  <si>
    <t>After the risks have been analysed, the manufacturer needs to evaluate if the analysed risks have to be treated or can be accepted.</t>
  </si>
  <si>
    <t>MUST (equiv. 'needs to')</t>
  </si>
  <si>
    <t>Risk assessment - evaluation</t>
  </si>
  <si>
    <t>Each analysed risk must be evaluated for treatment or acceptance.</t>
  </si>
  <si>
    <t>RH_RA.1.3</t>
  </si>
  <si>
    <t>5.10.3 Control - RH_RA.1.3 Risk Evaluation (Activity)</t>
  </si>
  <si>
    <t>The manufacturer MUST evaluate whether the analysed risks of the PwDE can be accepted or not. [Output: List of (evaluated risks), which have to be treated or have been accepted]</t>
  </si>
  <si>
    <t>Risk evaluation against acceptance criteria must be performed and recorded for every analysed risk.</t>
  </si>
  <si>
    <t>TR1-140</t>
  </si>
  <si>
    <t>5.11 RH_RT.1 Risk Treatment</t>
  </si>
  <si>
    <t>Risks which a not accepted have to be treated.</t>
  </si>
  <si>
    <t>Risk treatment</t>
  </si>
  <si>
    <t>Every risk that is not accepted must be treated.</t>
  </si>
  <si>
    <t>Control selection, implementation and verification</t>
  </si>
  <si>
    <t>Record the treatment decision per risk (control, sharing, acceptance) and verify the implemented controls.</t>
  </si>
  <si>
    <t>Risk treatment plan; verification results</t>
  </si>
  <si>
    <t>From the risk assessment; to 3. Integration/Build and 4. Deployment</t>
  </si>
  <si>
    <t>TR1-141</t>
  </si>
  <si>
    <t>This entails that an appropriate risk treatment based on the risk is a required part of the PwDE design.</t>
  </si>
  <si>
    <t>MUST (equiv. 'is a required part')</t>
  </si>
  <si>
    <t>Risk treatment is a required part of the solution design.</t>
  </si>
  <si>
    <t>TR1-142</t>
  </si>
  <si>
    <t>5.11.1.1 Select appropriate controls - General</t>
  </si>
  <si>
    <t>The manufacturer has to meet the requirement Annex I Part I (1) by designing, developing and producing PwDEs in such a way that they ensure an appropriate level of cybersecurity based on the risks.</t>
  </si>
  <si>
    <t>Design, development and production must achieve an appropriate cybersecurity level based on the risks.</t>
  </si>
  <si>
    <t>TR1-143</t>
  </si>
  <si>
    <t>This requires an initial selection of appropriate controls based on the risks to be treated.</t>
  </si>
  <si>
    <t>Treatment starts with an initial selection of controls for the risks to be treated.</t>
  </si>
  <si>
    <t>TR1-144</t>
  </si>
  <si>
    <t>If a risk can not be effectively treated by the manufacturer on his own, risk sharing can be used.</t>
  </si>
  <si>
    <t>MAY (equiv. 'can be used')</t>
  </si>
  <si>
    <t>Risk sharing</t>
  </si>
  <si>
    <t>Risk sharing (with suppliers or users) may be used where we cannot treat a risk alone.</t>
  </si>
  <si>
    <t>RH_RT.1.1.1-a</t>
  </si>
  <si>
    <t>5.11.1.3 Control - RH_RT.1.1.1 Select appropriate controls (Activity)</t>
  </si>
  <si>
    <t>The manufacturer MUST select appropriate controls to treat the evaluated risks and to reduce them to an acceptable level […]</t>
  </si>
  <si>
    <t>Selecting controls that reduce each evaluated risk to an acceptable level is the core of Annex I Part I(1) compliance.</t>
  </si>
  <si>
    <t>RH_RT.1.1.1-b</t>
  </si>
  <si>
    <t>[…] and include the selected controls in the design of the PwDE. [Output: List of selected controls and associated risks to be included in the design of the PwDE]</t>
  </si>
  <si>
    <t>Selected controls must be included in the solution design and traceable to the risks.</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</si>
  <si>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</si>
  <si>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</si>
  <si>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</si>
  <si>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</si>
  <si>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The applicable Annex I Part I(2) requirements must be met on the basis of the risk assessment.</t>
  </si>
  <si>
    <t>TR1-145-b</t>
  </si>
  <si>
    <t>The manufacturer also has to […] document the applicable requirements of Annex I Part I (2) on the basis of the cybersecurity risk assessment.</t>
  </si>
  <si>
    <t>Development provides the design, risk and test content of the technical documentation (document the applicable Annex I Part I (2) requirements).</t>
  </si>
  <si>
    <t>TR1-146</t>
  </si>
  <si>
    <t>If it is not addressed by any selected control, the manufacturer has to document and justify why the essential cybersecurity requirement is not applicable based on the associated risks.</t>
  </si>
  <si>
    <t>Every essential requirement not addressed by a control must be justified as not applicable, based on the risks.</t>
  </si>
  <si>
    <t>RH_RT.1.1.2-a</t>
  </si>
  <si>
    <t>5.11.2.3 Control - RH_RT.1.1.2 Select Applicable Essential Cybersecurity Requirements (Activity)</t>
  </si>
  <si>
    <t>The manufacturer MUST select and document applicable essential cybersecurity requirements from Annex I Part I (2) based on the selected controls.</t>
  </si>
  <si>
    <t>An applicability statement mapping the selected controls to Annex I Part I(2) is mandatory evidence for each solution.</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</si>
  <si>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</si>
  <si>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</si>
  <si>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Non-applicable essential requirements must be documented and justified by risk (e.g. automatic updates in change-controlled airport environments).</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</si>
  <si>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</si>
  <si>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</si>
  <si>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</si>
  <si>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</si>
  <si>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Risks cannot be transferred completely; we remain responsible for the risks of integrated components.</t>
  </si>
  <si>
    <t>TR1-147-b</t>
  </si>
  <si>
    <t>[…] and has to exercise due diligence according to CRA Article 13 (5) when integrating components.</t>
  </si>
  <si>
    <t>Due diligence must be exercised whenever components are integrated (Art. 13(5)).</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</si>
  <si>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</si>
  <si>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</si>
  <si>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</si>
  <si>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Nil - no change needed in 2. Solution Development. Handled in 1. Presale (Contract Manager / Presales Solution Architect).</t>
  </si>
  <si>
    <t>TR1-149</t>
  </si>
  <si>
    <t>If the manufacturer is not able to treat the risk in relation to a FOSS component appropriately, he may rely on a third party acting as an open-source software steward providing support for the component.</t>
  </si>
  <si>
    <t>For FOSS components we cannot support ourselves, an open-source software steward may be relied on.</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</si>
  <si>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</si>
  <si>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</si>
  <si>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</si>
  <si>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When risks are shared with a supplier, due diligence must establish that the supplier is legally obliged, contractually required or able and willing to treat them - supplier assessment and contract flow-down are needed.</t>
  </si>
  <si>
    <t>TR1-150</t>
  </si>
  <si>
    <t>5.11.3.2.1 Risk Sharing with Users - General</t>
  </si>
  <si>
    <t>In this case the manufacturer has to take into account the capabilities of the user and the infrastructure of the user.</t>
  </si>
  <si>
    <t>Risk sharing with users must consider their capabilities and infrastructure (skilled airport IT vs. small public bodies).</t>
  </si>
  <si>
    <t>TR1-151</t>
  </si>
  <si>
    <t>This way the integrating manufacturer has to exercise due diligence when integrating the third-party software, but the usage of the third-party RDPS is purely between the user and the provider of the third-party application.</t>
  </si>
  <si>
    <t>When integrating third-party software that relies on third-party remote services, due diligence still applies to the integrated software.</t>
  </si>
  <si>
    <t>RH_RT.1.2.2-a</t>
  </si>
  <si>
    <t>5.11.3.2.3 Control - RH_RT.1.2.2 Risk Sharing with Users (Activity)</t>
  </si>
  <si>
    <t>If sharing the risk with the user, the manufacturer MUST ensure that the shared risks are within the foreseeable expectations of the user […]</t>
  </si>
  <si>
    <t>Risks shared with the customer must be within their foreseeable expectations - define which residual risks the operator can carry.</t>
  </si>
  <si>
    <t>RH_RT.1.2.2-b</t>
  </si>
  <si>
    <t>[…] and that sufficient guidance documenting the risks and the expected mitigation by the user according to [USER_DOCUMENTATION] is provided. [Output: List of shared risks including the actions taken by the manufacturer to document shared risks]</t>
  </si>
  <si>
    <t>Developers supply the security-relevant content of the user information (provide sufficient guidance documenting shared risks and expected user mitigations).</t>
  </si>
  <si>
    <t>TR1-152</t>
  </si>
  <si>
    <t>5.11.4.1 Implementation and Verification - General</t>
  </si>
  <si>
    <t>The selected controls which were incorporated into the PwDE design have to be implemented accordingly to be effective.</t>
  </si>
  <si>
    <t>Controls incorporated into the design must be implemented to be effective.</t>
  </si>
  <si>
    <t>TR1-153</t>
  </si>
  <si>
    <t>The verification of effectiveness should at least be done on a conceptual level supported by a development process showing that the manufacturer develops and produces the PwDE correctly following the design.</t>
  </si>
  <si>
    <t>Verify effectiveness at least conceptually, supported by a development process that shows correct implementation.</t>
  </si>
  <si>
    <t>RH_RT.1.3-a</t>
  </si>
  <si>
    <t>5.11.4.3 Control - RH_RT.1.3 Implementation and Verification (Activity)</t>
  </si>
  <si>
    <t>The manufacturer MUST implement the selected controls […]</t>
  </si>
  <si>
    <t>Implementing the selected controls is mandatory; gaps block conformity.</t>
  </si>
  <si>
    <t>RH_RT.1.3-b</t>
  </si>
  <si>
    <t>[…] and verify their effectiveness and correctness, in accordance with the associated risk. [Output: List of implemented controls and performed verification]</t>
  </si>
  <si>
    <t>Effectiveness and correctness of controls must be verified in proportion to the risk (tests, reviews, penetration tests).</t>
  </si>
  <si>
    <t>TR1-154-a</t>
  </si>
  <si>
    <t>5.12.1 Documentation of the risk assessment - General</t>
  </si>
  <si>
    <t>Following Article 13 (3) and (4) the cybersecurity risk assessment shall be documented […]</t>
  </si>
  <si>
    <t>Risk assessment - documentation</t>
  </si>
  <si>
    <t>The risk assessment must be documented (Art. 13(3)/(4)).</t>
  </si>
  <si>
    <t>TR1-154-b</t>
  </si>
  <si>
    <t>[…] and included in the technical documentation required pursuant to Article 31 and Annex VII.</t>
  </si>
  <si>
    <t>Development provides the design, risk and test content of the technical documentation (the documented risk assessment shall be included in the technical documentation).</t>
  </si>
  <si>
    <t>TR1-155</t>
  </si>
  <si>
    <t>The usage of tools or templates for the documentation of the risk assessment is advisable.</t>
  </si>
  <si>
    <t>Tools or templates are advisable for documenting the risk assessment.</t>
  </si>
  <si>
    <t>RH_DOC.1-a</t>
  </si>
  <si>
    <t>5.12.3 Control - RH_DOC.1 Documentation of the risk assessment (Activity)</t>
  </si>
  <si>
    <t>The manufacturer MUST document the results of the risk assessment in a comprehensive manner.</t>
  </si>
  <si>
    <t>Comprehensive documentation of the risk-assessment results is mandatory and the basis for updates and conformity evidence.</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</si>
  <si>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</si>
  <si>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</si>
  <si>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</si>
  <si>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The documentation must cover risk context, evaluated risks with controls, shared risks and the applicable essential requirements.</t>
  </si>
  <si>
    <t>TR1-156</t>
  </si>
  <si>
    <t>5.13.1 Update Risk Assessment - General</t>
  </si>
  <si>
    <t>The cybersecurity risk assessment has to be updated as appropriate during a defined support period according to Article 13 (3).</t>
  </si>
  <si>
    <t>Risk assessment - update</t>
  </si>
  <si>
    <t>Engineering must fix vulnerabilities and update the risk assessment after release (update the risk assessment as appropriate during the support period).</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</si>
  <si>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</si>
  <si>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</si>
  <si>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</si>
  <si>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</si>
  <si>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Engineering must fix vulnerabilities and update the risk assessment after release (trigger: update of the product with security implications).</t>
  </si>
  <si>
    <t>TR1-158</t>
  </si>
  <si>
    <t>[An update is appropriate every time the existing risk assessment gets deprecated by an external or internal change in the threat context. This is at least the case in the following events:] New vulnerability becomes known</t>
  </si>
  <si>
    <t>Engineering must fix vulnerabilities and update the risk assessment after release (trigger: a new vulnerability becomes known).</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</si>
  <si>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</si>
  <si>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</si>
  <si>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Engineering must fix vulnerabilities and update the risk assessment after release (trigger: new threats become known).</t>
  </si>
  <si>
    <t>TR1-160</t>
  </si>
  <si>
    <t>Additionally, as not all relevant events can be monitored in all cases it is generally advisable to update the risk assessment in regular intervals.</t>
  </si>
  <si>
    <t>Engineering must fix vulnerabilities and update the risk assessment after release (update the risk assessment at regular intervals).</t>
  </si>
  <si>
    <t>RH_UPD.1-a</t>
  </si>
  <si>
    <t>5.13.3 Control - RH_UPD.1 Update Risk Assessment (Activity)</t>
  </si>
  <si>
    <t>[Input: Risk Assessment- Optional: Event influencing the risk context] The manufacturer MUST update the risk assessment when the risk context of the PwDE changes […]</t>
  </si>
  <si>
    <t>Development must perform the risk-assessment update and design the treatments.</t>
  </si>
  <si>
    <t>RH_UPD.1-b</t>
  </si>
  <si>
    <t>[…] and treat new unaccepted risks accordingly. [Output: Updated risk assessment]</t>
  </si>
  <si>
    <t>Treatments for new risks (fixes, design changes) must be developed.</t>
  </si>
  <si>
    <t>TR1-161</t>
  </si>
  <si>
    <t>5.14 Decision Criteria</t>
  </si>
  <si>
    <t>Decision criteria are a tool to simplify the analysis and evaluation of risks and should be defined on a on a sectorial, organisational or PwDE level.</t>
  </si>
  <si>
    <t>Decision criteria should be defined at sector, organisation or product level.</t>
  </si>
  <si>
    <t>TR1-162</t>
  </si>
  <si>
    <t>5.14.1 Impact Criteria</t>
  </si>
  <si>
    <t>The criteria can be tailored if needed.</t>
  </si>
  <si>
    <t>Impact criteria may be tailored to the use case.</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</si>
  <si>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</si>
  <si>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</si>
  <si>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</si>
  <si>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</si>
  <si>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</si>
  <si>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Baseline: moderate or higher impact from local low-complexity attacks is unacceptable unless access is restricted.</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</si>
  <si>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</si>
  <si>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</si>
  <si>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Baseline: high or higher impact from local high-complexity attacks by known actors is unacceptable unless access is restricted.</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</si>
  <si>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</si>
  <si>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</si>
  <si>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Baseline: moderate or higher impact from network low-complexity attacks by unknown actors is unacceptable unless network access is restricted - relevant for shared airport networks.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</si>
  <si>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</si>
  <si>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</si>
  <si>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Baseline: high or higher impact from network high-complexity attacks by a known limited group is unacceptable unless network access is restricted.</t>
  </si>
  <si>
    <t>TR1-167</t>
  </si>
  <si>
    <t>[This guideline will use the following criteria for acceptance of risks:] The risk for a moderate or higher impact based on an initial misconfiguration of the PwDE is not acceptable, if the user is a layman.</t>
  </si>
  <si>
    <t>Baseline for layman users; airport and government operators are normally skilled, so this criterion rarely applies.</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</si>
  <si>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</si>
  <si>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</si>
  <si>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</si>
  <si>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Baseline for instructed (non-expert) users; check where customer operators are not IT experts (e.g. small municipalities).</t>
  </si>
  <si>
    <t>TR1-169</t>
  </si>
  <si>
    <t>These acceptance criteria are understood as an initial baseline and have to tailored based on the product specific use case and sectorial best practices.</t>
  </si>
  <si>
    <t>The baseline acceptance criteria must be tailored to the product use case and sector practice.</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</si>
  <si>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</si>
  <si>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</si>
  <si>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</si>
  <si>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</si>
  <si>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</si>
  <si>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ARC matching starts from the risk assessment.</t>
  </si>
  <si>
    <t>Control-selection method</t>
  </si>
  <si>
    <t>Apply in the risk-assessment method if the TR-1 ARC/OSCAL controls are used.</t>
  </si>
  <si>
    <t>Method description; control-selection record</t>
  </si>
  <si>
    <t>Risk assessment</t>
  </si>
  <si>
    <t>The TR-1 OSCAL control catalogue (GitHub) is not part of the three source documents; only the method text is assessed.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</si>
  <si>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</si>
  <si>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</si>
  <si>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</si>
  <si>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Categorise assets by impact and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</si>
  <si>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</si>
  <si>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</si>
  <si>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</si>
  <si>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Describe each environment as a tuple of access restriction, user capability and interface restriction.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</si>
  <si>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</si>
  <si>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</si>
  <si>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</si>
  <si>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For remote data processing we operate, we can choose (and must then provide) the operating environment, which changes which controls apply.</t>
  </si>
  <si>
    <t>TR1-174</t>
  </si>
  <si>
    <t>6.2 Matching a Risk Scenario (step 4)</t>
  </si>
  <si>
    <t>[Whether a risk applies to the PwDE can be evaluated following these steps:] Select the controls based on the assets, impact and environment parameters given in the risk scenario of the control.</t>
  </si>
  <si>
    <t>Select controls whose risk scenarios match the assets and environments.</t>
  </si>
  <si>
    <t>TR1-175</t>
  </si>
  <si>
    <t>[Whether a risk applies to the PwDE can be evaluated following these steps:] If more than one value is given for an environment parameter, at least one must match.</t>
  </si>
  <si>
    <t>Matching rule for environment parameters.</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</si>
  <si>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</si>
  <si>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</si>
  <si>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</si>
  <si>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</si>
  <si>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Recommended top-down control-selection approach.</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</si>
  <si>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</si>
  <si>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</si>
  <si>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</si>
  <si>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</si>
  <si>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Build a combined risk profile (highest C/I/A impact, all environments).</t>
  </si>
  <si>
    <t>TR1-178</t>
  </si>
  <si>
    <t>6.3 Recommended Workflow (step 2)</t>
  </si>
  <si>
    <t>[Follow this process] Select all controls based on combined risk profile</t>
  </si>
  <si>
    <t>Select all controls matching the combined profile.</t>
  </si>
  <si>
    <t>TR1-179</t>
  </si>
  <si>
    <t>6.3 Recommended Workflow (step 3)</t>
  </si>
  <si>
    <t>[Follow this process] Try to implement selected control</t>
  </si>
  <si>
    <t>Attempt implementation of the selected controls.</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</si>
  <si>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</si>
  <si>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</si>
  <si>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</si>
  <si>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Refine the profile where a control cannot be implemented everywhere.</t>
  </si>
  <si>
    <t>TR1-181</t>
  </si>
  <si>
    <t>6.3 Recommended Workflow (step 5)</t>
  </si>
  <si>
    <t>[Follow this process] Reevaluate the asset list for new assets after implementing all controls</t>
  </si>
  <si>
    <t>Re-evaluate assets after implementation (controls create new security assets).</t>
  </si>
  <si>
    <t>TR1-182</t>
  </si>
  <si>
    <t>6.4 Working with predefined risk profiles</t>
  </si>
  <si>
    <t>To simplify the risk assessment predefined risk profiles may be used.</t>
  </si>
  <si>
    <t>MAY</t>
  </si>
  <si>
    <t>Predefined risk profiles may be used to speed up the risk assessment.</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</si>
  <si>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</si>
  <si>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</si>
  <si>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A predefined profile never replaces the product risk assessment; it must be evaluated and extended with product-specific risks.</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</si>
  <si>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</si>
  <si>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</si>
  <si>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</si>
  <si>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</si>
  <si>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Choose the closest predefined profile.</t>
  </si>
  <si>
    <t>TR1-185</t>
  </si>
  <si>
    <t>6.4 Working with predefined risk profiles (step 2)</t>
  </si>
  <si>
    <t>[Predefined risk profiles come with a list of preselected controls and can be used as follows:] Apply profile and controls following the workflow described in 6.3</t>
  </si>
  <si>
    <t>Apply the profile with the 6.3 workflow.</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</si>
  <si>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</si>
  <si>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</si>
  <si>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</si>
  <si>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Add risks missing from the profile.</t>
  </si>
  <si>
    <t>TR1-187</t>
  </si>
  <si>
    <t>6.4 Working with predefined risk profiles (step 4)</t>
  </si>
  <si>
    <t>[Predefined risk profiles come with a list of preselected controls and can be used as follows:] Enhance predefined profile with appropriate controls for added risks</t>
  </si>
  <si>
    <t>Add controls for the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</si>
  <si>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</si>
  <si>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</si>
  <si>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</si>
  <si>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</si>
  <si>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</si>
  <si>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Example ARC: an automatic update check is required where components are administered by layman users; for skilled airport/government operators the ARC normally does not match, but ER.4a still asks for automatic security updates where applicable.</t>
  </si>
  <si>
    <t>Update mechanism (agent/client, integrity protection, notification, deferral, rollback)</t>
  </si>
  <si>
    <t>Design and implement the update mechanism with integrity protection, notification and deferral; justify non-applicable parts (e.g. automatic installation in change-controlled sites).</t>
  </si>
  <si>
    <t>Update mechanism design; test results; applicability justification</t>
  </si>
  <si>
    <t>Packages from 3. Integration/Build; configuration by 4. Deployment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</si>
  <si>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</si>
  <si>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</si>
  <si>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</si>
  <si>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</si>
  <si>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</si>
  <si>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Components must declare the environment they expect (environment assumptions) in the design.</t>
  </si>
  <si>
    <t>TR1-189-b</t>
  </si>
  <si>
    <t>[…] or can delegate the expectation to the next user in the supply chain.</t>
  </si>
  <si>
    <t>MAY (equiv. 'can delegate')</t>
  </si>
  <si>
    <t>environment expectations may be delegated to the next user in the supply chain - risk-treatment decisions (controls, sharing, verification) drive the solution design.</t>
  </si>
  <si>
    <t>TR1-190</t>
  </si>
  <si>
    <t>If this is done, the manufacturer has to enable the next user to meet the expectations.</t>
  </si>
  <si>
    <t>Developers supply the security-relevant content of the user information (when delegating, enable the next user to meet the expectations).</t>
  </si>
  <si>
    <t>TR1-191</t>
  </si>
  <si>
    <t>This does at least include a transparent description of the delegated expectations as well as the means to meet the expectations, e.g. a configuration interface if some additional configuration is expected.</t>
  </si>
  <si>
    <t>MUST (equiv. 'does at least include')</t>
  </si>
  <si>
    <t>Developers supply the security-relevant content of the user information (delegation includes a transparent description of the expectations and the means to meet them).</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</si>
  <si>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</si>
  <si>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</si>
  <si>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</si>
  <si>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</si>
  <si>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</si>
  <si>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The overarching essential requirement: every solution must be designed, developed and produced for an appropriate cybersecurity level based on its risks - this needs the full risk-based secure development lifecycle.</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</si>
  <si>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</si>
  <si>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</si>
  <si>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</si>
  <si>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</si>
  <si>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No known exploitable vulnerabilities at release: requires software composition analysis, SAST/DAST, triage and fixing before every release.</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</si>
  <si>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</si>
  <si>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</si>
  <si>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</si>
  <si>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</si>
  <si>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Secure-by-default configuration: no default passwords, minimal enabled services and ports, secure protocols, least privilege - designed into the product baseline.</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</si>
  <si>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</si>
  <si>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</si>
  <si>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</si>
  <si>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A reset to the original (secure) state - factory reset or clean reinstall - must be possible.</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</si>
  <si>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</si>
  <si>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</si>
  <si>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</si>
  <si>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</si>
  <si>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</si>
  <si>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Every solution must be updatable for security fixes (all components incl. OS, firmware and third-party parts) - an update capability by design.</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</si>
  <si>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</si>
  <si>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</si>
  <si>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Automatic security updates enabled by default where applicable; in change-controlled airport/government environments this is often not applicable and must then be justified in the risk assessment, otherwise implemented.</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</si>
  <si>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</si>
  <si>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</si>
  <si>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</si>
  <si>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Where automatic updates exist, a clear and easy opt-out must be provided.</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</si>
  <si>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</si>
  <si>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</si>
  <si>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Implement in-product notification of available updates where feasible.</t>
  </si>
  <si>
    <t>ER.4d</t>
  </si>
  <si>
    <t>[On the basis of the cybersecurity risk assessment referred to in Article 13(2) and where applicable, products with digital elements shall: ensure that vulnerabilities can be addressed through security updates,] and the option to temporarily postpone them;</t>
  </si>
  <si>
    <t>Users must be able to postpone updates temporarily.</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</si>
  <si>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</si>
  <si>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</si>
  <si>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</si>
  <si>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</si>
  <si>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Appropriate access control (authentication, authorisation) must protect all interfaces of the solution.</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</si>
  <si>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</si>
  <si>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</si>
  <si>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Authentication and identity/access management mechanisms must be provided (e.g. MFA, role-based access, IAM integration).</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</si>
  <si>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</si>
  <si>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</si>
  <si>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The solution must detect and report possible unauthorised access (alerts, logs).</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</si>
  <si>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</si>
  <si>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</si>
  <si>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</si>
  <si>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</si>
  <si>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Confidentiality of stored, transmitted and processed data with state-of-the-art encryption at rest and in transit.</t>
  </si>
  <si>
    <t>Data-protection design (encryption, integrity, minimisation, removal)</t>
  </si>
  <si>
    <t>Design, implement and test the protection; record it in the applicability statement.</t>
  </si>
  <si>
    <t>Design record; test results; applicability entry</t>
  </si>
  <si>
    <t>Risk assessment; evidence to 3. Integration/Build</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</si>
  <si>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</si>
  <si>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</si>
  <si>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</si>
  <si>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</si>
  <si>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Integrity protection of data, commands, programs and configuration against unauthorised modification (e.g. signed code, integrity checks).</t>
  </si>
  <si>
    <t>ER.7-b</t>
  </si>
  <si>
    <t>[On the basis of the cybersecurity risk assessment referred to in Article 13(2) and where applicable, products with digital elements shall:] […] and report on corruptions;</t>
  </si>
  <si>
    <t>Integrity violations must be detected and reported (alerts, logs).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</si>
  <si>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</si>
  <si>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</si>
  <si>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</si>
  <si>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</si>
  <si>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Data minimisation: process only data adequate, relevant and limited to the intended purpose - review data flows and default settings.</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</si>
  <si>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</si>
  <si>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</si>
  <si>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</si>
  <si>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</si>
  <si>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</si>
  <si>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Availability of essential functions also after an incident - resilient design (redundancy, recovery).</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</si>
  <si>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</si>
  <si>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</si>
  <si>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Resilience and mitigation measures against denial-of-service attacks must be built in.</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</si>
  <si>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</si>
  <si>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</si>
  <si>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</si>
  <si>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</si>
  <si>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Minimise negative impact on other devices and networks (rate limiting, safe failure) - important in shared airport networks.</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</si>
  <si>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</si>
  <si>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</si>
  <si>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</si>
  <si>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</si>
  <si>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Limit attack surfaces: only necessary services, ports and components.</t>
  </si>
  <si>
    <t>ER.11a</t>
  </si>
  <si>
    <t>[On the basis of the cybersecurity risk assessment referred to in Article 13(2) and where applicable, products with digital elements shall: be designed, developed and produced to limit attack surfaces,] including external interfaces;</t>
  </si>
  <si>
    <t>Externally reachable interfaces must be minimised and protected.</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</si>
  <si>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</si>
  <si>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</si>
  <si>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</si>
  <si>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</si>
  <si>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Exploitation-mitigation mechanisms (memory safety, ASLR/DEP, sandboxing, least privilege) must reduce incident impact.</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</si>
  <si>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</si>
  <si>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</si>
  <si>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</si>
  <si>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</si>
  <si>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Security logging and monitoring of relevant internal activity must be provided.</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</si>
  <si>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</si>
  <si>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</si>
  <si>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Logging must include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</si>
  <si>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</si>
  <si>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</si>
  <si>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Users must be able to opt out of security logging; design the opt-out so customer audit duties can still be met.</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</si>
  <si>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</si>
  <si>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</si>
  <si>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</si>
  <si>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</si>
  <si>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A secure 'remove all data and settings' function (incl. backups, logs, keys) must be designed into the solution.</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</si>
  <si>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</si>
  <si>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</si>
  <si>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</si>
  <si>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</si>
  <si>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Provide a secure export (encrypted, integrity-protected) for data transfer.</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</si>
  <si>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</si>
  <si>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</si>
  <si>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</si>
  <si>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</si>
  <si>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</si>
  <si>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Development identifies vulnerabilities via security testing and code analysis.</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</si>
  <si>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</si>
  <si>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</si>
  <si>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</si>
  <si>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SBOM generation tooling and dependency hygiene are needed in development.</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</si>
  <si>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</si>
  <si>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</si>
  <si>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</si>
  <si>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</si>
  <si>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Engineering delivers fixes, analysis and security testing for this (address and remediate vulnerabilities without delay, incl. security updates).</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</si>
  <si>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</si>
  <si>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</si>
  <si>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</si>
  <si>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</si>
  <si>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Engineering delivers fixes, analysis and security testing for this (provide security updates separately from functionality updates where technically feasible).</t>
  </si>
  <si>
    <t>VH.3</t>
  </si>
  <si>
    <t>Annex B Table 10 (CRA Annex I Part II (3)); text also in 3.9</t>
  </si>
  <si>
    <t>[Manufacturers of products with digital elements shall:] apply effective and regular tests and reviews of the security of the product with digital elements;</t>
  </si>
  <si>
    <t>Effective and regular security tests and reviews (SAST, DAST, penetration tests, code reviews) of each solution - a structured security testing programme.</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</si>
  <si>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</si>
  <si>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</si>
  <si>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</si>
  <si>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</si>
  <si>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Engineering delivers fixes, analysis and security testing for this (once a security update is available, publicly disclose information about fixed vulnerabilities).</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</si>
  <si>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</si>
  <si>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</si>
  <si>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</si>
  <si>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Nil - no change needed in 2. Solution Development. Handled in 5. Solution Maintenance (RUN) (PSIRT Lead).</t>
  </si>
  <si>
    <t>VH.5</t>
  </si>
  <si>
    <t>Annex B Table 10 (CRA Annex I Part II (5)); text also in 3.9</t>
  </si>
  <si>
    <t>[Manufacturers of products with digital elements shall:] put in place and enforce a policy on coordinated vulnerability disclosure;</t>
  </si>
  <si>
    <t>CVD policy</t>
  </si>
  <si>
    <t>Engineering delivers fixes, analysis and security testing for this (put in place and enforce a coordinated vulnerability disclosure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</si>
  <si>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</si>
  <si>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</si>
  <si>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</si>
  <si>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</si>
  <si>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Engineering delivers fixes, analysis and security testing for this (facilitate sharing information about potential vulnerabilities in the product and its third-party components).</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</si>
  <si>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</si>
  <si>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</si>
  <si>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</si>
  <si>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</si>
  <si>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</si>
  <si>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</si>
  <si>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</si>
  <si>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</si>
  <si>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The update client/mechanism must verify signatures and protect the channel.</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</si>
  <si>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</si>
  <si>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</si>
  <si>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Security updates should be distributed automatically where applicable.</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</si>
  <si>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</si>
  <si>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</si>
  <si>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</si>
  <si>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</si>
  <si>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Engineering delivers fixes, analysis and security testing for this (disseminate available security updates without delay).</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</si>
  <si>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</si>
  <si>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</si>
  <si>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Nil - no change needed in 2. Solution Development. Handled in 1. Presale (Bid Manager).</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</si>
  <si>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</si>
  <si>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</si>
  <si>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</si>
  <si>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Engineering delivers fixes, analysis and security testing for this (accompany security updates with advisory messages incl. actions to take).</t>
  </si>
  <si>
    <t>TR1-193</t>
  </si>
  <si>
    <t>C.7 Mitigation of Risks (example)</t>
  </si>
  <si>
    <t>Unaccepted risks have to be mitigated by appropriate controls.</t>
  </si>
  <si>
    <t>MUST (equiv. 'have to'; example)</t>
  </si>
  <si>
    <t>Example rule: unaccepted risks are mitigated by controls (cf. RH_RT.1.1.1).</t>
  </si>
  <si>
    <t>Annex C is an illustrative example (network camera); the sentence states a general rule with normative wording and is registered for completeness.</t>
  </si>
  <si>
    <t>TR1-194</t>
  </si>
  <si>
    <t>Risks mitigated by these controls have to be re-evaluated in the updated risk assessment.</t>
  </si>
  <si>
    <t>Example rule: mitigated risks are re-evaluated in the updated risk assessment.</t>
  </si>
  <si>
    <t>TR1-195</t>
  </si>
  <si>
    <t>C.8 Updating the Risk Assessment (example)</t>
  </si>
  <si>
    <t>Following the implementation of the controls the risk assessment has to be updated to reflect the changed situation.</t>
  </si>
  <si>
    <t>MUST (equiv. 'has to'; example)</t>
  </si>
  <si>
    <t>Example rule: update the risk assessment after implementing controls (cf. RH_UPD.1).</t>
  </si>
  <si>
    <t>TR1-196</t>
  </si>
  <si>
    <t>To calculate the impact of the authentication data the functions accessible after authentication have to be evaluated.</t>
  </si>
  <si>
    <t>Example rule: the impact of credentials follows from the functions they unlock.</t>
  </si>
  <si>
    <t>TR1-197</t>
  </si>
  <si>
    <t>These new assets result in additional threats, which have to be evaluated in the updated risk assessment and mitigated accordingly.</t>
  </si>
  <si>
    <t>Example rule: new security assets (keys, credentials) bring new threats to evaluate and mitigate.</t>
  </si>
  <si>
    <t>TR1-198</t>
  </si>
  <si>
    <t>For example encryption of communications and consequently the confidentiality protection for secrets is always advisable from a security perspective even if not deemed necessary.</t>
  </si>
  <si>
    <t>SHOULD (equiv. 'is always advisable'; example)</t>
  </si>
  <si>
    <t>Example advice: always encrypt communications and protect secrets, even where the risk assessment does not strictly demand it.</t>
  </si>
  <si>
    <t>TR1-199-a</t>
  </si>
  <si>
    <t>D.2 Acceptance Criteria (Acceptance Rule)</t>
  </si>
  <si>
    <t>Every Low and Very Low Risk can be accepted, […]</t>
  </si>
  <si>
    <t>MAY (equiv. 'can be accepted')</t>
  </si>
  <si>
    <t>Experimental scoring rule: low and very low risks may be accepted.</t>
  </si>
  <si>
    <t>Annex D is declared 'highly experimental' by BSI.</t>
  </si>
  <si>
    <t>TR1-199-b</t>
  </si>
  <si>
    <t>[…] every other risk has to be treated.</t>
  </si>
  <si>
    <t>Experimental scoring rule: every risk above low must be treated.</t>
  </si>
  <si>
    <t>TR1-200</t>
  </si>
  <si>
    <t>D.2 Acceptance Criteria (NOTE)</t>
  </si>
  <si>
    <t>Generally when accepting a risk the decision must be comprehensibly justified and documented.</t>
  </si>
  <si>
    <t>Every risk acceptance must be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</si>
  <si>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</si>
  <si>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</si>
  <si>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</si>
  <si>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Moderate risks must be treated during development.</t>
  </si>
  <si>
    <t>TR1-201-b</t>
  </si>
  <si>
    <t>[…] but can be accepted in post-market if the effort of treatment is not in relation with the potential risk and the remaining PwDE lifetime.</t>
  </si>
  <si>
    <t>Nil - no change needed in 2. Solution Development. Handled in 5. Solution Maintenance (RUN) (Product Security Officer).</t>
  </si>
  <si>
    <t>TR1-202</t>
  </si>
  <si>
    <t>High and very high risks are generally not acceptable and have to be treated.</t>
  </si>
  <si>
    <t>High and very high risks must always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</si>
  <si>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</si>
  <si>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</si>
  <si>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</si>
  <si>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</si>
  <si>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</si>
  <si>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Dependency manifests, lock files and component metadata must be accurate so the SBOM can be generated automatically (every software creator and provider should use an SBOM).</t>
  </si>
  <si>
    <t>Dependency management; manifests and lock files; component metadata</t>
  </si>
  <si>
    <t>Enforce lock files and declared dependencies in all repositories; generate a source SBOM in CI for early checks.</t>
  </si>
  <si>
    <t>Repository policy; CI source-SBOM artefacts</t>
  </si>
  <si>
    <t>Feeds 3. Integration/Build (release SBOM)</t>
  </si>
  <si>
    <t>TR2-002</t>
  </si>
  <si>
    <t>Whether and to which extent a vulnerability of an integrated component poses a risk to the product covered by the SBOM should not be detailed by the SBOM.</t>
  </si>
  <si>
    <t>SBOM - vulnerability information</t>
  </si>
  <si>
    <t>Nil - no change needed in 2. Solution Development. Handled in 3. Solution Integration / Build (Build &amp; Release Manager).</t>
  </si>
  <si>
    <t>TR2-003</t>
  </si>
  <si>
    <t>The exchange of vulnerability information and the potential impact should be facilitated, by means of Security Advisories e.g. CSAF (Common Security Advisory Framework) or VEX (Vulnerability Exploitability Exchange).</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</si>
  <si>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</si>
  <si>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</si>
  <si>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</si>
  <si>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Engineers must provide reachability/exploitability analysis of flagged components quickly; this is new recurring work for product teams.</t>
  </si>
  <si>
    <t>Exploitability / reachability analysis</t>
  </si>
  <si>
    <t>Provide reachability and exploitability analysis for components flagged by monitoring within the triage SLA.</t>
  </si>
  <si>
    <t>Analysis notes per case</t>
  </si>
  <si>
    <t>TR2-005</t>
  </si>
  <si>
    <t>In the Cyber Resilience Act (CRA) the compilation of an SBOM is mandatory.</t>
  </si>
  <si>
    <t>MUST (equiv. 'is mandatory')</t>
  </si>
  <si>
    <t>Dependency manifests, lock files and component metadata must be accurate so the SBOM can be generated automatically (compiling an SBOM is mandatory under the CRA).</t>
  </si>
  <si>
    <t>TR2-006-a</t>
  </si>
  <si>
    <t>The CRA is a market access regulation of the EU for products with digital elements, which obliges their providers to continuously operate a vulnerability handling process […]</t>
  </si>
  <si>
    <t>Vulnerability handling process</t>
  </si>
  <si>
    <t>Development must be able to produce fixes or mitigations quickly for every supported release line.</t>
  </si>
  <si>
    <t>Maintenance branches; fix development</t>
  </si>
  <si>
    <t>Keep supported release branches buildable; define a fix/back-port procedure.</t>
  </si>
  <si>
    <t>Branching policy; fix tickets linked to vulnerability cases</t>
  </si>
  <si>
    <t>Triggered by 5. Maintenance (PSIRT triage); output to 3. Integration/Build</t>
  </si>
  <si>
    <t>TR2-006-b</t>
  </si>
  <si>
    <t>[…] and to provide information on their products in a transparent and comprehensible form.</t>
  </si>
  <si>
    <t>Nil - no change needed in 2. Solution Development. Handled in 4. Solution Deployment (Deployment / Implementation Manager).</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</si>
  <si>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</si>
  <si>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</si>
  <si>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</si>
  <si>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</si>
  <si>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Nil - no change needed in 2. Solution Development. Handled in 1. Presale (Bid Manager (with Contract Manager / Legal)).</t>
  </si>
  <si>
    <t>Assumption: no US federal or medical-device business; rate higher if such bids exist.</t>
  </si>
  <si>
    <t>TR2-008</t>
  </si>
  <si>
    <t>3.1 Definition of SBOM</t>
  </si>
  <si>
    <t>An SBOM MUST contain certain minimum information (see section 5).</t>
  </si>
  <si>
    <t>Dependency manifests, lock files and component metadata must be accurate so the SBOM can be generated automatically (an SBOM must contain the minimum information of section 5).</t>
  </si>
  <si>
    <t>TR2-009</t>
  </si>
  <si>
    <t>An SBOM conformant to this Technical Guideline MAY be expanded and detailed as desired as long as this information does not introduce contradictions.</t>
  </si>
  <si>
    <t>Nil - no change needed in 2. Solution Development. Handled in 3. Solution Integration / Build (Build &amp; Release Manager (DevSecOps)).</t>
  </si>
  <si>
    <t>TR2-010</t>
  </si>
  <si>
    <t>[It is often difficult to decide in an automated manner which information is expanded information e.g. if context is missing;] thus, such decisions oblige the SBOM creator.</t>
  </si>
  <si>
    <t>MUST (equiv. 'oblige')</t>
  </si>
  <si>
    <t>TR2-011</t>
  </si>
  <si>
    <t>A separate SBOM MUST be generated for each software version.</t>
  </si>
  <si>
    <t>SBOM - per version</t>
  </si>
  <si>
    <t>Dependency manifests, lock files and component metadata must be accurate so the SBOM can be generated automatically (generate a separate SBOM for each software version).</t>
  </si>
  <si>
    <t>TR2-012</t>
  </si>
  <si>
    <t>An updated version of the SBOM for a given software version MUST be generated if and only if additional information on the included components is provided or errors in the SBOM data are corrected.</t>
  </si>
  <si>
    <t>TR2-013-a</t>
  </si>
  <si>
    <t>Consequently, if any component is altered, a new software version MUST be assigned to this component; […]</t>
  </si>
  <si>
    <t>SBOM - versioning</t>
  </si>
  <si>
    <t>Every altered component - including internal libraries and customer-specific builds - must receive a new version number; requires versioning discipline in every repository.</t>
  </si>
  <si>
    <t>TR2-013-b</t>
  </si>
  <si>
    <t>[…] and in the case of a delivery item SBOM also to all depending parent components.</t>
  </si>
  <si>
    <t>Version bumps must propagate to parent components; component versioning rules need to cover this.</t>
  </si>
  <si>
    <t>TR2-014</t>
  </si>
  <si>
    <t>An SBOM MUST NOT contain vulnerability information, because SBOM data is static with respect to software that is not changing.</t>
  </si>
  <si>
    <t>MUST NOT</t>
  </si>
  <si>
    <t>TR2-015</t>
  </si>
  <si>
    <t>Still, a document containing both SBOM and vulnerability information does not conform to this Technical Guideline; see also Appendix, section 8.1.14.</t>
  </si>
  <si>
    <t>Rule (non-conformity statement)</t>
  </si>
  <si>
    <t>TR2-016</t>
  </si>
  <si>
    <t>3.2.1 Component</t>
  </si>
  <si>
    <t>A "component" as used in this Technical Guideline is a logical component (see section 3.2.2), a single executable file or an archive file, hence they MUST be represented as components in the SBOM.</t>
  </si>
  <si>
    <t>SBOM - component granularity</t>
  </si>
  <si>
    <t>Dependency declarations and build structure determine which components and paths appear in the SBOM (logical components, executable files and archive files must be represented as components).</t>
  </si>
  <si>
    <t>Dependency declarations; build structure; versioning of own components</t>
  </si>
  <si>
    <t>Declare every dependency explicitly (no copied/vendored code without metadata) and version every changed component.</t>
  </si>
  <si>
    <t>Repository conventions; dependency declaration checks</t>
  </si>
  <si>
    <t>Development Lead / Software Architect</t>
  </si>
  <si>
    <t>Consumed by 3. Integration/Build</t>
  </si>
  <si>
    <t>TR2-017</t>
  </si>
  <si>
    <t>Additionally, any other file MAY be represented as a component.</t>
  </si>
  <si>
    <t>TR2-018</t>
  </si>
  <si>
    <t>For components that comprise multiple components in a manner that the original components cannot be determined the original components SHOULD be listed with the appropriate information according to sections 5.2.2, 5.2.4 and 5.2.5.</t>
  </si>
  <si>
    <t>SHOULD</t>
  </si>
  <si>
    <t>Dependency declarations and build structure determine which components and paths appear in the SBOM (list the original components of merged components with the appropriate information).</t>
  </si>
  <si>
    <t>TR2-019</t>
  </si>
  <si>
    <t>Information that is not available due to the way a component is assembled has to be omitted even if it is specified as a required data field, e.g. the hash or filename of the component.</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</si>
  <si>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</si>
  <si>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</si>
  <si>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</si>
  <si>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Dependency declarations and build structure determine which components and paths appear in the SBOM (list the component used by the linker, even if alternatives exist).</t>
  </si>
  <si>
    <t>TR2-021</t>
  </si>
  <si>
    <t>[For the collection of information about components the following principles MUST apply: In the case of compiled code] If there is – for technical reasons – no linkage run the interpreted code section applies.</t>
  </si>
  <si>
    <t>MUST (via 'principles MUST apply')</t>
  </si>
  <si>
    <t>TR2-022</t>
  </si>
  <si>
    <t>[For the collection of information about components the following principles MUST apply: In the case of compiled code] Both statements apply to statically and dynamically linked components / libraries.</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</si>
  <si>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</si>
  <si>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</si>
  <si>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</si>
  <si>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</si>
  <si>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Interpreted-language dependencies that are shipped must be pinned to exact versions (lock files).</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</si>
  <si>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</si>
  <si>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</si>
  <si>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Dependency declarations and build structure determine which components and paths appear in the SBOM (for non-delivered interpreted dependencies, state the minimum required version).</t>
  </si>
  <si>
    <t>TR2-025</t>
  </si>
  <si>
    <t>[For the collection of information about components the following principles MUST apply: In the case of interpreted code] This SHOULD also take into account other factors than just the factual minimum technical requirement.</t>
  </si>
  <si>
    <t>Dependency policy guidance for developers.</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</si>
  <si>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</si>
  <si>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</si>
  <si>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</si>
  <si>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Dependency policy: declared minimum versions must exclude end-of-life and known-vulnerable releases; check during dependency review.</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</si>
  <si>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</si>
  <si>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</si>
  <si>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Optional way to determine minimum versions from test matrices.</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</si>
  <si>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</si>
  <si>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</si>
  <si>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Dependency declarations and build structure determine which components and paths appear in the SBOM (for multiple implementations use the least common denominator or standard implementation).</t>
  </si>
  <si>
    <t>TR2-029</t>
  </si>
  <si>
    <t>3.2.1 Component - interpreted code (example)</t>
  </si>
  <si>
    <t>If a script can be run with all Bourne Shell compatible shells the component denoted in the SBOM should be the Bourne Shell.</t>
  </si>
  <si>
    <t>SHOULD (equiv. 'should'; example)</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</si>
  <si>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</si>
  <si>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</si>
  <si>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</si>
  <si>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</si>
  <si>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</si>
  <si>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</si>
  <si>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</si>
  <si>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</si>
  <si>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TR2-033</t>
  </si>
  <si>
    <t>3.2.4 Identified component</t>
  </si>
  <si>
    <t>Depending on the level of detail of an SBOM not all components have to be fully described, some merely have to be identified, e.g. see Appendix, section 8.3.4.</t>
  </si>
  <si>
    <t>SBOM - level of detail</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</si>
  <si>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</si>
  <si>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</si>
  <si>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</si>
  <si>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</si>
  <si>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</si>
  <si>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</si>
  <si>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TR2-036</t>
  </si>
  <si>
    <t>If inconsistent component information exists in both, the referencing and the referenced BOM, the information of the referenced BOM prevails.</t>
  </si>
  <si>
    <t>Rule (precedence)</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</si>
  <si>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</si>
  <si>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</si>
  <si>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</si>
  <si>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TR2-038</t>
  </si>
  <si>
    <t>3.2.8 Licence information</t>
  </si>
  <si>
    <t>Note: Because the "effective licence" is set by the creator of the current SBOM, it has to be set anew when merging SBOMs.</t>
  </si>
  <si>
    <t>SBOM - licence information</t>
  </si>
  <si>
    <t>When supplier SBOMs are merged, the effective licence must be re-determined for our use.</t>
  </si>
  <si>
    <t>Open-source licence compliance (scanning and clearing)</t>
  </si>
  <si>
    <t>Introduce licence scanning (SPDX identifiers, ScanCode LicenseDB fallback, LicenseRef- for unknown licences) and a clearing workflow for every new component.</t>
  </si>
  <si>
    <t>Licence scan reports; clearing decisions per component</t>
  </si>
  <si>
    <t>Open Source Compliance Officer / Development Lead</t>
  </si>
  <si>
    <t>Feeds the SBOM licence fields in 3. Integration/Build</t>
  </si>
  <si>
    <t>TR2-039-a</t>
  </si>
  <si>
    <t>4 SBOM formats</t>
  </si>
  <si>
    <t>A newly generated or updated SBOM MUST be in JSON- or XML-format […]</t>
  </si>
  <si>
    <t>SBOM - format</t>
  </si>
  <si>
    <t>TR2-039-b</t>
  </si>
  <si>
    <t>[…] and a valid SBOM according to one of the following specifications in one of the specified versions: - CycloneDX, version 1.6 or higher - System Package Data Exchange (SPDX), version 3.0.1 or higher</t>
  </si>
  <si>
    <t>Developer-side SBOM tooling should emit the same format to avoid conversion losses (SBOMs must be valid CycloneDX &gt;= 1.6 or SPDX &gt;= 3.0.1).</t>
  </si>
  <si>
    <t>Developer and CI SBOM tooling</t>
  </si>
  <si>
    <t>Standardise on the same SBOM format/tool in development CI.</t>
  </si>
  <si>
    <t>Tooling standard</t>
  </si>
  <si>
    <t>Aligned with 3. Integration/Build</t>
  </si>
  <si>
    <t>TR2-040</t>
  </si>
  <si>
    <t>Only officially released versions of these specifications MUST be used.</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</si>
  <si>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</si>
  <si>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</si>
  <si>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</si>
  <si>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Dependency declarations and build structure determine which components and paths appear in the SBOM (resolve dependencies recursively on each path down to the first component outside the scope of delivery).</t>
  </si>
  <si>
    <t>TR2-042</t>
  </si>
  <si>
    <t>Note: The first level of dependencies outside the scope of delivery must be identified (for "identified component", see section 3.2.4) in order to correlate these dependencies unambiguously.</t>
  </si>
  <si>
    <t>TR2-043</t>
  </si>
  <si>
    <t>If the primary component depends on multiple instances of a component which have different metainformation, all these instances MUST be listed separately with their individual meta-information.</t>
  </si>
  <si>
    <t>TR2-044</t>
  </si>
  <si>
    <t>SBOMs of used components MAY be referenced instead of being merged into the SBOM of the primary component, if and only if they are compliant with this Technical Guideline.</t>
  </si>
  <si>
    <t>TR2-045</t>
  </si>
  <si>
    <t>The provider of the SBOM of the primary component is responsible for the availability of referenced SBOMs.</t>
  </si>
  <si>
    <t>TR2-046</t>
  </si>
  <si>
    <t>To determine the data fields that MUST be recorded in an SBOM the following order applies: - 1. Referenced component (see section 3.2.5) - 2. Identified component (see section 3.2.4) - 3. Fully described component (see section 5.2)</t>
  </si>
  <si>
    <t>TR2-047</t>
  </si>
  <si>
    <t>The component in a referenced SBOM MUST either be a referenced component or provide all data fields that are required by the level of detail of the SBOM of the primary component.</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</si>
  <si>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</si>
  <si>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</si>
  <si>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</si>
  <si>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Dependency declarations and build structure determine which components and paths appear in the SBOM (the SBOM must contain the information available during the build process).</t>
  </si>
  <si>
    <t>TR2-049</t>
  </si>
  <si>
    <t>Note: For easier identification by humans, the filename of the SBOM itself may reflect the name of its primary component.</t>
  </si>
  <si>
    <t>TR2-050-a</t>
  </si>
  <si>
    <t>5.2.1 Required data fields for the SBOM itself (Table 2)</t>
  </si>
  <si>
    <t>[Each SBOM MUST contain at least the following information:] Creator of the SBOM: Email address of the entity that created the SBOM.</t>
  </si>
  <si>
    <t>SBOM - data fields (SBOM)</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</si>
  <si>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</si>
  <si>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</si>
  <si>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</si>
  <si>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TR2-051</t>
  </si>
  <si>
    <t>[Each SBOM MUST contain at least the following information:] Timestamp: Date and time of the SBOM data compilation according to the specification of the formats (see section 4).</t>
  </si>
  <si>
    <t>TR2-052</t>
  </si>
  <si>
    <t>Note: It is recommended to only use timestamps in UTC ("Zulu" time).</t>
  </si>
  <si>
    <t>SHOULD (equiv. 'is recommended')</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</si>
  <si>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</si>
  <si>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</si>
  <si>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</si>
  <si>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</si>
  <si>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The metadata behind this field must be maintained in manifests or package metadata so tooling can fill it (field 'Component creator': e-mail of the entity that created/maintains the component).</t>
  </si>
  <si>
    <t>Component metadata in manifests and repositories</t>
  </si>
  <si>
    <t>Maintain the metadata needed for this field in manifests/package metadata of own components.</t>
  </si>
  <si>
    <t>Metadata conventions in the repository guidelines</t>
  </si>
  <si>
    <t>TR2-053-b</t>
  </si>
  <si>
    <t>[For each component included in an SBOM, at least the following information MUST be provided: Component creator:] If no email address is available this MUST be a "Uniform Resource Locator (URL)", e.g. the creator's home page or the project's web page.</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</si>
  <si>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</si>
  <si>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</si>
  <si>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TR2-054-a</t>
  </si>
  <si>
    <t>[For each component included in an SBOM, at least the following information MUST be provided:] Component name: Name assigned to the component by the component creator.</t>
  </si>
  <si>
    <t>The metadata behind this field must be maintained in manifests or package metadata so tooling can fill it (field 'Component name' as assigned by the component creator).</t>
  </si>
  <si>
    <t>TR2-054-b</t>
  </si>
  <si>
    <t>[For each component included in an SBOM, at least the following information MUST be provided: Component name:] If no name is assigned this MUST be the actual filename.</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</si>
  <si>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</si>
  <si>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</si>
  <si>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</si>
  <si>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</si>
  <si>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The metadata behind this field must be maintained in manifests or package metadata so tooling can fill it (field 'Component version', determined by the ordered rules).</t>
  </si>
  <si>
    <t>TR2-055-b</t>
  </si>
  <si>
    <t>[For each component included in an SBOM, at least the following information MUST be provided: Component version:] 1. Existing identifiers MUST NOT be changed for this purpose.</t>
  </si>
  <si>
    <t>The metadata behind this field must be maintained in manifests or package metadata so tooling can fill it (existing version identifiers must not be changed).</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</si>
  <si>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</si>
  <si>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</si>
  <si>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For our own components and solution releases we define the versioning scheme; adopt SemVer or CalVer consistently.</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</si>
  <si>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</si>
  <si>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</si>
  <si>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</si>
  <si>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</si>
  <si>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</si>
  <si>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</si>
  <si>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</si>
  <si>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</si>
  <si>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The metadata behind this field must be maintained in manifests or package metadata so tooling can fill it (field 'Dependencies on other components' (direct dependencies / contained components)).</t>
  </si>
  <si>
    <t>TR2-057-b</t>
  </si>
  <si>
    <t>[For each component included in an SBOM, at least the following information MUST be provided: Dependencies on other components:] Furthermore, the completeness of this enumeration MUST be clearly indicated.</t>
  </si>
  <si>
    <t>TR2-058</t>
  </si>
  <si>
    <t>[For each component included in an SBOM, at least the following information MUST be provided:] Distribution licences: Distribution licence(s) of the component under which it can be used by a licensee. For specifics see sections 6.1 and 8.1.13.</t>
  </si>
  <si>
    <t>Distribution licences must come from licence clearing and be filled for every component.</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</si>
  <si>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</si>
  <si>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</si>
  <si>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TR2-060</t>
  </si>
  <si>
    <t>[For each component included in an SBOM, at least the following information MUST be provided:] Executable property: Describes whether the component is executable; possible values are "executable" and "non-executable"; see also Appendix, section 8.1.4</t>
  </si>
  <si>
    <t>TR2-061</t>
  </si>
  <si>
    <t>[For each component included in an SBOM, at least the following information MUST be provided:] Archive property: Describes whether the component is an archive; possible values are "archive" and "no archive"; see also Appendix, section 8.1.5</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</si>
  <si>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</si>
  <si>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</si>
  <si>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</si>
  <si>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</si>
  <si>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</si>
  <si>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</si>
  <si>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</si>
  <si>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</si>
  <si>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</si>
  <si>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</si>
  <si>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</si>
  <si>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The metadata behind this field must be maintained in manifests or package metadata so tooling can fill it (field 'Source code URI' of each component).</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</si>
  <si>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</si>
  <si>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</si>
  <si>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</si>
  <si>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</si>
  <si>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The metadata behind this field must be maintained in manifests or package metadata so tooling can fill it (field 'Other unique identifiers' such as CPE or purl).</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</si>
  <si>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</si>
  <si>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</si>
  <si>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Original licences from licence clearing; recorded per component.</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</si>
  <si>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</si>
  <si>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</si>
  <si>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</si>
  <si>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Optional; useful where dual licensing applies.</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</si>
  <si>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</si>
  <si>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</si>
  <si>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</si>
  <si>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</si>
  <si>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TR2-071-a</t>
  </si>
  <si>
    <t>6.1 Licence identifiers and expressions</t>
  </si>
  <si>
    <t>Licences MUST be referred to (in the sense of "named") by their appropriate SPDX licence identifier or licence expression based on such an identifier.</t>
  </si>
  <si>
    <t>Licence clearing must output SPDX identifiers/expressions for every component; needs a licence scanner and curated licence data.</t>
  </si>
  <si>
    <t>TR2-071-b</t>
  </si>
  <si>
    <t>While the SPDX and CycloneDX specifications allow for including licence text of components in SBOMs, this MUST NOT be used as a substitute for a licence identifier.</t>
  </si>
  <si>
    <t>No free-text licences instead of identifiers.</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</si>
  <si>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</si>
  <si>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</si>
  <si>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Licence clearing must use ScanCode LicenseDB as second source (LicenseRef-scancode-...).</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</si>
  <si>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</si>
  <si>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</si>
  <si>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Own LicenseRef namespace for commercial/unknown licences (typical for COTS components in airport solutions).</t>
  </si>
  <si>
    <t>TR2-074</t>
  </si>
  <si>
    <t>For licence identification the following principles of licence similarity MUST be applied: - Licences are similar if they can be mapped to another licence according to "Annex C. License List matching guidelines".</t>
  </si>
  <si>
    <t>Matching rule in licence clearing.</t>
  </si>
  <si>
    <t>TR2-075-a</t>
  </si>
  <si>
    <t>Placeholders and templates in licence texts If placeholders and templates exist in licence texts, a replacement of these placeholders and templates by individualised content MUST NOT be understood as a licence modification, […]</t>
  </si>
  <si>
    <t>Clearing rule.</t>
  </si>
  <si>
    <t>TR2-075-b</t>
  </si>
  <si>
    <t>[…] but MUST be assigned to the same licence identifier.</t>
  </si>
  <si>
    <t>TR2-076-a</t>
  </si>
  <si>
    <t>SPDX operators and licence concatenations Licence expressions of multiple licensing, licence choices and licence exceptions MUST be mapped with SPDX operators.</t>
  </si>
  <si>
    <t>Dual/multi-licensed components need correct SPDX expressions (AND/OR/WITH).</t>
  </si>
  <si>
    <t>TR2-076-b</t>
  </si>
  <si>
    <t>Permitted operators MUST be selected according to "Annex B. SPDX license expressions".</t>
  </si>
  <si>
    <t>Expression syntax rule.</t>
  </si>
  <si>
    <t>TR2-077-a</t>
  </si>
  <si>
    <t>Exception clauses for licences If an exception clause is attached to a licence text, it MUST be attached to a licence identifier with WITH according to the allowed SPDX operators.</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</si>
  <si>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</si>
  <si>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</si>
  <si>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</si>
  <si>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</si>
  <si>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</si>
  <si>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</si>
  <si>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</si>
  <si>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</si>
  <si>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TR2-080-a</t>
  </si>
  <si>
    <t>Any previous version MUST NOT be applied, […]</t>
  </si>
  <si>
    <t>TR2-080-b</t>
  </si>
  <si>
    <t>[…] except for the immediately preceding version which MAY be applied to generate SBOMs compliant to this Technical Guideline up to six months after a new "most recent version" has been issued according to the document history in table 1.</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</si>
  <si>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</si>
  <si>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</si>
  <si>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</si>
  <si>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TR2-082</t>
  </si>
  <si>
    <t>Consequently, consumers of SBOMs SHOULD be able to interpret SBOM versions that were compliant to this Technical Guideline at the time being delivered.</t>
  </si>
  <si>
    <t>SBOM - consumption of supplier SBOMs</t>
  </si>
  <si>
    <t>Developer-side SBOM tooling should emit the same format to avoid conversion losses (SBOM consumers should be able to interpret SBOMs compliant at their delivery time).</t>
  </si>
  <si>
    <t>TR2-083</t>
  </si>
  <si>
    <t>8.1.2 Component (appendix)</t>
  </si>
  <si>
    <t>In this Technical Guideline a "component" is typically a single executable file or an archive file; however, also logical components can be used as an abstraction level, which is recommended for linking to other SBOMs.</t>
  </si>
  <si>
    <t>Dependency declarations and build structure determine which components and paths appear in the SBOM (logical components are recommended for linking to other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</si>
  <si>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</si>
  <si>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</si>
  <si>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</si>
  <si>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</si>
  <si>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</si>
  <si>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TR2-085</t>
  </si>
  <si>
    <t>8.1.9 Component version (appendix)</t>
  </si>
  <si>
    <t>In general, it is recommended to use a well-recognised versioning scheme.</t>
  </si>
  <si>
    <t>Adopt one well-recognised versioning scheme (SemVer/CalVer) for all own components and solution releases.</t>
  </si>
  <si>
    <t>TR2-086</t>
  </si>
  <si>
    <t>While the creator of the component can choose the versioning scheme completely arbitrarily, entities further downstream in the supply chain should not change it.</t>
  </si>
  <si>
    <t>The metadata behind this field must be maintained in manifests or package metadata so tooling can fill it (downstream entities should not change the creator's versioning scheme).</t>
  </si>
  <si>
    <t>TR2-087</t>
  </si>
  <si>
    <t>8.1.10 Relationship between URI, IRI and Punycode (appendix)</t>
  </si>
  <si>
    <t>Note: If only an Internationalized Resource Identifier (IRI) is available, it has to be transformed into a URI.</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</si>
  <si>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</si>
  <si>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</si>
  <si>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</si>
  <si>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</si>
  <si>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</si>
  <si>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Format-specific licence fields must be filled consistently.</t>
  </si>
  <si>
    <t>TR2-090-a</t>
  </si>
  <si>
    <t>The licence information specified by BSI TR-03183-2 must be mapped to the corresponding format specification as follows, […]</t>
  </si>
  <si>
    <t>map TR licence information to the format's fields as specified - licence identification must follow SPDX/ScanCode rules, which requires a licence-scanning tool and a clearing process.</t>
  </si>
  <si>
    <t>TR2-090-b</t>
  </si>
  <si>
    <t>[…] but mind that one should also avoid violating the definitions of these fields by the utilised format specification version.</t>
  </si>
  <si>
    <t>TR2-091</t>
  </si>
  <si>
    <t>8.1.14 Vulnerability information (appendix)</t>
  </si>
  <si>
    <t>Consequently, it is required not to include vulnerability information in an SBOM, even though an SBOM format specification supports that.</t>
  </si>
  <si>
    <t>MUST NOT (equiv. 'it is required not to')</t>
  </si>
  <si>
    <t>TR2-092</t>
  </si>
  <si>
    <t>The recommended format for distributing vulnerability information is CSAF (including also VEX as a profile).</t>
  </si>
  <si>
    <t>RECOMMENDED (equiv. 'recommended')</t>
  </si>
  <si>
    <t>TR2-093</t>
  </si>
  <si>
    <t>8.1.15 Digital signature (appendix)</t>
  </si>
  <si>
    <t>Ideally, SBOMs should be digitally signed so recipients can verify their authenticity.</t>
  </si>
  <si>
    <t>SBOM - integrity</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</si>
  <si>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</si>
  <si>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</si>
  <si>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</si>
  <si>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TR2-095</t>
  </si>
  <si>
    <t>8.2 Mapping of the individual data fields (appendix)</t>
  </si>
  <si>
    <t>Data fields required by the format specification (SPDX or CycloneDX) or other regulations shall remain.</t>
  </si>
  <si>
    <t>SHALL (equiv. 'shall')</t>
  </si>
  <si>
    <t>TR2-096</t>
  </si>
  <si>
    <t>Additionally, data fields beyond these requirements and the requirements of this Technical Guideline may be included at the SBOM creator's convenience; this also covers additional instances of data fields, e.g. hash values.</t>
  </si>
  <si>
    <t>TR2-097</t>
  </si>
  <si>
    <t>The "..." (ellipsis character) in the following tables is a placeholder for the values of the data fields which have to be inserted by the SBOM creator.</t>
  </si>
  <si>
    <t>TR2-098</t>
  </si>
  <si>
    <t>These "spdxId"s have to be inserted by the SBOM creator.</t>
  </si>
  <si>
    <t>TR2-099</t>
  </si>
  <si>
    <t>8.3.2 n-level SBOM (appendix)</t>
  </si>
  <si>
    <t>If the path from the primary component is shorter than n levels, all components on this path have to be resolved and, consequently, fully described.</t>
  </si>
  <si>
    <t>MUST (equiv. 'have to'; definition)</t>
  </si>
  <si>
    <t>TR2-100-a</t>
  </si>
  <si>
    <t>8.3.3 Transitive SBOM (appendix)</t>
  </si>
  <si>
    <t>The first external component must at least be identified in the SBOM in order to correlate this dependency unambiguously; […]</t>
  </si>
  <si>
    <t>MUST (equiv. 'must'; definition)</t>
  </si>
  <si>
    <t>TR2-100-b</t>
  </si>
  <si>
    <t>[…] consequently, its dependencies in turn do not have to be resolved.</t>
  </si>
  <si>
    <t>MAY (equiv. 'do not have to'; definition)</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</si>
  <si>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</si>
  <si>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</si>
  <si>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</si>
  <si>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</si>
  <si>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</si>
  <si>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</si>
  <si>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TR2-102-b</t>
  </si>
  <si>
    <t>TR2-103</t>
  </si>
  <si>
    <t>8.4.1 Design SBOM (appendix)</t>
  </si>
  <si>
    <t>The components do not have to exist yet.</t>
  </si>
  <si>
    <t>SBOM - SBOM classes</t>
  </si>
  <si>
    <t>Architects may draw up a design SBOM of planned components to start due diligence early.</t>
  </si>
  <si>
    <t>TR2-104</t>
  </si>
  <si>
    <t>8.4.3 Build SBOM (appendix)</t>
  </si>
  <si>
    <t>In order to let hash values unambiguously identify components, reproducible builds have to be employed.</t>
  </si>
  <si>
    <t>Build integrity - reproducible builds</t>
  </si>
  <si>
    <t>employ reproducible builds so hash values identify components unambiguously - code and build scripts must be deterministic and declare their runtime/interpreter dependencies.</t>
  </si>
  <si>
    <t>Build scripts; dependency declarations</t>
  </si>
  <si>
    <t>Remove non-determinism from builds (pinned tool-chains, fixed timestamps, no network fetch at build time) and declare interpreters/runtimes.</t>
  </si>
  <si>
    <t>Build reproducibility guideline</t>
  </si>
  <si>
    <t>TR2-105</t>
  </si>
  <si>
    <t>In the case of interpreted code, only the source code exists; hence each executable file has to be listed as a component.</t>
  </si>
  <si>
    <t>for interpreted code, list each executable file as a component - code and build scripts must be deterministic and declare their runtime/interpreter dependencies.</t>
  </si>
  <si>
    <t>TR2-106</t>
  </si>
  <si>
    <t>The interpreter has to be specified as a dependency, as far as reasonably possible.</t>
  </si>
  <si>
    <t>specify the interpreter as a dependency as far as reasonably possible - code and build scripts must be deterministic and declare their runtime/interpreter dependencies.</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</si>
  <si>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</si>
  <si>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</si>
  <si>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</si>
  <si>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TR3-002-a</t>
  </si>
  <si>
    <t>To enable successful CVD processes, manufacturers should react positively to incoming vulnerability reports […]</t>
  </si>
  <si>
    <t>CVD - principles</t>
  </si>
  <si>
    <t>Nil - no change needed in 2. Solution Development. Handled in 5. Solution Maintenance (RUN) (PSIRT Lead (Legal reviews policy wording)).</t>
  </si>
  <si>
    <t>TR3-002-b</t>
  </si>
  <si>
    <t>[…] and should not threaten with legal actions as long as no criminal intention is apparent (see BSI CVD guideline for security researchers).</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</si>
  <si>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</si>
  <si>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</si>
  <si>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</si>
  <si>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Engineering has to support PSIRT case analysis within the CVD timelines (prepare holistic internal CVD processes across departments, contact options and channels).</t>
  </si>
  <si>
    <t>Engineering on-call for vulnerability triage</t>
  </si>
  <si>
    <t>Name engineering contacts per product and agree a response time to PSIRT requests.</t>
  </si>
  <si>
    <t>RACI / on-call roster</t>
  </si>
  <si>
    <t>Requests from 5. Maintenance (PSIRT)</t>
  </si>
  <si>
    <t>TR3-004-a</t>
  </si>
  <si>
    <t>Throughout the entire CVD process, manufacturers should communicate proactively with the reporting entity […]</t>
  </si>
  <si>
    <t>TR3-004-b</t>
  </si>
  <si>
    <t>[…] and strive to continuously optimise internal processes.</t>
  </si>
  <si>
    <t>TR3-005</t>
  </si>
  <si>
    <t>As every CVD process starts with vulnerability reporting, it is essential to publish the contact options and CVD policies for external communication.</t>
  </si>
  <si>
    <t>MUST (equiv. 'it is essential to')</t>
  </si>
  <si>
    <t>Nil - no change needed in 2. Solution Development. Handled in 5. Solution Maintenance (RUN) (PSIRT Lead with Web/IT team).</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</si>
  <si>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</si>
  <si>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</si>
  <si>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</si>
  <si>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</si>
  <si>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</si>
  <si>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</si>
  <si>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</si>
  <si>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</si>
  <si>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</si>
  <si>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TR3-008</t>
  </si>
  <si>
    <t>The corresponding national CSIRT MUST be determined according to Article 14 paragraph 7 of the CRA.</t>
  </si>
  <si>
    <t>TR3-009</t>
  </si>
  <si>
    <t>Moreover, manufacturers MUST stay at their corresponding national CSIRT during the active handling of every single valid vulnerability except the corresponding national CSIRT transfers the handling.</t>
  </si>
  <si>
    <t>TR3-010</t>
  </si>
  <si>
    <t>Furthermore, manufactures SHOULD choose the same national CSIRT as corresponding one for the communication about each and every vulnerability.</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</si>
  <si>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</si>
  <si>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</si>
  <si>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</si>
  <si>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</si>
  <si>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Nil - no change needed in 2. Solution Development. Handled in 5. Solution Maintenance (RUN) (PSIRT Lead with Web/IT team and Data Protection Officer).</t>
  </si>
  <si>
    <t>TR3-012</t>
  </si>
  <si>
    <t>This web form MUST NOT contain any third party components, e.g. advertisements or tracking pixel.</t>
  </si>
  <si>
    <t>TR3-013</t>
  </si>
  <si>
    <t>While entering data and using this web form, the logging of metadata MUST be minimized.</t>
  </si>
  <si>
    <t>TR3-014</t>
  </si>
  <si>
    <t>Therefore, the information that SHOULD NOT be logged includes the IP address, the browser or the computer of reporting entity.</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</si>
  <si>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</si>
  <si>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</si>
  <si>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</si>
  <si>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</si>
  <si>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TR3-016</t>
  </si>
  <si>
    <t>The implemented measures to fulfil these requirements, all test procedures, and all test results MUST be recorded.</t>
  </si>
  <si>
    <t>Vulnerability intake - records</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</si>
  <si>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</si>
  <si>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</si>
  <si>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</si>
  <si>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TR3-018</t>
  </si>
  <si>
    <t>4.1 Website of the manufacturer</t>
  </si>
  <si>
    <t>Security related information about the manufacturer and its products should be easily accessible to external entities.</t>
  </si>
  <si>
    <t>Security information website</t>
  </si>
  <si>
    <t>TR3-019</t>
  </si>
  <si>
    <t>Therefore, the manufacturer MUST make this information easily accessible to the public.</t>
  </si>
  <si>
    <t>TR3-4.1.1a</t>
  </si>
  <si>
    <t>4.1.1 General</t>
  </si>
  <si>
    <t>The manufacturer MUST operate a website to publicly provide at least security related information about itself and its products.</t>
  </si>
  <si>
    <t>TR3-4.1.1b</t>
  </si>
  <si>
    <t>This website MUST be fully accessible without any login procedure or other restriction, e.g. behind a paywall.</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</si>
  <si>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</si>
  <si>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</si>
  <si>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</si>
  <si>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</si>
  <si>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</si>
  <si>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</si>
  <si>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</si>
  <si>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TR3-4.2.1a</t>
  </si>
  <si>
    <t>4.2.1 Localisation of security.txt</t>
  </si>
  <si>
    <t>The manufacturer MUST create a file with the name security.txt directly in the path /.well-known/ (e.g. /.well-known/security.txt).</t>
  </si>
  <si>
    <t>TR3-4.2.1b</t>
  </si>
  <si>
    <t>This file MUST be accessible via HTTPS using at least HTTP 1.1 (according to RFC 7230 section 2.7.2) or a higher version.</t>
  </si>
  <si>
    <t>TR3-4.2.1c-a</t>
  </si>
  <si>
    <t>This file MUST be a plain text file with ASCII or UTF-8 encoding.</t>
  </si>
  <si>
    <t>TR3-4.2.1c-b</t>
  </si>
  <si>
    <t>Only the ASCII characters 0x20 to 0x7E MUST be used for non-comments.</t>
  </si>
  <si>
    <t>TR3-4.2.1d</t>
  </si>
  <si>
    <t>The manufacturer MUST comply with the respective format specifications of RFC 9116 for all information in this file.</t>
  </si>
  <si>
    <t>TR3-4.2.2a</t>
  </si>
  <si>
    <t>4.2.2 Canonical URI</t>
  </si>
  <si>
    <t>The manufacturer MUST specify the canonical URI of the security.txt.</t>
  </si>
  <si>
    <t>TR3-4.2.2b</t>
  </si>
  <si>
    <t>This canonical URI MUST be a web URI (according to RFC 7230 section 2.7.2).</t>
  </si>
  <si>
    <t>TR3-4.2.2c-a</t>
  </si>
  <si>
    <t>This canonical URI MUST reflect the true location of the authoritative file […]</t>
  </si>
  <si>
    <t>TR3-4.2.2c-b</t>
  </si>
  <si>
    <t>[…] and MUST be accessible without redirects.</t>
  </si>
  <si>
    <t>TR3-4.2.2d</t>
  </si>
  <si>
    <t>This statement SHOULD be introduced with the comment # Our canonical URI.</t>
  </si>
  <si>
    <t>TR3-4.2.3a</t>
  </si>
  <si>
    <t>4.2.3 Contact information</t>
  </si>
  <si>
    <t>The manufacturer MUST provide a list of contact options for reporting vulnerabilities.</t>
  </si>
  <si>
    <t>TR3-4.2.3b</t>
  </si>
  <si>
    <t>The declaration of the first contact option MUST be the email address of the functional mailbox of manufacturer's Product Security Incident Response Team (PSIRT) (see section 4.3.1) according to RFC 6068.</t>
  </si>
  <si>
    <t>TR3-4.2.3c</t>
  </si>
  <si>
    <t>The declaration of the second contact option MUST be the email address of the functional mailbox of the manufacturer's CSIRT (see section 4.3.1) according to RFC 6068.</t>
  </si>
  <si>
    <t>TR3-4.2.3d</t>
  </si>
  <si>
    <t>The next point of contact MUST be the web URI (according to RFC 7230 section 2.7.2) of the manufacturer's web page for incoming vulnerability reports (see section 4.5) according to RFC 7230 and RFC 3986.</t>
  </si>
  <si>
    <t>TR3-4.2.3e</t>
  </si>
  <si>
    <t>This listing SHOULD be introduced with the comment # Our security addresses.</t>
  </si>
  <si>
    <t>TR3-4.2.4a-a</t>
  </si>
  <si>
    <t>4.2.4 OpenPGP keys</t>
  </si>
  <si>
    <t>The manufacturer MUST provide the encryption options of the contact list provided in section 4.2.3.</t>
  </si>
  <si>
    <t>TR3-4.2.4a-b</t>
  </si>
  <si>
    <t>Therefore, requirements of section 4.3.2 MUST be applied.</t>
  </si>
  <si>
    <t>TR3-4.2.4b</t>
  </si>
  <si>
    <t>This listing SHOULD be introduced with the comment # Our OpenPGP keys.</t>
  </si>
  <si>
    <t>TR3-4.2.5a</t>
  </si>
  <si>
    <t>4.2.5 Acknowledgements</t>
  </si>
  <si>
    <t>The manufacturer SHOULD provide the web URI (according to RFC 7230 section 2.7.2) of the acknowledgements for vulnerability reports web page.</t>
  </si>
  <si>
    <t>TR3-4.2.5b</t>
  </si>
  <si>
    <t>This listing SHOULD be introduced with the comment # Our security acknowledgements page.</t>
  </si>
  <si>
    <t>TR3-4.2.6a</t>
  </si>
  <si>
    <t>4.2.6 Preferred languages</t>
  </si>
  <si>
    <t>The manufacturer MUST specify the preferred languages for incoming vulnerability reports.</t>
  </si>
  <si>
    <t>TR3-4.2.6b</t>
  </si>
  <si>
    <t>At least the language tag for English (en) MUST be specified.</t>
  </si>
  <si>
    <t>TR3-4.2.6c</t>
  </si>
  <si>
    <t>This listing SHOULD be introduced with the comment # Our preferred languages.</t>
  </si>
  <si>
    <t>TR3-4.2.7a</t>
  </si>
  <si>
    <t>4.2.7 CVD policy</t>
  </si>
  <si>
    <t>The manufacturer MUST provide the web URI (according to RFC 7230 section 2.7.2) to the web page of its CVD policy.</t>
  </si>
  <si>
    <t>TR3-4.2.7b</t>
  </si>
  <si>
    <t>This SHOULD be introduced with the comment # Our security policy.</t>
  </si>
  <si>
    <t>TR3-4.2.8a</t>
  </si>
  <si>
    <t>4.2.8 Security advisories</t>
  </si>
  <si>
    <t>The manufacturer SHOULD provide the web URI (according to RFC 7230 section 2.7.2) of the file provider-metadata.json for CSAF documents.</t>
  </si>
  <si>
    <t>TR3-4.2.8b</t>
  </si>
  <si>
    <t>This statement MUST begin with the tag CSAF:</t>
  </si>
  <si>
    <t>TR3-4.2.8c</t>
  </si>
  <si>
    <t>This statement SHOULD be introduced with the comment # Our security advisories.</t>
  </si>
  <si>
    <t>TR3-4.2.9a-a</t>
  </si>
  <si>
    <t>4.2.9 Expiry date</t>
  </si>
  <si>
    <t>The manufacturer MUST specify the expiry date of the security.txt according to RFC 3339.</t>
  </si>
  <si>
    <t>TR3-4.2.9a-b</t>
  </si>
  <si>
    <t>The separator "T" MUST be upper cases […]</t>
  </si>
  <si>
    <t>TR3-4.2.9a-c</t>
  </si>
  <si>
    <t>[…] other separators MUST NOT be used.</t>
  </si>
  <si>
    <t>TR3-4.2.9a-d</t>
  </si>
  <si>
    <t>The time zone indicator "Z" MUST be upper case as well, if applicable.</t>
  </si>
  <si>
    <t>TR3-4.2.9b</t>
  </si>
  <si>
    <t>This value SHOULD be at the maximum of one year in the future.</t>
  </si>
  <si>
    <t>TR3-4.2.9c</t>
  </si>
  <si>
    <t>The manufacturer MUST check the information in the security.txt at least quarterly and correct or supplement it if necessary.</t>
  </si>
  <si>
    <t>TR3-4.2.10a</t>
  </si>
  <si>
    <t>4.2.10 Digital signature</t>
  </si>
  <si>
    <t>The manufacturer MUST digitally sign its security.txt using OpenPGP according to RFC 9580.</t>
  </si>
  <si>
    <t>TR3-4.2.10b</t>
  </si>
  <si>
    <t>The manufacturer SHOULD use dedicated OpenPGP keys for signing the security.txt according to RFC 9580.</t>
  </si>
  <si>
    <t>TR3-4.2.10c</t>
  </si>
  <si>
    <t>The corresponding OpenPGP public key MUST be made available (see section 4.5.3).</t>
  </si>
  <si>
    <t>TR3-4.2.10d</t>
  </si>
  <si>
    <t>The manufacturer MUST ensure that the digital signature complies with the requirements of the current BSI TR-03116 Part 4 or the current ECCG Agreed Cryptographic Mechanisms.</t>
  </si>
  <si>
    <t>TR3-4.2.10e</t>
  </si>
  <si>
    <t>Unless the validity period of the keys, mentioned in b, is specified otherwise in the current BSI TR-03116 Part 4 or the current ECCG Agreed Cryptographic Mechanisms, it MUST not exceed five years.</t>
  </si>
  <si>
    <t>TR3-4.2.11a-a</t>
  </si>
  <si>
    <t>4.2.11 Visibility for web crawlers</t>
  </si>
  <si>
    <t>The manufacturer MUST ensure that the security.txt can be found automatically (i.e. by web crawlers, e.g. from findsecuritycontacts.com and internet.nl). […]</t>
  </si>
  <si>
    <t>TR3-4.2.11a-b</t>
  </si>
  <si>
    <t>Hence, firewall rules and DDoS protection rules have to be adapted accordingly, if applicable.</t>
  </si>
  <si>
    <t>TR3-021</t>
  </si>
  <si>
    <t>4.3 Preliminary measures for a CVD process</t>
  </si>
  <si>
    <t>For an efficient and effective response process to vulnerability reports, this has to be organised in advance.</t>
  </si>
  <si>
    <t>PSIRT / CSIRT organisation</t>
  </si>
  <si>
    <t>Nil - no change needed in 2. Solution Development. Handled in 5. Solution Maintenance (RUN) (CISO / PSIRT Lead).</t>
  </si>
  <si>
    <t>TR3-4.3.1a</t>
  </si>
  <si>
    <t>4.3.1 Roles of responsible cybersecurity contacts</t>
  </si>
  <si>
    <t>The manufacturer MUST create at least two roles of responsible cybersecurity contacts, its PSIRT and its CSIRT.</t>
  </si>
  <si>
    <t>Engineering needs a defined interface to the PSIRT for product vulnerabilities (create at least two roles: PSIRT and CSIRT).</t>
  </si>
  <si>
    <t>Engineering-PSIRT interface</t>
  </si>
  <si>
    <t>Define named engineering contacts and hand-over rules between PSIRT and product teams.</t>
  </si>
  <si>
    <t>RACI; contact list</t>
  </si>
  <si>
    <t>PSIRT in 5. Maintenance</t>
  </si>
  <si>
    <t>TR3-4.3.1b</t>
  </si>
  <si>
    <t>Unless the manufacturer is a microenterprise (see Article 3 paragraph 19 of the CRA), these roles MUST NOT be assigned to a single person, but MUST be divided among several different individuals.</t>
  </si>
  <si>
    <t>Assumption: the company is not a microenterprise.</t>
  </si>
  <si>
    <t>TR3-4.3.1c-a</t>
  </si>
  <si>
    <t>The manufacturer MUST assign functional mailboxes to both roles […]</t>
  </si>
  <si>
    <t>TR3-4.3.1c-b</t>
  </si>
  <si>
    <t>[…] and MUST ensure that the individuals involved in these roles have access to their corresponding functional mailbox.</t>
  </si>
  <si>
    <t>TR3-4.3.1d</t>
  </si>
  <si>
    <t>These two roles MUST be divided on the basis of their assignment.</t>
  </si>
  <si>
    <t>TR3-4.3.1e</t>
  </si>
  <si>
    <t>These two roles MUST be in close contact, share their information among themselves and internal forward vulnerability cases between each other, if the case concerns the involvement of the other role.</t>
  </si>
  <si>
    <t>TR3-4.3.1f</t>
  </si>
  <si>
    <t>The first cybersecurity contact MUST be the manufacturer's PSIRT, which covers the vulnerability handling of the manufacturer's products and services.</t>
  </si>
  <si>
    <t>Engineering needs a defined interface to the PSIRT for product vulnerabilities (PSIRT is the first contact and covers vulnerability handling of products and services).</t>
  </si>
  <si>
    <t>TR3-4.3.1g-a</t>
  </si>
  <si>
    <t>The email address of the PSIRT functional mailbox MUST clearly indicate its function. […]</t>
  </si>
  <si>
    <t>TR3-4.3.1g-b</t>
  </si>
  <si>
    <t>Therefore, the local part of the email (email prefix) SHOULD be "psirt", e.g. psirt@example.com.</t>
  </si>
  <si>
    <t>TR3-4.3.1h</t>
  </si>
  <si>
    <t>The second cybersecurity contact MUST be the manufacturer's CSIRT, which covers the vulnerability handling of the manufacturer's infrastructure.</t>
  </si>
  <si>
    <t>TR3-4.3.1i-a</t>
  </si>
  <si>
    <t>The email address of the manufacturer's CSIRT functional mailbox MUST clearly indicate its function. […]</t>
  </si>
  <si>
    <t>TR3-4.3.1i-b</t>
  </si>
  <si>
    <t>Therefore, the local part of the email (email prefix) SHOULD be "csirt", e.g. csirt@example.com.</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</si>
  <si>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</si>
  <si>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</si>
  <si>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</si>
  <si>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TR3-4.3.1j-b</t>
  </si>
  <si>
    <t>[…] and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</si>
  <si>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</si>
  <si>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</si>
  <si>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TR3-4.3.1l</t>
  </si>
  <si>
    <t>Unless the validity period of the keys/certificates, mentioned in j and k, is specified otherwise in the current BSI TR-03116 Part 4 or the current ECCG Agreed Cryptographic Mechanisms, it MUST not exceed five years.</t>
  </si>
  <si>
    <t>TR3-4.3.1m</t>
  </si>
  <si>
    <t>Unless the manufacturer is a microenterprise, the manufacturer SHOULD provide for both roles sufficient resources to compensate for any absences and to guarantee the response times and assurances from the CVD policy (see section 4.4).</t>
  </si>
  <si>
    <t>TR3-4.3.1n</t>
  </si>
  <si>
    <t>The manufacturer MUST ensure for both roles that vulnerability reports can be at least received and processed in English.</t>
  </si>
  <si>
    <t>TR3-4.3.1o</t>
  </si>
  <si>
    <t>The manufacturer MUST clearly define for both roles the authorisations of those involved in these roles.</t>
  </si>
  <si>
    <t>TR3-4.3.1p</t>
  </si>
  <si>
    <t>The manufacturer MUST clearly define for both roles the tasks of those involved in these roles.</t>
  </si>
  <si>
    <t>TR3-4.3.1q-a</t>
  </si>
  <si>
    <t>The manufacturer SHOULD ensure that the email addresses of the functional mailboxes have a high readiness to receive emails.</t>
  </si>
  <si>
    <t>TR3-4.3.1q-b</t>
  </si>
  <si>
    <t>This SHOULD be tested, at least by (automatically) sending emails to the functional mailboxes from an external email address every day.</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</si>
  <si>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</si>
  <si>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</si>
  <si>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</si>
  <si>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</si>
  <si>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</si>
  <si>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</si>
  <si>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</si>
  <si>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</si>
  <si>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</si>
  <si>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TR3-4.3.3a-a</t>
  </si>
  <si>
    <t>4.3.3 Web form for vulnerability reports</t>
  </si>
  <si>
    <t>The manufacturer MUST set up as contact option a web form for vulnerability reports. […]</t>
  </si>
  <si>
    <t>Vulnerability report web form</t>
  </si>
  <si>
    <t>TR3-4.3.3a-b</t>
  </si>
  <si>
    <t>[…] Therefore, a web page with this web form on its website has to be created.</t>
  </si>
  <si>
    <t>TR3-4.3.3b</t>
  </si>
  <si>
    <t>The web page with this web form MUST be part of the website of the manufacturer.</t>
  </si>
  <si>
    <t>TR3-4.3.3c</t>
  </si>
  <si>
    <t>This web form MUST allow to anonymously submit vulnerability reports.</t>
  </si>
  <si>
    <t>TR3-4.3.3d-a</t>
  </si>
  <si>
    <t>This web form MUST be localised. […]</t>
  </si>
  <si>
    <t>TR3-4.3.3d-b</t>
  </si>
  <si>
    <t>[…] At least, an English version MUST be offered.</t>
  </si>
  <si>
    <t>TR3-4.3.3e</t>
  </si>
  <si>
    <t>This web form SHOULD guide the user through the vulnerability report in a structured manner to ensure that all essential information is entered.</t>
  </si>
  <si>
    <t>TR3-4.3.3f-a</t>
  </si>
  <si>
    <t>This web form SHOULD have a high availability. […]</t>
  </si>
  <si>
    <t>TR3-4.3.3f-b</t>
  </si>
  <si>
    <t>[…] This SHOULD be tested, at least by (automatically) filling in and submitting the web form every day.</t>
  </si>
  <si>
    <t>TR3-4.3.4a</t>
  </si>
  <si>
    <t>4.3.4 Web page for incoming vulnerability reports</t>
  </si>
  <si>
    <t>The manufacturer MUST create a central web page for vulnerability reporting (see section 4.5).</t>
  </si>
  <si>
    <t>Vulnerability reporting web page</t>
  </si>
  <si>
    <t>TR3-022</t>
  </si>
  <si>
    <t>4.4 CVD policy</t>
  </si>
  <si>
    <t>Therefore, the manufacturer's CVD policy MUST fulfil at least the requirements mentioned below […]</t>
  </si>
  <si>
    <t>CVD policy - content</t>
  </si>
  <si>
    <t>Engineering has to support PSIRT case analysis within the CVD timelines (the CVD policy must fulfil at least all requirements of section 4.4).</t>
  </si>
  <si>
    <t>TR3-023</t>
  </si>
  <si>
    <t>The addition of a reward programme to the CVD policy is therefore RECOMMENDED (see recital 76 of the CRA).</t>
  </si>
  <si>
    <t>RECOMMENDED</t>
  </si>
  <si>
    <t>CVD policy - incentives</t>
  </si>
  <si>
    <t>TR3-4.4.1a</t>
  </si>
  <si>
    <t>4.4.1 General</t>
  </si>
  <si>
    <t>The manufacturer MUST ensure that the last modification date (in the first version the creation date) of the CVD policy is clearly visible.</t>
  </si>
  <si>
    <t>TR3-4.4.1b</t>
  </si>
  <si>
    <t>The manufacturer MUST ensure that the CVD policy is clearly assignable to the manufacturer.</t>
  </si>
  <si>
    <t>TR3-4.4.1c</t>
  </si>
  <si>
    <t>The manufacturer MUST review the CVD policy at least yearly to ensure that it is up to date.</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</si>
  <si>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</si>
  <si>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</si>
  <si>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</si>
  <si>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</si>
  <si>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</si>
  <si>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</si>
  <si>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TR3-4.4.2b-b</t>
  </si>
  <si>
    <t>[In the case of actively exploited vulnerabilities affecting one of the manufacturer's products or the manufacturer's infrastructure,] […] and coordinate these with its corresponding national CSIRT.</t>
  </si>
  <si>
    <t>TR3-4.4.3a-a</t>
  </si>
  <si>
    <t>4.4.3 Contact details</t>
  </si>
  <si>
    <t>The manufacturer MUST provide the email addresses of the functional mailboxes of the roleoriented contact options […]</t>
  </si>
  <si>
    <t>TR3-4.4.3a-b</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</si>
  <si>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</si>
  <si>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</si>
  <si>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</si>
  <si>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</si>
  <si>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TR3-4.4.4b</t>
  </si>
  <si>
    <t>The manufacturer MUST ensure that personal data of the reporting entity will not be disclosed to third parties without the explicit consent of the reporting entity.</t>
  </si>
  <si>
    <t>TR3-4.4.4c</t>
  </si>
  <si>
    <t>The manufacturer MUST ensure that a response to each incoming vulnerability report or update of a previously submitted vulnerability report is provided within the guaranteed response times (see section 4.4.8).</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</si>
  <si>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</si>
  <si>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</si>
  <si>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TR3-4.4.4e</t>
  </si>
  <si>
    <t>The manufacturer MUST ensure that it is available as a contact for a trustful exchange throughout the entire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</si>
  <si>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</si>
  <si>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</si>
  <si>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TR3-4.4.4g</t>
  </si>
  <si>
    <t>The manufacturer MUST NOT require the reporting entity to sign a non-disclosure agreement (NDA).</t>
  </si>
  <si>
    <t>TR3-4.4.4h</t>
  </si>
  <si>
    <t>The manufacturer MUST recommend the reporting entity to use an encrypted and digitally signed email for the transmission of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</si>
  <si>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</si>
  <si>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</si>
  <si>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</si>
  <si>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</si>
  <si>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TR3-025</t>
  </si>
  <si>
    <t>It SHOULD consider only the following requirements for its classification of a valid vulnerability:</t>
  </si>
  <si>
    <t>TR3-4.4.5a</t>
  </si>
  <si>
    <t>The vulnerability MUST affect one of the manufacturer's products or the manufacturer's infrastructure.</t>
  </si>
  <si>
    <t>TR3-4.4.5b</t>
  </si>
  <si>
    <t>The vulnerability report SHOULD relate to publicly unknown information.</t>
  </si>
  <si>
    <t>TR3-4.4.5c</t>
  </si>
  <si>
    <t>The vulnerability report MAY not be a result of automated tools or scans without supporting documentation.</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</si>
  <si>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</si>
  <si>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</si>
  <si>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</si>
  <si>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</si>
  <si>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TR3-027</t>
  </si>
  <si>
    <t>But the manufacturer MUST ensure that reports from non-compliant entities are still treated to the best extend possible.</t>
  </si>
  <si>
    <t>TR3-4.4.6a</t>
  </si>
  <si>
    <t>[The code of conduct MAY contain the following points:] No abuse of the reported vulnerability by the reporting entity. That means that no damage has been caused beyond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</si>
  <si>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</si>
  <si>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</si>
  <si>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TR3-4.4.6c</t>
  </si>
  <si>
    <t>[The code of conduct MAY contain the following points:] No manipulation, compromise or modification of possible systems or data of third parties was carried out by the reporting entity.</t>
  </si>
  <si>
    <t>TR3-4.4.6d</t>
  </si>
  <si>
    <t>[The code of conduct MAY contain the following points:] No tools for exploiting vulnerabilities have been offered, e.g. on darknet markets, by the reporting entity for a fee or free of charge that third parties could use to commit crimes.</t>
  </si>
  <si>
    <t>TR3-4.4.6e</t>
  </si>
  <si>
    <t>[The code of conduct MAY contain the following points:] No offense regarding section 4.4.7 c by the reporting entity, e.g. in the name/alias or the desired reference for publication on the manufacturer's acknowledgement web page.</t>
  </si>
  <si>
    <t>TR3-4.4.6NCa</t>
  </si>
  <si>
    <t>4.4.6 Code of conduct for the reporting entity (consequences, item a)</t>
  </si>
  <si>
    <t>[The consequences of non-compliance MAY include the following points:] The reporting entity does not receive any rewards, e.g. from a bug bounty programme.</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</si>
  <si>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</si>
  <si>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</si>
  <si>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</si>
  <si>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</si>
  <si>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</si>
  <si>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</si>
  <si>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</si>
  <si>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</si>
  <si>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TR3-4.4.7b</t>
  </si>
  <si>
    <t>The manufacturer SHOULD explain that good communication is important for vulnerability reports and that at least one valid contact option (preferably an email address) should be provided by the reporting entity for any queries.</t>
  </si>
  <si>
    <t>TR3-4.4.7c</t>
  </si>
  <si>
    <t>The manufacturer SHOULD clearly emphasise that all involved entities treat each other with respect and that there is no room for unacceptable behaviour, e.g. discrimination, sexism or insults.</t>
  </si>
  <si>
    <t>TR3-4.4.7d</t>
  </si>
  <si>
    <t>The manufacturer SHOULD declare which contact options are accepted.</t>
  </si>
  <si>
    <t>TR3-4.4.7e</t>
  </si>
  <si>
    <t>The manufacturer MUST accept at least email addresses and telephone numbers as valid contact options.</t>
  </si>
  <si>
    <t>TR3-4.4.7f</t>
  </si>
  <si>
    <t>The manufacturer SHOULD point out that enquiries from the reporting entity about the status of the reported vulnerability are welcome.</t>
  </si>
  <si>
    <t>TR3-4.4.7g</t>
  </si>
  <si>
    <t>The manufacturer MUST ensure that all incoming reports are treated to the best extend possible and cannot be closed by a single analyst to avoid missing valid vulnerabilities.</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</si>
  <si>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</si>
  <si>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</si>
  <si>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</si>
  <si>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</si>
  <si>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TR3-4.4.8a-b</t>
  </si>
  <si>
    <t>[…] This simple response MUST NOT be an automated response.</t>
  </si>
  <si>
    <t>TR3-4.4.8b</t>
  </si>
  <si>
    <t>The manufacturer MUST ensure that detailed feedback after further analysis is provided within ten working days, unless a vulnerability was reported anonymously.</t>
  </si>
  <si>
    <t>Product engineers must analyse reported issues fast enough for the PSIRT to give detailed feedback within ten working days.</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</si>
  <si>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</si>
  <si>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</si>
  <si>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TR3-4.4.9a-a</t>
  </si>
  <si>
    <t>4.4.9 Anonymous reporting option</t>
  </si>
  <si>
    <t>The manufacturer MUST provide an easy-to-find option to anonymously submit vulnerability reports. […]</t>
  </si>
  <si>
    <t>TR3-4.4.9a-b</t>
  </si>
  <si>
    <t>[…] This SHOULD be the web form for vulnerability reports (see section 4.3.3).</t>
  </si>
  <si>
    <t>TR3-4.4.9b</t>
  </si>
  <si>
    <t>The manufacturer SHOULD clarify that further explanations and documentation may be required, especially in the case of complex issues.</t>
  </si>
  <si>
    <t>TR3-4.4.9c</t>
  </si>
  <si>
    <t>The manufacturer SHOULD clarify that if the reporting entity fails to respond to technical or content-related queries, the corresponding vulnerability report can only be processed to a limited extent or possibly not at all.</t>
  </si>
  <si>
    <t>TR3-4.4.9d</t>
  </si>
  <si>
    <t>The manufacturer MUST clearly state that anonymous reports can only be processed to a limited extent or possibly not at all, due to missing option to request technical or content-related queries.</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</si>
  <si>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</si>
  <si>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</si>
  <si>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</si>
  <si>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Fixes or mitigations must be developed and back-ported inside the 90-day window, which sets engineering priorities and capacity for all supported versions.</t>
  </si>
  <si>
    <t>Fix development and back-porting</t>
  </si>
  <si>
    <t>Set fix lead-time targets by severity that fit inside the 90-day disclosure window.</t>
  </si>
  <si>
    <t>Fix lead-time metrics per case</t>
  </si>
  <si>
    <t>Cases from 5. Maintenance; releases via 3. Integration/Build</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</si>
  <si>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</si>
  <si>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</si>
  <si>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</si>
  <si>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TR3-4.4.10b</t>
  </si>
  <si>
    <t>This public disclosure MUST take place, upon request of the manufacturer in consultation with its corresponding national CSIRT or ENISA, at least on the European Vulnerability Database (EUVD) maintained by ENISA.</t>
  </si>
  <si>
    <t>TR3-4.4.11a</t>
  </si>
  <si>
    <t>4.4.11 End of CVD process</t>
  </si>
  <si>
    <t>The manufacturer MUST clearly and publicly state the conditions under which the CVD process is considered complete.</t>
  </si>
  <si>
    <t>CVD - process closure</t>
  </si>
  <si>
    <t>TR3-4.4.11b</t>
  </si>
  <si>
    <t>The manufacturer SHOULD communicate the end of the CVD process without undue delay to the reporting entity, unless the vulnerability was reported anonymously.</t>
  </si>
  <si>
    <t>TR3-4.4.11c</t>
  </si>
  <si>
    <t>The manufacturer SHOULD consider the CVD process to be completed if the indications of the vulnerability report are unfounded.</t>
  </si>
  <si>
    <t>TR3-4.4.11d</t>
  </si>
  <si>
    <t>The manufacturer SHOULD consider the CVD process to be completed if the vulnerability of a service (e.g. a web service) is fixed and has been publicly disclosed.</t>
  </si>
  <si>
    <t>TR3-4.4.11e</t>
  </si>
  <si>
    <t>The manufacturer SHOULD consider the CVD process to be completed if the vulnerability has been mitigated or fixed by an appropriate patch and has been publicly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</si>
  <si>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</si>
  <si>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</si>
  <si>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</si>
  <si>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</si>
  <si>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TR3-028</t>
  </si>
  <si>
    <t>4.5 Web page for incoming vulnerability reports</t>
  </si>
  <si>
    <t>External entities should find all important information regarding the submission of vulnerability reports at a central point on the manufacturer's website.</t>
  </si>
  <si>
    <t>TR3-029</t>
  </si>
  <si>
    <t>Therefore, the web page for incoming vulnerability reports MUST have at least the following features.</t>
  </si>
  <si>
    <t>TR3-4.5.1a</t>
  </si>
  <si>
    <t>4.5.1 General</t>
  </si>
  <si>
    <t>The web page for incoming vulnerability reports MUST be part of the website of the manufacturer.</t>
  </si>
  <si>
    <t>TR3-4.5.1b</t>
  </si>
  <si>
    <t>This web page MUST be accessible at least via an easy-to-find link on the home page of the manufacturer's website without activated JavaScript or other client-side executed scripts.</t>
  </si>
  <si>
    <t>TR3-4.5.1c-a</t>
  </si>
  <si>
    <t>The path of the web URI (according to RFC 7230 section 2.7.2) of this web page MUST clearly indicate its function, e.g. https://www.example.com/security-contact. […]</t>
  </si>
  <si>
    <t>TR3-4.5.1c-b</t>
  </si>
  <si>
    <t>[…] A redirection to another web URI (according to RFC 7230 section 2.7.2) on the manufacturer's website is allowed.</t>
  </si>
  <si>
    <t>MAY (equiv. 'is allowed')</t>
  </si>
  <si>
    <t>TR3-4.5.1d</t>
  </si>
  <si>
    <t>The manufacturer MUST ensure that this web page with all information is fully accessible without activated JavaScript or other client-side executed scripts and without any login procedure or other restriction, e.g. a paywall.</t>
  </si>
  <si>
    <t>TR3-4.5.1e</t>
  </si>
  <si>
    <t>The information on this web page MUST be clearly structured.</t>
  </si>
  <si>
    <t>TR3-4.5.1f</t>
  </si>
  <si>
    <t>The manufacturer SHOULD point to its privacy policy close to the sections about the transmission of personal data, e.g. the contact details of the reporting entities.</t>
  </si>
  <si>
    <t>TR3-4.5.2a-a</t>
  </si>
  <si>
    <t>4.5.2 Publication of the CVD policy</t>
  </si>
  <si>
    <t>The manufacturer MUST put an easy-to-find link on this web page for redirection, forwarding or routing to the web page where its CVD policy is published. […]</t>
  </si>
  <si>
    <t>TR3-4.5.2a-b</t>
  </si>
  <si>
    <t>[…] Therefore, the manufacturer MUST create a web page with its CVD policy.</t>
  </si>
  <si>
    <t>TR3-4.5.2b</t>
  </si>
  <si>
    <t>Requirements 4.5.1 a, d, and e also apply to the CVD policy web page.</t>
  </si>
  <si>
    <t>TR3-4.5.3a-a</t>
  </si>
  <si>
    <t>4.5.3 Publication of contact options</t>
  </si>
  <si>
    <t>The manufacturer MUST provide the email addresses of the role-oriented contact options (see section 4.3.1). […]</t>
  </si>
  <si>
    <t>TR3-4.5.3a-b</t>
  </si>
  <si>
    <t>TR3-4.5.3b</t>
  </si>
  <si>
    <t>The manufacturer MAY additionally publish these addresses at the "Contact Us" web page of its website.</t>
  </si>
  <si>
    <t>TR3-4.5.3c</t>
  </si>
  <si>
    <t>The manufacturer MUST provide the web URI (according to RFC 7230 section 2.7.2) of the direct download location of the corresponding OpenPGP public key in ASCII Armor according to RFC 9580 as an .asc-file for signing the security.txt (see section 4.2.10).</t>
  </si>
  <si>
    <t>TR3-4.5.3d</t>
  </si>
  <si>
    <t>The manufacturer MUST quote the fingerprint of the OpenPGP public key for signing the security.txt (see section 4.2.10).</t>
  </si>
  <si>
    <t>TR3-4.5.3e</t>
  </si>
  <si>
    <t>The manufacturer MUST provide the web URI (according to RFC 7230 section 2.7.2) to the web form for vulnerability reports (see section 4.3.2).</t>
  </si>
  <si>
    <t>TR3-4.5.3f-a</t>
  </si>
  <si>
    <t>The expiry date of the contact options MUST be specified […]</t>
  </si>
  <si>
    <t>TR3-4.5.3f-b</t>
  </si>
  <si>
    <t>[…] and updated well enough in advance before they expire.</t>
  </si>
  <si>
    <t>TR3-4.5.3f-c</t>
  </si>
  <si>
    <t>This expiry date SHOULD be at the maximum of one year in the future.</t>
  </si>
  <si>
    <t>CRA / BSI TR-03183 impact summary - 2. Solution Development</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</si>
  <si>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</si>
  <si>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</si>
  <si>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</si>
  <si>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</si>
  <si>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</si>
  <si>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</si>
  <si>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</si>
  <si>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</si>
  <si>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</si>
  <si>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</si>
  <si>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</si>
  <si>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</si>
  <si>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- 2. Solution Development</t>
  </si>
  <si>
    <t>Workbook</t>
  </si>
  <si>
    <t>Process workbook '2. Solution Development'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</si>
  <si>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</si>
  <si>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</si>
  <si>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</si>
  <si>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</si>
  <si>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</si>
  <si>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</si>
  <si>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</si>
  <si>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</si>
  <si>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</si>
  <si>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</si>
  <si>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</si>
  <si>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</si>
  <si>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</si>
  <si>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</si>
  <si>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</si>
  <si>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</si>
  <si>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</si>
  <si>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</si>
  <si>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</si>
  <si>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</si>
  <si>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</si>
  <si>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</si>
  <si>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</si>
  <si>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</si>
  <si>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</si>
  <si>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</si>
  <si>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</si>
  <si>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</si>
  <si>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</si>
  <si>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</si>
  <si>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</si>
  <si>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</si>
  <si>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</si>
  <si>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</si>
  <si>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</si>
  <si>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</si>
  <si>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</si>
  <si>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</si>
  <si>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t>
  </si>
  <si>
    <t>Bids, RFP answers, contractual commitments, security claims, support-period commitments, pricing of compliance effort.</t>
  </si>
  <si>
    <t>2. Solution Development  &lt;&lt; this workbook</t>
  </si>
  <si>
    <t>Secure design, coding, dependency and component management, SBOM generation, security testing.</t>
  </si>
  <si>
    <t>3. Solution Integration / Build</t>
  </si>
  <si>
    <t>Assembling own and third-party components, build pipeline, per-release SBOM, hardening, technical documentation, conformity evidence.</t>
  </si>
  <si>
    <t>4. Solution Deployment</t>
  </si>
  <si>
    <t>Delivery and installation at the customer, secure default configuration, user and security instructions, update mechanism, handover of SBOM and documentation.</t>
  </si>
  <si>
    <t>5. Solution Maintenance (RUN)</t>
  </si>
  <si>
    <t>Vulnerability monitoring and handling, security updates, coordinated vulnerability disclosure, incident and vulnerability reporting, SBOM updates, support period.</t>
  </si>
  <si>
    <t>6. Solution Decommissioning</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</si>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</sst>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2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38.25" x14ac:dyDescent="0.25">
      <c r="A3" s="2" t="s">
        <v>29</v>
      </c>
      <c r="B3" s="2" t="s">
        <v>16</v>
      </c>
      <c r="C3" s="2" t="s">
        <v>30</v>
      </c>
      <c r="D3" s="2" t="s">
        <v>31</v>
      </c>
      <c r="E3" s="2" t="s">
        <v>32</v>
      </c>
      <c r="F3" s="2" t="s">
        <v>33</v>
      </c>
      <c r="G3" s="3" t="s">
        <v>21</v>
      </c>
      <c r="H3" s="2" t="s">
        <v>34</v>
      </c>
      <c r="I3" s="2" t="s">
        <v>35</v>
      </c>
      <c r="J3" s="2" t="s">
        <v>36</v>
      </c>
      <c r="K3" s="2" t="s">
        <v>37</v>
      </c>
      <c r="L3" s="2" t="s">
        <v>38</v>
      </c>
      <c r="M3" s="2" t="s">
        <v>39</v>
      </c>
      <c r="N3" s="2" t="s">
        <v>28</v>
      </c>
      <c r="O3" s="2"/>
    </row>
    <row r="4" spans="1:15" ht="38.25" x14ac:dyDescent="0.25">
      <c r="A4" s="2" t="s">
        <v>40</v>
      </c>
      <c r="B4" s="2" t="s">
        <v>16</v>
      </c>
      <c r="C4" s="2" t="s">
        <v>30</v>
      </c>
      <c r="D4" s="2" t="s">
        <v>41</v>
      </c>
      <c r="E4" s="2" t="s">
        <v>42</v>
      </c>
      <c r="F4" s="2" t="s">
        <v>33</v>
      </c>
      <c r="G4" s="3" t="s">
        <v>21</v>
      </c>
      <c r="H4" s="2" t="s">
        <v>43</v>
      </c>
      <c r="I4" s="2" t="s">
        <v>35</v>
      </c>
      <c r="J4" s="2" t="s">
        <v>36</v>
      </c>
      <c r="K4" s="2" t="s">
        <v>37</v>
      </c>
      <c r="L4" s="2" t="s">
        <v>38</v>
      </c>
      <c r="M4" s="2" t="s">
        <v>39</v>
      </c>
      <c r="N4" s="2" t="s">
        <v>28</v>
      </c>
      <c r="O4" s="2"/>
    </row>
    <row r="5" spans="1:15" ht="38.25" x14ac:dyDescent="0.25">
      <c r="A5" s="2" t="s">
        <v>44</v>
      </c>
      <c r="B5" s="2" t="s">
        <v>16</v>
      </c>
      <c r="C5" s="2" t="s">
        <v>45</v>
      </c>
      <c r="D5" s="2" t="s">
        <v>46</v>
      </c>
      <c r="E5" s="2" t="s">
        <v>47</v>
      </c>
      <c r="F5" s="2" t="s">
        <v>48</v>
      </c>
      <c r="G5" s="3" t="s">
        <v>49</v>
      </c>
      <c r="H5" s="2" t="s">
        <v>50</v>
      </c>
      <c r="I5" s="2" t="s">
        <v>51</v>
      </c>
      <c r="J5" s="2" t="s">
        <v>52</v>
      </c>
      <c r="K5" s="2" t="s">
        <v>53</v>
      </c>
      <c r="L5" s="2" t="s">
        <v>53</v>
      </c>
      <c r="M5" s="2" t="s">
        <v>54</v>
      </c>
      <c r="N5" s="2" t="s">
        <v>53</v>
      </c>
      <c r="O5" s="2"/>
    </row>
    <row r="6" spans="1:15" ht="51" x14ac:dyDescent="0.25">
      <c r="A6" s="2" t="s">
        <v>55</v>
      </c>
      <c r="B6" s="2" t="s">
        <v>16</v>
      </c>
      <c r="C6" s="2" t="s">
        <v>56</v>
      </c>
      <c r="D6" s="2" t="s">
        <v>57</v>
      </c>
      <c r="E6" s="2" t="s">
        <v>58</v>
      </c>
      <c r="F6" s="2" t="s">
        <v>59</v>
      </c>
      <c r="G6" s="3" t="s">
        <v>49</v>
      </c>
      <c r="H6" s="2" t="s">
        <v>60</v>
      </c>
      <c r="I6" s="2" t="s">
        <v>51</v>
      </c>
      <c r="J6" s="2" t="s">
        <v>52</v>
      </c>
      <c r="K6" s="2" t="s">
        <v>53</v>
      </c>
      <c r="L6" s="2" t="s">
        <v>53</v>
      </c>
      <c r="M6" s="2" t="s">
        <v>61</v>
      </c>
      <c r="N6" s="2" t="s">
        <v>53</v>
      </c>
      <c r="O6" s="2" t="s">
        <v>62</v>
      </c>
    </row>
    <row r="7" spans="1:15" ht="38.25" x14ac:dyDescent="0.25">
      <c r="A7" s="2" t="s">
        <v>63</v>
      </c>
      <c r="B7" s="2" t="s">
        <v>16</v>
      </c>
      <c r="C7" s="2" t="s">
        <v>56</v>
      </c>
      <c r="D7" s="2" t="s">
        <v>64</v>
      </c>
      <c r="E7" s="2" t="s">
        <v>58</v>
      </c>
      <c r="F7" s="2" t="s">
        <v>59</v>
      </c>
      <c r="G7" s="3" t="s">
        <v>49</v>
      </c>
      <c r="H7" s="2" t="s">
        <v>60</v>
      </c>
      <c r="I7" s="2" t="s">
        <v>51</v>
      </c>
      <c r="J7" s="2" t="s">
        <v>52</v>
      </c>
      <c r="K7" s="2" t="s">
        <v>53</v>
      </c>
      <c r="L7" s="2" t="s">
        <v>53</v>
      </c>
      <c r="M7" s="2" t="s">
        <v>61</v>
      </c>
      <c r="N7" s="2" t="s">
        <v>53</v>
      </c>
      <c r="O7" s="2" t="s">
        <v>65</v>
      </c>
    </row>
    <row r="8" spans="1:15" ht="38.25" x14ac:dyDescent="0.25">
      <c r="A8" s="2" t="s">
        <v>66</v>
      </c>
      <c r="B8" s="2" t="s">
        <v>16</v>
      </c>
      <c r="C8" s="2" t="s">
        <v>56</v>
      </c>
      <c r="D8" s="2" t="s">
        <v>67</v>
      </c>
      <c r="E8" s="2" t="s">
        <v>68</v>
      </c>
      <c r="F8" s="2" t="s">
        <v>69</v>
      </c>
      <c r="G8" s="3" t="s">
        <v>70</v>
      </c>
      <c r="H8" s="2" t="s">
        <v>71</v>
      </c>
      <c r="I8" s="2" t="s">
        <v>72</v>
      </c>
      <c r="J8" s="2" t="s">
        <v>73</v>
      </c>
      <c r="K8" s="2" t="s">
        <v>74</v>
      </c>
      <c r="L8" s="2" t="s">
        <v>75</v>
      </c>
      <c r="M8" s="2" t="s">
        <v>76</v>
      </c>
      <c r="N8" s="2" t="s">
        <v>77</v>
      </c>
      <c r="O8" s="2" t="s">
        <v>78</v>
      </c>
    </row>
    <row r="9" spans="1:15" ht="38.25" x14ac:dyDescent="0.25">
      <c r="A9" s="2" t="s">
        <v>79</v>
      </c>
      <c r="B9" s="2" t="s">
        <v>16</v>
      </c>
      <c r="C9" s="2" t="s">
        <v>56</v>
      </c>
      <c r="D9" s="2" t="s">
        <v>80</v>
      </c>
      <c r="E9" s="2" t="s">
        <v>58</v>
      </c>
      <c r="F9" s="2" t="s">
        <v>81</v>
      </c>
      <c r="G9" s="3" t="s">
        <v>49</v>
      </c>
      <c r="H9" s="2" t="s">
        <v>60</v>
      </c>
      <c r="I9" s="2" t="s">
        <v>51</v>
      </c>
      <c r="J9" s="2" t="s">
        <v>52</v>
      </c>
      <c r="K9" s="2" t="s">
        <v>53</v>
      </c>
      <c r="L9" s="2" t="s">
        <v>53</v>
      </c>
      <c r="M9" s="2" t="s">
        <v>61</v>
      </c>
      <c r="N9" s="2" t="s">
        <v>53</v>
      </c>
      <c r="O9" s="2" t="s">
        <v>65</v>
      </c>
    </row>
    <row r="10" spans="1:15" ht="51" x14ac:dyDescent="0.25">
      <c r="A10" s="2" t="s">
        <v>82</v>
      </c>
      <c r="B10" s="2" t="s">
        <v>16</v>
      </c>
      <c r="C10" s="2" t="s">
        <v>56</v>
      </c>
      <c r="D10" s="2" t="s">
        <v>83</v>
      </c>
      <c r="E10" s="2" t="s">
        <v>58</v>
      </c>
      <c r="F10" s="2" t="s">
        <v>84</v>
      </c>
      <c r="G10" s="3" t="s">
        <v>85</v>
      </c>
      <c r="H10" s="2" t="s">
        <v>86</v>
      </c>
      <c r="I10" s="2" t="s">
        <v>72</v>
      </c>
      <c r="J10" s="2" t="s">
        <v>87</v>
      </c>
      <c r="K10" s="2" t="s">
        <v>74</v>
      </c>
      <c r="L10" s="2" t="s">
        <v>75</v>
      </c>
      <c r="M10" s="2" t="s">
        <v>76</v>
      </c>
      <c r="N10" s="2" t="s">
        <v>77</v>
      </c>
      <c r="O10" s="2" t="s">
        <v>65</v>
      </c>
    </row>
    <row r="11" spans="1:15" ht="51" x14ac:dyDescent="0.25">
      <c r="A11" s="2" t="s">
        <v>88</v>
      </c>
      <c r="B11" s="2" t="s">
        <v>16</v>
      </c>
      <c r="C11" s="2" t="s">
        <v>56</v>
      </c>
      <c r="D11" s="2" t="s">
        <v>89</v>
      </c>
      <c r="E11" s="2" t="s">
        <v>58</v>
      </c>
      <c r="F11" s="2" t="s">
        <v>81</v>
      </c>
      <c r="G11" s="3" t="s">
        <v>49</v>
      </c>
      <c r="H11" s="2" t="s">
        <v>60</v>
      </c>
      <c r="I11" s="2" t="s">
        <v>51</v>
      </c>
      <c r="J11" s="2" t="s">
        <v>52</v>
      </c>
      <c r="K11" s="2" t="s">
        <v>53</v>
      </c>
      <c r="L11" s="2" t="s">
        <v>53</v>
      </c>
      <c r="M11" s="2" t="s">
        <v>61</v>
      </c>
      <c r="N11" s="2" t="s">
        <v>53</v>
      </c>
      <c r="O11" s="2" t="s">
        <v>65</v>
      </c>
    </row>
    <row r="12" spans="1:15" ht="63.75" x14ac:dyDescent="0.25">
      <c r="A12" s="2" t="s">
        <v>90</v>
      </c>
      <c r="B12" s="2" t="s">
        <v>16</v>
      </c>
      <c r="C12" s="2" t="s">
        <v>56</v>
      </c>
      <c r="D12" s="2" t="s">
        <v>91</v>
      </c>
      <c r="E12" s="2" t="s">
        <v>92</v>
      </c>
      <c r="F12" s="2" t="s">
        <v>84</v>
      </c>
      <c r="G12" s="3" t="s">
        <v>85</v>
      </c>
      <c r="H12" s="2" t="s">
        <v>93</v>
      </c>
      <c r="I12" s="2" t="s">
        <v>72</v>
      </c>
      <c r="J12" s="2" t="s">
        <v>94</v>
      </c>
      <c r="K12" s="2" t="s">
        <v>74</v>
      </c>
      <c r="L12" s="2" t="s">
        <v>75</v>
      </c>
      <c r="M12" s="2" t="s">
        <v>76</v>
      </c>
      <c r="N12" s="2" t="s">
        <v>77</v>
      </c>
      <c r="O12" s="2" t="s">
        <v>95</v>
      </c>
    </row>
    <row r="13" spans="1:15" ht="38.25" x14ac:dyDescent="0.25">
      <c r="A13" s="2" t="s">
        <v>96</v>
      </c>
      <c r="B13" s="2" t="s">
        <v>16</v>
      </c>
      <c r="C13" s="2" t="s">
        <v>56</v>
      </c>
      <c r="D13" s="2" t="s">
        <v>97</v>
      </c>
      <c r="E13" s="2" t="s">
        <v>92</v>
      </c>
      <c r="F13" s="2" t="s">
        <v>84</v>
      </c>
      <c r="G13" s="3" t="s">
        <v>49</v>
      </c>
      <c r="H13" s="2" t="s">
        <v>60</v>
      </c>
      <c r="I13" s="2" t="s">
        <v>51</v>
      </c>
      <c r="J13" s="2" t="s">
        <v>52</v>
      </c>
      <c r="K13" s="2" t="s">
        <v>53</v>
      </c>
      <c r="L13" s="2" t="s">
        <v>53</v>
      </c>
      <c r="M13" s="2" t="s">
        <v>61</v>
      </c>
      <c r="N13" s="2" t="s">
        <v>53</v>
      </c>
      <c r="O13" s="2" t="s">
        <v>65</v>
      </c>
    </row>
    <row r="14" spans="1:15" ht="38.25" x14ac:dyDescent="0.25">
      <c r="A14" s="2" t="s">
        <v>98</v>
      </c>
      <c r="B14" s="2" t="s">
        <v>16</v>
      </c>
      <c r="C14" s="2" t="s">
        <v>99</v>
      </c>
      <c r="D14" s="2" t="s">
        <v>100</v>
      </c>
      <c r="E14" s="2" t="s">
        <v>101</v>
      </c>
      <c r="F14" s="2" t="s">
        <v>102</v>
      </c>
      <c r="G14" s="3" t="s">
        <v>70</v>
      </c>
      <c r="H14" s="2" t="s">
        <v>103</v>
      </c>
      <c r="I14" s="2" t="s">
        <v>35</v>
      </c>
      <c r="J14" s="2" t="s">
        <v>36</v>
      </c>
      <c r="K14" s="2" t="s">
        <v>37</v>
      </c>
      <c r="L14" s="2" t="s">
        <v>38</v>
      </c>
      <c r="M14" s="2" t="s">
        <v>39</v>
      </c>
      <c r="N14" s="2" t="s">
        <v>77</v>
      </c>
      <c r="O14" s="2"/>
    </row>
    <row r="15" spans="1:15" ht="38.25" x14ac:dyDescent="0.25">
      <c r="A15" s="2" t="s">
        <v>104</v>
      </c>
      <c r="B15" s="2" t="s">
        <v>16</v>
      </c>
      <c r="C15" s="2" t="s">
        <v>99</v>
      </c>
      <c r="D15" s="2" t="s">
        <v>105</v>
      </c>
      <c r="E15" s="2" t="s">
        <v>106</v>
      </c>
      <c r="F15" s="2" t="s">
        <v>107</v>
      </c>
      <c r="G15" s="3" t="s">
        <v>85</v>
      </c>
      <c r="H15" s="2" t="s">
        <v>108</v>
      </c>
      <c r="I15" s="2" t="s">
        <v>109</v>
      </c>
      <c r="J15" s="2" t="s">
        <v>110</v>
      </c>
      <c r="K15" s="2" t="s">
        <v>111</v>
      </c>
      <c r="L15" s="2" t="s">
        <v>112</v>
      </c>
      <c r="M15" s="2" t="s">
        <v>113</v>
      </c>
      <c r="N15" s="2" t="s">
        <v>77</v>
      </c>
      <c r="O15" s="2"/>
    </row>
    <row r="16" spans="1:15" ht="38.25" x14ac:dyDescent="0.25">
      <c r="A16" s="2" t="s">
        <v>114</v>
      </c>
      <c r="B16" s="2" t="s">
        <v>16</v>
      </c>
      <c r="C16" s="2" t="s">
        <v>115</v>
      </c>
      <c r="D16" s="2" t="s">
        <v>116</v>
      </c>
      <c r="E16" s="2" t="s">
        <v>117</v>
      </c>
      <c r="F16" s="2" t="s">
        <v>118</v>
      </c>
      <c r="G16" s="3" t="s">
        <v>70</v>
      </c>
      <c r="H16" s="2" t="s">
        <v>119</v>
      </c>
      <c r="I16" s="2" t="s">
        <v>120</v>
      </c>
      <c r="J16" s="2" t="s">
        <v>121</v>
      </c>
      <c r="K16" s="2" t="s">
        <v>122</v>
      </c>
      <c r="L16" s="2" t="s">
        <v>123</v>
      </c>
      <c r="M16" s="2" t="s">
        <v>124</v>
      </c>
      <c r="N16" s="2" t="s">
        <v>77</v>
      </c>
      <c r="O16" s="2"/>
    </row>
    <row r="17" spans="1:15" ht="38.25" x14ac:dyDescent="0.25">
      <c r="A17" s="2" t="s">
        <v>125</v>
      </c>
      <c r="B17" s="2" t="s">
        <v>16</v>
      </c>
      <c r="C17" s="2" t="s">
        <v>115</v>
      </c>
      <c r="D17" s="2" t="s">
        <v>126</v>
      </c>
      <c r="E17" s="2" t="s">
        <v>117</v>
      </c>
      <c r="F17" s="2" t="s">
        <v>118</v>
      </c>
      <c r="G17" s="3" t="s">
        <v>85</v>
      </c>
      <c r="H17" s="2" t="s">
        <v>127</v>
      </c>
      <c r="I17" s="2" t="s">
        <v>120</v>
      </c>
      <c r="J17" s="2" t="s">
        <v>121</v>
      </c>
      <c r="K17" s="2" t="s">
        <v>122</v>
      </c>
      <c r="L17" s="2" t="s">
        <v>123</v>
      </c>
      <c r="M17" s="2" t="s">
        <v>124</v>
      </c>
      <c r="N17" s="2" t="s">
        <v>77</v>
      </c>
      <c r="O17" s="2"/>
    </row>
    <row r="18" spans="1:15" ht="38.25" x14ac:dyDescent="0.25">
      <c r="A18" s="2" t="s">
        <v>128</v>
      </c>
      <c r="B18" s="2" t="s">
        <v>16</v>
      </c>
      <c r="C18" s="2" t="s">
        <v>129</v>
      </c>
      <c r="D18" s="2" t="s">
        <v>130</v>
      </c>
      <c r="E18" s="2" t="s">
        <v>131</v>
      </c>
      <c r="F18" s="2" t="s">
        <v>20</v>
      </c>
      <c r="G18" s="3" t="s">
        <v>21</v>
      </c>
      <c r="H18" s="2" t="s">
        <v>132</v>
      </c>
      <c r="I18" s="2" t="s">
        <v>23</v>
      </c>
      <c r="J18" s="2" t="s">
        <v>24</v>
      </c>
      <c r="K18" s="2" t="s">
        <v>25</v>
      </c>
      <c r="L18" s="2" t="s">
        <v>26</v>
      </c>
      <c r="M18" s="2" t="s">
        <v>27</v>
      </c>
      <c r="N18" s="2" t="s">
        <v>28</v>
      </c>
      <c r="O18" s="2"/>
    </row>
    <row r="19" spans="1:15" ht="63.75" x14ac:dyDescent="0.25">
      <c r="A19" s="2" t="s">
        <v>133</v>
      </c>
      <c r="B19" s="2" t="s">
        <v>16</v>
      </c>
      <c r="C19" s="2" t="s">
        <v>129</v>
      </c>
      <c r="D19" s="2" t="s">
        <v>134</v>
      </c>
      <c r="E19" s="2" t="s">
        <v>135</v>
      </c>
      <c r="F19" s="2" t="s">
        <v>136</v>
      </c>
      <c r="G19" s="3" t="s">
        <v>85</v>
      </c>
      <c r="H19" s="2" t="s">
        <v>137</v>
      </c>
      <c r="I19" s="2" t="s">
        <v>23</v>
      </c>
      <c r="J19" s="2" t="s">
        <v>24</v>
      </c>
      <c r="K19" s="2" t="s">
        <v>25</v>
      </c>
      <c r="L19" s="2" t="s">
        <v>26</v>
      </c>
      <c r="M19" s="2" t="s">
        <v>27</v>
      </c>
      <c r="N19" s="2" t="s">
        <v>77</v>
      </c>
      <c r="O19" s="2"/>
    </row>
    <row r="20" spans="1:15" ht="38.25" x14ac:dyDescent="0.25">
      <c r="A20" s="2" t="s">
        <v>138</v>
      </c>
      <c r="B20" s="2" t="s">
        <v>16</v>
      </c>
      <c r="C20" s="2" t="s">
        <v>139</v>
      </c>
      <c r="D20" s="2" t="s">
        <v>140</v>
      </c>
      <c r="E20" s="2" t="s">
        <v>141</v>
      </c>
      <c r="F20" s="2" t="s">
        <v>142</v>
      </c>
      <c r="G20" s="3" t="s">
        <v>21</v>
      </c>
      <c r="H20" s="2" t="s">
        <v>143</v>
      </c>
      <c r="I20" s="2" t="s">
        <v>144</v>
      </c>
      <c r="J20" s="2" t="s">
        <v>145</v>
      </c>
      <c r="K20" s="2" t="s">
        <v>146</v>
      </c>
      <c r="L20" s="2" t="s">
        <v>147</v>
      </c>
      <c r="M20" s="2" t="s">
        <v>148</v>
      </c>
      <c r="N20" s="2" t="s">
        <v>28</v>
      </c>
      <c r="O20" s="2"/>
    </row>
    <row r="21" spans="1:15" ht="102" x14ac:dyDescent="0.25">
      <c r="A21" s="2" t="s">
        <v>149</v>
      </c>
      <c r="B21" s="2" t="s">
        <v>16</v>
      </c>
      <c r="C21" s="2" t="s">
        <v>150</v>
      </c>
      <c r="D21" s="2" t="s">
        <v>151</v>
      </c>
      <c r="E21" s="2" t="s">
        <v>152</v>
      </c>
      <c r="F21" s="2" t="s">
        <v>153</v>
      </c>
      <c r="G21" s="3" t="s">
        <v>70</v>
      </c>
      <c r="H21" s="2" t="s">
        <v>154</v>
      </c>
      <c r="I21" s="2" t="s">
        <v>109</v>
      </c>
      <c r="J21" s="2" t="s">
        <v>110</v>
      </c>
      <c r="K21" s="2" t="s">
        <v>111</v>
      </c>
      <c r="L21" s="2" t="s">
        <v>112</v>
      </c>
      <c r="M21" s="2" t="s">
        <v>113</v>
      </c>
      <c r="N21" s="2" t="s">
        <v>77</v>
      </c>
      <c r="O21" s="2"/>
    </row>
    <row r="22" spans="1:15" ht="63.75" x14ac:dyDescent="0.25">
      <c r="A22" s="2" t="s">
        <v>155</v>
      </c>
      <c r="B22" s="2" t="s">
        <v>16</v>
      </c>
      <c r="C22" s="2" t="s">
        <v>150</v>
      </c>
      <c r="D22" s="2" t="s">
        <v>156</v>
      </c>
      <c r="E22" s="2" t="s">
        <v>152</v>
      </c>
      <c r="F22" s="2" t="s">
        <v>157</v>
      </c>
      <c r="G22" s="3" t="s">
        <v>158</v>
      </c>
      <c r="H22" s="2" t="s">
        <v>159</v>
      </c>
      <c r="I22" s="2" t="s">
        <v>160</v>
      </c>
      <c r="J22" s="2" t="s">
        <v>161</v>
      </c>
      <c r="K22" s="2" t="s">
        <v>162</v>
      </c>
      <c r="L22" s="2" t="s">
        <v>163</v>
      </c>
      <c r="M22" s="2" t="s">
        <v>164</v>
      </c>
      <c r="N22" s="2" t="s">
        <v>165</v>
      </c>
      <c r="O22" s="2"/>
    </row>
    <row r="23" spans="1:15" ht="76.5" x14ac:dyDescent="0.25">
      <c r="A23" s="2" t="s">
        <v>166</v>
      </c>
      <c r="B23" s="2" t="s">
        <v>16</v>
      </c>
      <c r="C23" s="2" t="s">
        <v>150</v>
      </c>
      <c r="D23" s="2" t="s">
        <v>167</v>
      </c>
      <c r="E23" s="2" t="s">
        <v>152</v>
      </c>
      <c r="F23" s="2" t="s">
        <v>168</v>
      </c>
      <c r="G23" s="3" t="s">
        <v>85</v>
      </c>
      <c r="H23" s="2" t="s">
        <v>169</v>
      </c>
      <c r="I23" s="2" t="s">
        <v>170</v>
      </c>
      <c r="J23" s="2" t="s">
        <v>171</v>
      </c>
      <c r="K23" s="2" t="s">
        <v>172</v>
      </c>
      <c r="L23" s="2" t="s">
        <v>75</v>
      </c>
      <c r="M23" s="2" t="s">
        <v>173</v>
      </c>
      <c r="N23" s="2" t="s">
        <v>77</v>
      </c>
      <c r="O23" s="2"/>
    </row>
    <row r="24" spans="1:15" ht="51" x14ac:dyDescent="0.25">
      <c r="A24" s="2" t="s">
        <v>174</v>
      </c>
      <c r="B24" s="2" t="s">
        <v>16</v>
      </c>
      <c r="C24" s="2" t="s">
        <v>150</v>
      </c>
      <c r="D24" s="2" t="s">
        <v>175</v>
      </c>
      <c r="E24" s="2" t="s">
        <v>68</v>
      </c>
      <c r="F24" s="2" t="s">
        <v>168</v>
      </c>
      <c r="G24" s="3" t="s">
        <v>70</v>
      </c>
      <c r="H24" s="2" t="s">
        <v>176</v>
      </c>
      <c r="I24" s="2" t="s">
        <v>170</v>
      </c>
      <c r="J24" s="2" t="s">
        <v>171</v>
      </c>
      <c r="K24" s="2" t="s">
        <v>172</v>
      </c>
      <c r="L24" s="2" t="s">
        <v>75</v>
      </c>
      <c r="M24" s="2" t="s">
        <v>173</v>
      </c>
      <c r="N24" s="2" t="s">
        <v>77</v>
      </c>
      <c r="O24" s="2"/>
    </row>
    <row r="25" spans="1:15" ht="38.25" x14ac:dyDescent="0.25">
      <c r="A25" s="2" t="s">
        <v>177</v>
      </c>
      <c r="B25" s="2" t="s">
        <v>16</v>
      </c>
      <c r="C25" s="2" t="s">
        <v>150</v>
      </c>
      <c r="D25" s="2" t="s">
        <v>178</v>
      </c>
      <c r="E25" s="2" t="s">
        <v>68</v>
      </c>
      <c r="F25" s="2" t="s">
        <v>179</v>
      </c>
      <c r="G25" s="3" t="s">
        <v>85</v>
      </c>
      <c r="H25" s="2" t="s">
        <v>180</v>
      </c>
      <c r="I25" s="2" t="s">
        <v>170</v>
      </c>
      <c r="J25" s="2" t="s">
        <v>171</v>
      </c>
      <c r="K25" s="2" t="s">
        <v>172</v>
      </c>
      <c r="L25" s="2" t="s">
        <v>75</v>
      </c>
      <c r="M25" s="2" t="s">
        <v>173</v>
      </c>
      <c r="N25" s="2" t="s">
        <v>77</v>
      </c>
      <c r="O25" s="2"/>
    </row>
    <row r="26" spans="1:15" ht="51" x14ac:dyDescent="0.25">
      <c r="A26" s="2" t="s">
        <v>181</v>
      </c>
      <c r="B26" s="2" t="s">
        <v>16</v>
      </c>
      <c r="C26" s="2" t="s">
        <v>150</v>
      </c>
      <c r="D26" s="2" t="s">
        <v>182</v>
      </c>
      <c r="E26" s="2" t="s">
        <v>152</v>
      </c>
      <c r="F26" s="2" t="s">
        <v>183</v>
      </c>
      <c r="G26" s="3" t="s">
        <v>21</v>
      </c>
      <c r="H26" s="2" t="s">
        <v>184</v>
      </c>
      <c r="I26" s="2" t="s">
        <v>144</v>
      </c>
      <c r="J26" s="2" t="s">
        <v>145</v>
      </c>
      <c r="K26" s="2" t="s">
        <v>146</v>
      </c>
      <c r="L26" s="2" t="s">
        <v>147</v>
      </c>
      <c r="M26" s="2" t="s">
        <v>148</v>
      </c>
      <c r="N26" s="2" t="s">
        <v>28</v>
      </c>
      <c r="O26" s="2"/>
    </row>
    <row r="27" spans="1:15" ht="38.25" x14ac:dyDescent="0.25">
      <c r="A27" s="2" t="s">
        <v>185</v>
      </c>
      <c r="B27" s="2" t="s">
        <v>16</v>
      </c>
      <c r="C27" s="2" t="s">
        <v>150</v>
      </c>
      <c r="D27" s="2" t="s">
        <v>186</v>
      </c>
      <c r="E27" s="2" t="s">
        <v>187</v>
      </c>
      <c r="F27" s="2" t="s">
        <v>183</v>
      </c>
      <c r="G27" s="3" t="s">
        <v>49</v>
      </c>
      <c r="H27" s="2" t="s">
        <v>188</v>
      </c>
      <c r="I27" s="2" t="s">
        <v>51</v>
      </c>
      <c r="J27" s="2" t="s">
        <v>52</v>
      </c>
      <c r="K27" s="2" t="s">
        <v>53</v>
      </c>
      <c r="L27" s="2" t="s">
        <v>53</v>
      </c>
      <c r="M27" s="2" t="s">
        <v>189</v>
      </c>
      <c r="N27" s="2" t="s">
        <v>53</v>
      </c>
      <c r="O27" s="2"/>
    </row>
    <row r="28" spans="1:15" ht="63.75" x14ac:dyDescent="0.25">
      <c r="A28" s="2" t="s">
        <v>190</v>
      </c>
      <c r="B28" s="2" t="s">
        <v>16</v>
      </c>
      <c r="C28" s="2" t="s">
        <v>150</v>
      </c>
      <c r="D28" s="2" t="s">
        <v>191</v>
      </c>
      <c r="E28" s="2" t="s">
        <v>152</v>
      </c>
      <c r="F28" s="2" t="s">
        <v>192</v>
      </c>
      <c r="G28" s="3" t="s">
        <v>85</v>
      </c>
      <c r="H28" s="2" t="s">
        <v>193</v>
      </c>
      <c r="I28" s="2" t="s">
        <v>194</v>
      </c>
      <c r="J28" s="2" t="s">
        <v>195</v>
      </c>
      <c r="K28" s="2" t="s">
        <v>196</v>
      </c>
      <c r="L28" s="2" t="s">
        <v>147</v>
      </c>
      <c r="M28" s="2" t="s">
        <v>197</v>
      </c>
      <c r="N28" s="2" t="s">
        <v>77</v>
      </c>
      <c r="O28" s="2"/>
    </row>
    <row r="29" spans="1:15" ht="51" x14ac:dyDescent="0.25">
      <c r="A29" s="2" t="s">
        <v>198</v>
      </c>
      <c r="B29" s="2" t="s">
        <v>16</v>
      </c>
      <c r="C29" s="2" t="s">
        <v>150</v>
      </c>
      <c r="D29" s="2" t="s">
        <v>199</v>
      </c>
      <c r="E29" s="2" t="s">
        <v>152</v>
      </c>
      <c r="F29" s="2" t="s">
        <v>48</v>
      </c>
      <c r="G29" s="3" t="s">
        <v>49</v>
      </c>
      <c r="H29" s="2" t="s">
        <v>50</v>
      </c>
      <c r="I29" s="2" t="s">
        <v>51</v>
      </c>
      <c r="J29" s="2" t="s">
        <v>52</v>
      </c>
      <c r="K29" s="2" t="s">
        <v>53</v>
      </c>
      <c r="L29" s="2" t="s">
        <v>53</v>
      </c>
      <c r="M29" s="2" t="s">
        <v>54</v>
      </c>
      <c r="N29" s="2" t="s">
        <v>53</v>
      </c>
      <c r="O29" s="2"/>
    </row>
    <row r="30" spans="1:15" ht="38.25" x14ac:dyDescent="0.25">
      <c r="A30" s="2" t="s">
        <v>200</v>
      </c>
      <c r="B30" s="2" t="s">
        <v>16</v>
      </c>
      <c r="C30" s="2" t="s">
        <v>150</v>
      </c>
      <c r="D30" s="2" t="s">
        <v>201</v>
      </c>
      <c r="E30" s="2" t="s">
        <v>152</v>
      </c>
      <c r="F30" s="2" t="s">
        <v>48</v>
      </c>
      <c r="G30" s="3" t="s">
        <v>21</v>
      </c>
      <c r="H30" s="2" t="s">
        <v>202</v>
      </c>
      <c r="I30" s="2" t="s">
        <v>194</v>
      </c>
      <c r="J30" s="2" t="s">
        <v>195</v>
      </c>
      <c r="K30" s="2" t="s">
        <v>196</v>
      </c>
      <c r="L30" s="2" t="s">
        <v>147</v>
      </c>
      <c r="M30" s="2" t="s">
        <v>197</v>
      </c>
      <c r="N30" s="2" t="s">
        <v>28</v>
      </c>
      <c r="O30" s="2"/>
    </row>
    <row r="31" spans="1:15" ht="38.25" x14ac:dyDescent="0.25">
      <c r="A31" s="2" t="s">
        <v>203</v>
      </c>
      <c r="B31" s="2" t="s">
        <v>16</v>
      </c>
      <c r="C31" s="2" t="s">
        <v>204</v>
      </c>
      <c r="D31" s="2" t="s">
        <v>205</v>
      </c>
      <c r="E31" s="2" t="s">
        <v>187</v>
      </c>
      <c r="F31" s="2" t="s">
        <v>206</v>
      </c>
      <c r="G31" s="3" t="s">
        <v>85</v>
      </c>
      <c r="H31" s="2" t="s">
        <v>207</v>
      </c>
      <c r="I31" s="2" t="s">
        <v>208</v>
      </c>
      <c r="J31" s="2" t="s">
        <v>209</v>
      </c>
      <c r="K31" s="2" t="s">
        <v>210</v>
      </c>
      <c r="L31" s="2" t="s">
        <v>147</v>
      </c>
      <c r="M31" s="2" t="s">
        <v>211</v>
      </c>
      <c r="N31" s="2" t="s">
        <v>77</v>
      </c>
      <c r="O31" s="2"/>
    </row>
    <row r="32" spans="1:15" ht="38.25" x14ac:dyDescent="0.25">
      <c r="A32" s="2" t="s">
        <v>212</v>
      </c>
      <c r="B32" s="2" t="s">
        <v>16</v>
      </c>
      <c r="C32" s="2" t="s">
        <v>204</v>
      </c>
      <c r="D32" s="2" t="s">
        <v>213</v>
      </c>
      <c r="E32" s="2" t="s">
        <v>214</v>
      </c>
      <c r="F32" s="2" t="s">
        <v>206</v>
      </c>
      <c r="G32" s="3" t="s">
        <v>85</v>
      </c>
      <c r="H32" s="2" t="s">
        <v>215</v>
      </c>
      <c r="I32" s="2" t="s">
        <v>208</v>
      </c>
      <c r="J32" s="2" t="s">
        <v>209</v>
      </c>
      <c r="K32" s="2" t="s">
        <v>210</v>
      </c>
      <c r="L32" s="2" t="s">
        <v>147</v>
      </c>
      <c r="M32" s="2" t="s">
        <v>211</v>
      </c>
      <c r="N32" s="2" t="s">
        <v>77</v>
      </c>
      <c r="O32" s="2"/>
    </row>
    <row r="33" spans="1:15" ht="38.25" x14ac:dyDescent="0.25">
      <c r="A33" s="2" t="s">
        <v>216</v>
      </c>
      <c r="B33" s="2" t="s">
        <v>16</v>
      </c>
      <c r="C33" s="2" t="s">
        <v>204</v>
      </c>
      <c r="D33" s="2" t="s">
        <v>217</v>
      </c>
      <c r="E33" s="2" t="s">
        <v>218</v>
      </c>
      <c r="F33" s="2" t="s">
        <v>219</v>
      </c>
      <c r="G33" s="3" t="s">
        <v>85</v>
      </c>
      <c r="H33" s="2" t="s">
        <v>220</v>
      </c>
      <c r="I33" s="2" t="s">
        <v>208</v>
      </c>
      <c r="J33" s="2" t="s">
        <v>209</v>
      </c>
      <c r="K33" s="2" t="s">
        <v>210</v>
      </c>
      <c r="L33" s="2" t="s">
        <v>147</v>
      </c>
      <c r="M33" s="2" t="s">
        <v>211</v>
      </c>
      <c r="N33" s="2" t="s">
        <v>77</v>
      </c>
      <c r="O33" s="2" t="s">
        <v>221</v>
      </c>
    </row>
    <row r="34" spans="1:15" ht="38.25" x14ac:dyDescent="0.25">
      <c r="A34" s="2" t="s">
        <v>222</v>
      </c>
      <c r="B34" s="2" t="s">
        <v>16</v>
      </c>
      <c r="C34" s="2" t="s">
        <v>204</v>
      </c>
      <c r="D34" s="2" t="s">
        <v>223</v>
      </c>
      <c r="E34" s="2" t="s">
        <v>218</v>
      </c>
      <c r="F34" s="2" t="s">
        <v>224</v>
      </c>
      <c r="G34" s="3" t="s">
        <v>70</v>
      </c>
      <c r="H34" s="2" t="s">
        <v>225</v>
      </c>
      <c r="I34" s="2" t="s">
        <v>208</v>
      </c>
      <c r="J34" s="2" t="s">
        <v>209</v>
      </c>
      <c r="K34" s="2" t="s">
        <v>210</v>
      </c>
      <c r="L34" s="2" t="s">
        <v>147</v>
      </c>
      <c r="M34" s="2" t="s">
        <v>211</v>
      </c>
      <c r="N34" s="2" t="s">
        <v>77</v>
      </c>
      <c r="O34" s="2" t="s">
        <v>221</v>
      </c>
    </row>
    <row r="35" spans="1:15" ht="76.5" x14ac:dyDescent="0.25">
      <c r="A35" s="2" t="s">
        <v>226</v>
      </c>
      <c r="B35" s="2" t="s">
        <v>16</v>
      </c>
      <c r="C35" s="2" t="s">
        <v>204</v>
      </c>
      <c r="D35" s="2" t="s">
        <v>227</v>
      </c>
      <c r="E35" s="2" t="s">
        <v>218</v>
      </c>
      <c r="F35" s="2" t="s">
        <v>228</v>
      </c>
      <c r="G35" s="3" t="s">
        <v>49</v>
      </c>
      <c r="H35" s="2" t="s">
        <v>229</v>
      </c>
      <c r="I35" s="2" t="s">
        <v>51</v>
      </c>
      <c r="J35" s="2" t="s">
        <v>52</v>
      </c>
      <c r="K35" s="2" t="s">
        <v>53</v>
      </c>
      <c r="L35" s="2" t="s">
        <v>53</v>
      </c>
      <c r="M35" s="2" t="s">
        <v>230</v>
      </c>
      <c r="N35" s="2" t="s">
        <v>53</v>
      </c>
      <c r="O35" s="2" t="s">
        <v>231</v>
      </c>
    </row>
    <row r="36" spans="1:15" ht="38.25" x14ac:dyDescent="0.25">
      <c r="A36" s="2" t="s">
        <v>232</v>
      </c>
      <c r="B36" s="2" t="s">
        <v>16</v>
      </c>
      <c r="C36" s="2" t="s">
        <v>204</v>
      </c>
      <c r="D36" s="2" t="s">
        <v>233</v>
      </c>
      <c r="E36" s="2" t="s">
        <v>117</v>
      </c>
      <c r="F36" s="2" t="s">
        <v>136</v>
      </c>
      <c r="G36" s="3" t="s">
        <v>21</v>
      </c>
      <c r="H36" s="2" t="s">
        <v>234</v>
      </c>
      <c r="I36" s="2" t="s">
        <v>23</v>
      </c>
      <c r="J36" s="2" t="s">
        <v>24</v>
      </c>
      <c r="K36" s="2" t="s">
        <v>25</v>
      </c>
      <c r="L36" s="2" t="s">
        <v>26</v>
      </c>
      <c r="M36" s="2" t="s">
        <v>27</v>
      </c>
      <c r="N36" s="2" t="s">
        <v>28</v>
      </c>
      <c r="O36" s="2"/>
    </row>
    <row r="37" spans="1:15" ht="38.25" x14ac:dyDescent="0.25">
      <c r="A37" s="2" t="s">
        <v>235</v>
      </c>
      <c r="B37" s="2" t="s">
        <v>16</v>
      </c>
      <c r="C37" s="2" t="s">
        <v>204</v>
      </c>
      <c r="D37" s="2" t="s">
        <v>236</v>
      </c>
      <c r="E37" s="2" t="s">
        <v>237</v>
      </c>
      <c r="F37" s="2" t="s">
        <v>136</v>
      </c>
      <c r="G37" s="3" t="s">
        <v>21</v>
      </c>
      <c r="H37" s="2" t="s">
        <v>238</v>
      </c>
      <c r="I37" s="2" t="s">
        <v>23</v>
      </c>
      <c r="J37" s="2" t="s">
        <v>24</v>
      </c>
      <c r="K37" s="2" t="s">
        <v>25</v>
      </c>
      <c r="L37" s="2" t="s">
        <v>26</v>
      </c>
      <c r="M37" s="2" t="s">
        <v>27</v>
      </c>
      <c r="N37" s="2" t="s">
        <v>28</v>
      </c>
      <c r="O37" s="2"/>
    </row>
    <row r="38" spans="1:15" ht="38.25" x14ac:dyDescent="0.25">
      <c r="A38" s="2" t="s">
        <v>239</v>
      </c>
      <c r="B38" s="2" t="s">
        <v>16</v>
      </c>
      <c r="C38" s="2" t="s">
        <v>204</v>
      </c>
      <c r="D38" s="2" t="s">
        <v>240</v>
      </c>
      <c r="E38" s="2" t="s">
        <v>187</v>
      </c>
      <c r="F38" s="2" t="s">
        <v>241</v>
      </c>
      <c r="G38" s="3" t="s">
        <v>49</v>
      </c>
      <c r="H38" s="2" t="s">
        <v>242</v>
      </c>
      <c r="I38" s="2" t="s">
        <v>51</v>
      </c>
      <c r="J38" s="2" t="s">
        <v>52</v>
      </c>
      <c r="K38" s="2" t="s">
        <v>53</v>
      </c>
      <c r="L38" s="2" t="s">
        <v>53</v>
      </c>
      <c r="M38" s="2" t="s">
        <v>61</v>
      </c>
      <c r="N38" s="2" t="s">
        <v>53</v>
      </c>
      <c r="O38" s="2"/>
    </row>
    <row r="39" spans="1:15" ht="38.25" x14ac:dyDescent="0.25">
      <c r="A39" s="2" t="s">
        <v>243</v>
      </c>
      <c r="B39" s="2" t="s">
        <v>16</v>
      </c>
      <c r="C39" s="2" t="s">
        <v>204</v>
      </c>
      <c r="D39" s="2" t="s">
        <v>244</v>
      </c>
      <c r="E39" s="2" t="s">
        <v>187</v>
      </c>
      <c r="F39" s="2" t="s">
        <v>245</v>
      </c>
      <c r="G39" s="3" t="s">
        <v>49</v>
      </c>
      <c r="H39" s="2" t="s">
        <v>246</v>
      </c>
      <c r="I39" s="2" t="s">
        <v>51</v>
      </c>
      <c r="J39" s="2" t="s">
        <v>52</v>
      </c>
      <c r="K39" s="2" t="s">
        <v>53</v>
      </c>
      <c r="L39" s="2" t="s">
        <v>53</v>
      </c>
      <c r="M39" s="2" t="s">
        <v>247</v>
      </c>
      <c r="N39" s="2" t="s">
        <v>53</v>
      </c>
      <c r="O39" s="2"/>
    </row>
    <row r="40" spans="1:15" ht="38.25" x14ac:dyDescent="0.25">
      <c r="A40" s="2" t="s">
        <v>248</v>
      </c>
      <c r="B40" s="2" t="s">
        <v>16</v>
      </c>
      <c r="C40" s="2" t="s">
        <v>249</v>
      </c>
      <c r="D40" s="2" t="s">
        <v>250</v>
      </c>
      <c r="E40" s="2" t="s">
        <v>117</v>
      </c>
      <c r="F40" s="2" t="s">
        <v>251</v>
      </c>
      <c r="G40" s="3" t="s">
        <v>21</v>
      </c>
      <c r="H40" s="2" t="s">
        <v>252</v>
      </c>
      <c r="I40" s="2" t="s">
        <v>253</v>
      </c>
      <c r="J40" s="2" t="s">
        <v>254</v>
      </c>
      <c r="K40" s="2" t="s">
        <v>255</v>
      </c>
      <c r="L40" s="2" t="s">
        <v>147</v>
      </c>
      <c r="M40" s="2" t="s">
        <v>256</v>
      </c>
      <c r="N40" s="2" t="s">
        <v>28</v>
      </c>
      <c r="O40" s="2"/>
    </row>
    <row r="41" spans="1:15" ht="51" x14ac:dyDescent="0.25">
      <c r="A41" s="2" t="s">
        <v>257</v>
      </c>
      <c r="B41" s="2" t="s">
        <v>16</v>
      </c>
      <c r="C41" s="2" t="s">
        <v>249</v>
      </c>
      <c r="D41" s="2" t="s">
        <v>258</v>
      </c>
      <c r="E41" s="2" t="s">
        <v>117</v>
      </c>
      <c r="F41" s="2" t="s">
        <v>259</v>
      </c>
      <c r="G41" s="3" t="s">
        <v>21</v>
      </c>
      <c r="H41" s="2" t="s">
        <v>260</v>
      </c>
      <c r="I41" s="2" t="s">
        <v>253</v>
      </c>
      <c r="J41" s="2" t="s">
        <v>254</v>
      </c>
      <c r="K41" s="2" t="s">
        <v>255</v>
      </c>
      <c r="L41" s="2" t="s">
        <v>147</v>
      </c>
      <c r="M41" s="2" t="s">
        <v>256</v>
      </c>
      <c r="N41" s="2" t="s">
        <v>28</v>
      </c>
      <c r="O41" s="2"/>
    </row>
    <row r="42" spans="1:15" ht="51" x14ac:dyDescent="0.25">
      <c r="A42" s="2" t="s">
        <v>261</v>
      </c>
      <c r="B42" s="2" t="s">
        <v>16</v>
      </c>
      <c r="C42" s="2" t="s">
        <v>249</v>
      </c>
      <c r="D42" s="2" t="s">
        <v>262</v>
      </c>
      <c r="E42" s="2" t="s">
        <v>263</v>
      </c>
      <c r="F42" s="2" t="s">
        <v>264</v>
      </c>
      <c r="G42" s="3" t="s">
        <v>49</v>
      </c>
      <c r="H42" s="2" t="s">
        <v>265</v>
      </c>
      <c r="I42" s="2" t="s">
        <v>51</v>
      </c>
      <c r="J42" s="2" t="s">
        <v>52</v>
      </c>
      <c r="K42" s="2" t="s">
        <v>53</v>
      </c>
      <c r="L42" s="2" t="s">
        <v>53</v>
      </c>
      <c r="M42" s="2" t="s">
        <v>61</v>
      </c>
      <c r="N42" s="2" t="s">
        <v>53</v>
      </c>
      <c r="O42" s="2"/>
    </row>
    <row r="43" spans="1:15" ht="51" x14ac:dyDescent="0.25">
      <c r="A43" s="2" t="s">
        <v>266</v>
      </c>
      <c r="B43" s="2" t="s">
        <v>16</v>
      </c>
      <c r="C43" s="2" t="s">
        <v>249</v>
      </c>
      <c r="D43" s="2" t="s">
        <v>267</v>
      </c>
      <c r="E43" s="2" t="s">
        <v>263</v>
      </c>
      <c r="F43" s="2" t="s">
        <v>251</v>
      </c>
      <c r="G43" s="3" t="s">
        <v>49</v>
      </c>
      <c r="H43" s="2" t="s">
        <v>265</v>
      </c>
      <c r="I43" s="2" t="s">
        <v>51</v>
      </c>
      <c r="J43" s="2" t="s">
        <v>52</v>
      </c>
      <c r="K43" s="2" t="s">
        <v>53</v>
      </c>
      <c r="L43" s="2" t="s">
        <v>53</v>
      </c>
      <c r="M43" s="2" t="s">
        <v>61</v>
      </c>
      <c r="N43" s="2" t="s">
        <v>53</v>
      </c>
      <c r="O43" s="2"/>
    </row>
    <row r="44" spans="1:15" ht="38.25" x14ac:dyDescent="0.25">
      <c r="A44" s="2" t="s">
        <v>268</v>
      </c>
      <c r="B44" s="2" t="s">
        <v>16</v>
      </c>
      <c r="C44" s="2" t="s">
        <v>249</v>
      </c>
      <c r="D44" s="2" t="s">
        <v>269</v>
      </c>
      <c r="E44" s="2" t="s">
        <v>270</v>
      </c>
      <c r="F44" s="2" t="s">
        <v>251</v>
      </c>
      <c r="G44" s="3" t="s">
        <v>49</v>
      </c>
      <c r="H44" s="2" t="s">
        <v>265</v>
      </c>
      <c r="I44" s="2" t="s">
        <v>51</v>
      </c>
      <c r="J44" s="2" t="s">
        <v>52</v>
      </c>
      <c r="K44" s="2" t="s">
        <v>53</v>
      </c>
      <c r="L44" s="2" t="s">
        <v>53</v>
      </c>
      <c r="M44" s="2" t="s">
        <v>61</v>
      </c>
      <c r="N44" s="2" t="s">
        <v>53</v>
      </c>
      <c r="O44" s="2"/>
    </row>
    <row r="45" spans="1:15" ht="51" x14ac:dyDescent="0.25">
      <c r="A45" s="2" t="s">
        <v>271</v>
      </c>
      <c r="B45" s="2" t="s">
        <v>16</v>
      </c>
      <c r="C45" s="2" t="s">
        <v>249</v>
      </c>
      <c r="D45" s="2" t="s">
        <v>272</v>
      </c>
      <c r="E45" s="2" t="s">
        <v>263</v>
      </c>
      <c r="F45" s="2" t="s">
        <v>251</v>
      </c>
      <c r="G45" s="3" t="s">
        <v>21</v>
      </c>
      <c r="H45" s="2" t="s">
        <v>273</v>
      </c>
      <c r="I45" s="2" t="s">
        <v>253</v>
      </c>
      <c r="J45" s="2" t="s">
        <v>254</v>
      </c>
      <c r="K45" s="2" t="s">
        <v>255</v>
      </c>
      <c r="L45" s="2" t="s">
        <v>147</v>
      </c>
      <c r="M45" s="2" t="s">
        <v>256</v>
      </c>
      <c r="N45" s="2" t="s">
        <v>28</v>
      </c>
      <c r="O45" s="2"/>
    </row>
    <row r="46" spans="1:15" ht="51" x14ac:dyDescent="0.25">
      <c r="A46" s="2" t="s">
        <v>274</v>
      </c>
      <c r="B46" s="2" t="s">
        <v>16</v>
      </c>
      <c r="C46" s="2" t="s">
        <v>249</v>
      </c>
      <c r="D46" s="2" t="s">
        <v>275</v>
      </c>
      <c r="E46" s="2" t="s">
        <v>270</v>
      </c>
      <c r="F46" s="2" t="s">
        <v>251</v>
      </c>
      <c r="G46" s="3" t="s">
        <v>21</v>
      </c>
      <c r="H46" s="2" t="s">
        <v>276</v>
      </c>
      <c r="I46" s="2" t="s">
        <v>253</v>
      </c>
      <c r="J46" s="2" t="s">
        <v>254</v>
      </c>
      <c r="K46" s="2" t="s">
        <v>255</v>
      </c>
      <c r="L46" s="2" t="s">
        <v>147</v>
      </c>
      <c r="M46" s="2" t="s">
        <v>256</v>
      </c>
      <c r="N46" s="2" t="s">
        <v>28</v>
      </c>
      <c r="O46" s="2"/>
    </row>
    <row r="47" spans="1:15" ht="38.25" x14ac:dyDescent="0.25">
      <c r="A47" s="2" t="s">
        <v>277</v>
      </c>
      <c r="B47" s="2" t="s">
        <v>16</v>
      </c>
      <c r="C47" s="2" t="s">
        <v>249</v>
      </c>
      <c r="D47" s="2" t="s">
        <v>278</v>
      </c>
      <c r="E47" s="2" t="s">
        <v>270</v>
      </c>
      <c r="F47" s="2" t="s">
        <v>251</v>
      </c>
      <c r="G47" s="3" t="s">
        <v>49</v>
      </c>
      <c r="H47" s="2" t="s">
        <v>265</v>
      </c>
      <c r="I47" s="2" t="s">
        <v>51</v>
      </c>
      <c r="J47" s="2" t="s">
        <v>52</v>
      </c>
      <c r="K47" s="2" t="s">
        <v>53</v>
      </c>
      <c r="L47" s="2" t="s">
        <v>53</v>
      </c>
      <c r="M47" s="2" t="s">
        <v>61</v>
      </c>
      <c r="N47" s="2" t="s">
        <v>53</v>
      </c>
      <c r="O47" s="2"/>
    </row>
    <row r="48" spans="1:15" ht="76.5" x14ac:dyDescent="0.25">
      <c r="A48" s="2" t="s">
        <v>279</v>
      </c>
      <c r="B48" s="2" t="s">
        <v>16</v>
      </c>
      <c r="C48" s="2" t="s">
        <v>249</v>
      </c>
      <c r="D48" s="2" t="s">
        <v>280</v>
      </c>
      <c r="E48" s="2" t="s">
        <v>263</v>
      </c>
      <c r="F48" s="2" t="s">
        <v>251</v>
      </c>
      <c r="G48" s="3" t="s">
        <v>21</v>
      </c>
      <c r="H48" s="2" t="s">
        <v>281</v>
      </c>
      <c r="I48" s="2" t="s">
        <v>253</v>
      </c>
      <c r="J48" s="2" t="s">
        <v>254</v>
      </c>
      <c r="K48" s="2" t="s">
        <v>255</v>
      </c>
      <c r="L48" s="2" t="s">
        <v>147</v>
      </c>
      <c r="M48" s="2" t="s">
        <v>256</v>
      </c>
      <c r="N48" s="2" t="s">
        <v>28</v>
      </c>
      <c r="O48" s="2"/>
    </row>
    <row r="49" spans="1:15" ht="38.25" x14ac:dyDescent="0.25">
      <c r="A49" s="2" t="s">
        <v>282</v>
      </c>
      <c r="B49" s="2" t="s">
        <v>16</v>
      </c>
      <c r="C49" s="2" t="s">
        <v>249</v>
      </c>
      <c r="D49" s="2" t="s">
        <v>283</v>
      </c>
      <c r="E49" s="2" t="s">
        <v>284</v>
      </c>
      <c r="F49" s="2" t="s">
        <v>251</v>
      </c>
      <c r="G49" s="3" t="s">
        <v>49</v>
      </c>
      <c r="H49" s="2" t="s">
        <v>265</v>
      </c>
      <c r="I49" s="2" t="s">
        <v>51</v>
      </c>
      <c r="J49" s="2" t="s">
        <v>52</v>
      </c>
      <c r="K49" s="2" t="s">
        <v>53</v>
      </c>
      <c r="L49" s="2" t="s">
        <v>53</v>
      </c>
      <c r="M49" s="2" t="s">
        <v>61</v>
      </c>
      <c r="N49" s="2" t="s">
        <v>53</v>
      </c>
      <c r="O49" s="2"/>
    </row>
    <row r="50" spans="1:15" ht="38.25" x14ac:dyDescent="0.25">
      <c r="A50" s="2" t="s">
        <v>285</v>
      </c>
      <c r="B50" s="2" t="s">
        <v>16</v>
      </c>
      <c r="C50" s="2" t="s">
        <v>249</v>
      </c>
      <c r="D50" s="2" t="s">
        <v>286</v>
      </c>
      <c r="E50" s="2" t="s">
        <v>263</v>
      </c>
      <c r="F50" s="2" t="s">
        <v>259</v>
      </c>
      <c r="G50" s="3" t="s">
        <v>49</v>
      </c>
      <c r="H50" s="2" t="s">
        <v>265</v>
      </c>
      <c r="I50" s="2" t="s">
        <v>51</v>
      </c>
      <c r="J50" s="2" t="s">
        <v>52</v>
      </c>
      <c r="K50" s="2" t="s">
        <v>53</v>
      </c>
      <c r="L50" s="2" t="s">
        <v>53</v>
      </c>
      <c r="M50" s="2" t="s">
        <v>61</v>
      </c>
      <c r="N50" s="2" t="s">
        <v>53</v>
      </c>
      <c r="O50" s="2"/>
    </row>
    <row r="51" spans="1:15" ht="38.25" x14ac:dyDescent="0.25">
      <c r="A51" s="2" t="s">
        <v>287</v>
      </c>
      <c r="B51" s="2" t="s">
        <v>16</v>
      </c>
      <c r="C51" s="2" t="s">
        <v>249</v>
      </c>
      <c r="D51" s="2" t="s">
        <v>288</v>
      </c>
      <c r="E51" s="2" t="s">
        <v>289</v>
      </c>
      <c r="F51" s="2" t="s">
        <v>259</v>
      </c>
      <c r="G51" s="3" t="s">
        <v>49</v>
      </c>
      <c r="H51" s="2" t="s">
        <v>265</v>
      </c>
      <c r="I51" s="2" t="s">
        <v>51</v>
      </c>
      <c r="J51" s="2" t="s">
        <v>52</v>
      </c>
      <c r="K51" s="2" t="s">
        <v>53</v>
      </c>
      <c r="L51" s="2" t="s">
        <v>53</v>
      </c>
      <c r="M51" s="2" t="s">
        <v>61</v>
      </c>
      <c r="N51" s="2" t="s">
        <v>53</v>
      </c>
      <c r="O51" s="2"/>
    </row>
    <row r="52" spans="1:15" ht="38.25" x14ac:dyDescent="0.25">
      <c r="A52" s="2" t="s">
        <v>290</v>
      </c>
      <c r="B52" s="2" t="s">
        <v>16</v>
      </c>
      <c r="C52" s="2" t="s">
        <v>249</v>
      </c>
      <c r="D52" s="2" t="s">
        <v>291</v>
      </c>
      <c r="E52" s="2" t="s">
        <v>270</v>
      </c>
      <c r="F52" s="2" t="s">
        <v>259</v>
      </c>
      <c r="G52" s="3" t="s">
        <v>49</v>
      </c>
      <c r="H52" s="2" t="s">
        <v>265</v>
      </c>
      <c r="I52" s="2" t="s">
        <v>51</v>
      </c>
      <c r="J52" s="2" t="s">
        <v>52</v>
      </c>
      <c r="K52" s="2" t="s">
        <v>53</v>
      </c>
      <c r="L52" s="2" t="s">
        <v>53</v>
      </c>
      <c r="M52" s="2" t="s">
        <v>61</v>
      </c>
      <c r="N52" s="2" t="s">
        <v>53</v>
      </c>
      <c r="O52" s="2"/>
    </row>
    <row r="53" spans="1:15" ht="38.25" x14ac:dyDescent="0.25">
      <c r="A53" s="2" t="s">
        <v>292</v>
      </c>
      <c r="B53" s="2" t="s">
        <v>16</v>
      </c>
      <c r="C53" s="2" t="s">
        <v>249</v>
      </c>
      <c r="D53" s="2" t="s">
        <v>293</v>
      </c>
      <c r="E53" s="2" t="s">
        <v>263</v>
      </c>
      <c r="F53" s="2" t="s">
        <v>259</v>
      </c>
      <c r="G53" s="3" t="s">
        <v>21</v>
      </c>
      <c r="H53" s="2" t="s">
        <v>294</v>
      </c>
      <c r="I53" s="2" t="s">
        <v>253</v>
      </c>
      <c r="J53" s="2" t="s">
        <v>254</v>
      </c>
      <c r="K53" s="2" t="s">
        <v>255</v>
      </c>
      <c r="L53" s="2" t="s">
        <v>147</v>
      </c>
      <c r="M53" s="2" t="s">
        <v>256</v>
      </c>
      <c r="N53" s="2" t="s">
        <v>28</v>
      </c>
      <c r="O53" s="2"/>
    </row>
    <row r="54" spans="1:15" ht="51" x14ac:dyDescent="0.25">
      <c r="A54" s="2" t="s">
        <v>295</v>
      </c>
      <c r="B54" s="2" t="s">
        <v>16</v>
      </c>
      <c r="C54" s="2" t="s">
        <v>249</v>
      </c>
      <c r="D54" s="2" t="s">
        <v>296</v>
      </c>
      <c r="E54" s="2" t="s">
        <v>270</v>
      </c>
      <c r="F54" s="2" t="s">
        <v>259</v>
      </c>
      <c r="G54" s="3" t="s">
        <v>21</v>
      </c>
      <c r="H54" s="2" t="s">
        <v>297</v>
      </c>
      <c r="I54" s="2" t="s">
        <v>253</v>
      </c>
      <c r="J54" s="2" t="s">
        <v>254</v>
      </c>
      <c r="K54" s="2" t="s">
        <v>255</v>
      </c>
      <c r="L54" s="2" t="s">
        <v>147</v>
      </c>
      <c r="M54" s="2" t="s">
        <v>256</v>
      </c>
      <c r="N54" s="2" t="s">
        <v>28</v>
      </c>
      <c r="O54" s="2"/>
    </row>
    <row r="55" spans="1:15" ht="38.25" x14ac:dyDescent="0.25">
      <c r="A55" s="2" t="s">
        <v>298</v>
      </c>
      <c r="B55" s="2" t="s">
        <v>16</v>
      </c>
      <c r="C55" s="2" t="s">
        <v>249</v>
      </c>
      <c r="D55" s="2" t="s">
        <v>299</v>
      </c>
      <c r="E55" s="2" t="s">
        <v>270</v>
      </c>
      <c r="F55" s="2" t="s">
        <v>259</v>
      </c>
      <c r="G55" s="3" t="s">
        <v>49</v>
      </c>
      <c r="H55" s="2" t="s">
        <v>265</v>
      </c>
      <c r="I55" s="2" t="s">
        <v>51</v>
      </c>
      <c r="J55" s="2" t="s">
        <v>52</v>
      </c>
      <c r="K55" s="2" t="s">
        <v>53</v>
      </c>
      <c r="L55" s="2" t="s">
        <v>53</v>
      </c>
      <c r="M55" s="2" t="s">
        <v>61</v>
      </c>
      <c r="N55" s="2" t="s">
        <v>53</v>
      </c>
      <c r="O55" s="2"/>
    </row>
    <row r="56" spans="1:15" ht="51" x14ac:dyDescent="0.25">
      <c r="A56" s="2" t="s">
        <v>300</v>
      </c>
      <c r="B56" s="2" t="s">
        <v>16</v>
      </c>
      <c r="C56" s="2" t="s">
        <v>249</v>
      </c>
      <c r="D56" s="2" t="s">
        <v>301</v>
      </c>
      <c r="E56" s="2" t="s">
        <v>263</v>
      </c>
      <c r="F56" s="2" t="s">
        <v>259</v>
      </c>
      <c r="G56" s="3" t="s">
        <v>21</v>
      </c>
      <c r="H56" s="2" t="s">
        <v>302</v>
      </c>
      <c r="I56" s="2" t="s">
        <v>253</v>
      </c>
      <c r="J56" s="2" t="s">
        <v>254</v>
      </c>
      <c r="K56" s="2" t="s">
        <v>255</v>
      </c>
      <c r="L56" s="2" t="s">
        <v>147</v>
      </c>
      <c r="M56" s="2" t="s">
        <v>256</v>
      </c>
      <c r="N56" s="2" t="s">
        <v>28</v>
      </c>
      <c r="O56" s="2"/>
    </row>
    <row r="57" spans="1:15" ht="51" x14ac:dyDescent="0.25">
      <c r="A57" s="2" t="s">
        <v>303</v>
      </c>
      <c r="B57" s="2" t="s">
        <v>16</v>
      </c>
      <c r="C57" s="2" t="s">
        <v>249</v>
      </c>
      <c r="D57" s="2" t="s">
        <v>304</v>
      </c>
      <c r="E57" s="2" t="s">
        <v>305</v>
      </c>
      <c r="F57" s="2" t="s">
        <v>306</v>
      </c>
      <c r="G57" s="3" t="s">
        <v>49</v>
      </c>
      <c r="H57" s="2" t="s">
        <v>265</v>
      </c>
      <c r="I57" s="2" t="s">
        <v>51</v>
      </c>
      <c r="J57" s="2" t="s">
        <v>52</v>
      </c>
      <c r="K57" s="2" t="s">
        <v>53</v>
      </c>
      <c r="L57" s="2" t="s">
        <v>53</v>
      </c>
      <c r="M57" s="2" t="s">
        <v>61</v>
      </c>
      <c r="N57" s="2" t="s">
        <v>53</v>
      </c>
      <c r="O57" s="2"/>
    </row>
    <row r="58" spans="1:15" ht="51" x14ac:dyDescent="0.25">
      <c r="A58" s="2" t="s">
        <v>307</v>
      </c>
      <c r="B58" s="2" t="s">
        <v>16</v>
      </c>
      <c r="C58" s="2" t="s">
        <v>249</v>
      </c>
      <c r="D58" s="2" t="s">
        <v>308</v>
      </c>
      <c r="E58" s="2" t="s">
        <v>309</v>
      </c>
      <c r="F58" s="2" t="s">
        <v>310</v>
      </c>
      <c r="G58" s="3" t="s">
        <v>49</v>
      </c>
      <c r="H58" s="2" t="s">
        <v>265</v>
      </c>
      <c r="I58" s="2" t="s">
        <v>51</v>
      </c>
      <c r="J58" s="2" t="s">
        <v>52</v>
      </c>
      <c r="K58" s="2" t="s">
        <v>53</v>
      </c>
      <c r="L58" s="2" t="s">
        <v>53</v>
      </c>
      <c r="M58" s="2" t="s">
        <v>61</v>
      </c>
      <c r="N58" s="2" t="s">
        <v>53</v>
      </c>
      <c r="O58" s="2"/>
    </row>
    <row r="59" spans="1:15" ht="51" x14ac:dyDescent="0.25">
      <c r="A59" s="2" t="s">
        <v>311</v>
      </c>
      <c r="B59" s="2" t="s">
        <v>16</v>
      </c>
      <c r="C59" s="2" t="s">
        <v>249</v>
      </c>
      <c r="D59" s="2" t="s">
        <v>312</v>
      </c>
      <c r="E59" s="2" t="s">
        <v>313</v>
      </c>
      <c r="F59" s="2" t="s">
        <v>314</v>
      </c>
      <c r="G59" s="3" t="s">
        <v>49</v>
      </c>
      <c r="H59" s="2" t="s">
        <v>315</v>
      </c>
      <c r="I59" s="2" t="s">
        <v>51</v>
      </c>
      <c r="J59" s="2" t="s">
        <v>52</v>
      </c>
      <c r="K59" s="2" t="s">
        <v>53</v>
      </c>
      <c r="L59" s="2" t="s">
        <v>53</v>
      </c>
      <c r="M59" s="2" t="s">
        <v>61</v>
      </c>
      <c r="N59" s="2" t="s">
        <v>53</v>
      </c>
      <c r="O59" s="2"/>
    </row>
    <row r="60" spans="1:15" ht="51" x14ac:dyDescent="0.25">
      <c r="A60" s="2" t="s">
        <v>316</v>
      </c>
      <c r="B60" s="2" t="s">
        <v>16</v>
      </c>
      <c r="C60" s="2" t="s">
        <v>249</v>
      </c>
      <c r="D60" s="2" t="s">
        <v>317</v>
      </c>
      <c r="E60" s="2" t="s">
        <v>318</v>
      </c>
      <c r="F60" s="2" t="s">
        <v>314</v>
      </c>
      <c r="G60" s="3" t="s">
        <v>49</v>
      </c>
      <c r="H60" s="2" t="s">
        <v>315</v>
      </c>
      <c r="I60" s="2" t="s">
        <v>51</v>
      </c>
      <c r="J60" s="2" t="s">
        <v>52</v>
      </c>
      <c r="K60" s="2" t="s">
        <v>53</v>
      </c>
      <c r="L60" s="2" t="s">
        <v>53</v>
      </c>
      <c r="M60" s="2" t="s">
        <v>61</v>
      </c>
      <c r="N60" s="2" t="s">
        <v>53</v>
      </c>
      <c r="O60" s="2"/>
    </row>
    <row r="61" spans="1:15" ht="38.25" x14ac:dyDescent="0.25">
      <c r="A61" s="2" t="s">
        <v>319</v>
      </c>
      <c r="B61" s="2" t="s">
        <v>16</v>
      </c>
      <c r="C61" s="2" t="s">
        <v>249</v>
      </c>
      <c r="D61" s="2" t="s">
        <v>320</v>
      </c>
      <c r="E61" s="2" t="s">
        <v>321</v>
      </c>
      <c r="F61" s="2" t="s">
        <v>314</v>
      </c>
      <c r="G61" s="3" t="s">
        <v>49</v>
      </c>
      <c r="H61" s="2" t="s">
        <v>322</v>
      </c>
      <c r="I61" s="2" t="s">
        <v>51</v>
      </c>
      <c r="J61" s="2" t="s">
        <v>52</v>
      </c>
      <c r="K61" s="2" t="s">
        <v>53</v>
      </c>
      <c r="L61" s="2" t="s">
        <v>53</v>
      </c>
      <c r="M61" s="2" t="s">
        <v>61</v>
      </c>
      <c r="N61" s="2" t="s">
        <v>53</v>
      </c>
      <c r="O61" s="2"/>
    </row>
    <row r="62" spans="1:15" ht="51" x14ac:dyDescent="0.25">
      <c r="A62" s="2" t="s">
        <v>323</v>
      </c>
      <c r="B62" s="2" t="s">
        <v>16</v>
      </c>
      <c r="C62" s="2" t="s">
        <v>324</v>
      </c>
      <c r="D62" s="2" t="s">
        <v>325</v>
      </c>
      <c r="E62" s="2" t="s">
        <v>187</v>
      </c>
      <c r="F62" s="2" t="s">
        <v>326</v>
      </c>
      <c r="G62" s="3" t="s">
        <v>85</v>
      </c>
      <c r="H62" s="2" t="s">
        <v>327</v>
      </c>
      <c r="I62" s="2" t="s">
        <v>160</v>
      </c>
      <c r="J62" s="2" t="s">
        <v>161</v>
      </c>
      <c r="K62" s="2" t="s">
        <v>162</v>
      </c>
      <c r="L62" s="2" t="s">
        <v>163</v>
      </c>
      <c r="M62" s="2" t="s">
        <v>164</v>
      </c>
      <c r="N62" s="2" t="s">
        <v>77</v>
      </c>
      <c r="O62" s="2"/>
    </row>
    <row r="63" spans="1:15" ht="51" x14ac:dyDescent="0.25">
      <c r="A63" s="2" t="s">
        <v>328</v>
      </c>
      <c r="B63" s="2" t="s">
        <v>16</v>
      </c>
      <c r="C63" s="2" t="s">
        <v>324</v>
      </c>
      <c r="D63" s="2" t="s">
        <v>329</v>
      </c>
      <c r="E63" s="2" t="s">
        <v>187</v>
      </c>
      <c r="F63" s="2" t="s">
        <v>326</v>
      </c>
      <c r="G63" s="3" t="s">
        <v>70</v>
      </c>
      <c r="H63" s="2" t="s">
        <v>330</v>
      </c>
      <c r="I63" s="2" t="s">
        <v>160</v>
      </c>
      <c r="J63" s="2" t="s">
        <v>161</v>
      </c>
      <c r="K63" s="2" t="s">
        <v>162</v>
      </c>
      <c r="L63" s="2" t="s">
        <v>163</v>
      </c>
      <c r="M63" s="2" t="s">
        <v>164</v>
      </c>
      <c r="N63" s="2" t="s">
        <v>77</v>
      </c>
      <c r="O63" s="2"/>
    </row>
    <row r="64" spans="1:15" ht="51" x14ac:dyDescent="0.25">
      <c r="A64" s="2" t="s">
        <v>331</v>
      </c>
      <c r="B64" s="2" t="s">
        <v>16</v>
      </c>
      <c r="C64" s="2" t="s">
        <v>332</v>
      </c>
      <c r="D64" s="2" t="s">
        <v>333</v>
      </c>
      <c r="E64" s="2" t="s">
        <v>334</v>
      </c>
      <c r="F64" s="2" t="s">
        <v>335</v>
      </c>
      <c r="G64" s="3" t="s">
        <v>49</v>
      </c>
      <c r="H64" s="2" t="s">
        <v>336</v>
      </c>
      <c r="I64" s="2" t="s">
        <v>51</v>
      </c>
      <c r="J64" s="2" t="s">
        <v>52</v>
      </c>
      <c r="K64" s="2" t="s">
        <v>53</v>
      </c>
      <c r="L64" s="2" t="s">
        <v>53</v>
      </c>
      <c r="M64" s="2" t="s">
        <v>54</v>
      </c>
      <c r="N64" s="2" t="s">
        <v>53</v>
      </c>
      <c r="O64" s="2"/>
    </row>
    <row r="65" spans="1:15" ht="51" x14ac:dyDescent="0.25">
      <c r="A65" s="2" t="s">
        <v>337</v>
      </c>
      <c r="B65" s="2" t="s">
        <v>16</v>
      </c>
      <c r="C65" s="2" t="s">
        <v>332</v>
      </c>
      <c r="D65" s="2" t="s">
        <v>338</v>
      </c>
      <c r="E65" s="2" t="s">
        <v>334</v>
      </c>
      <c r="F65" s="2" t="s">
        <v>335</v>
      </c>
      <c r="G65" s="3" t="s">
        <v>49</v>
      </c>
      <c r="H65" s="2" t="s">
        <v>336</v>
      </c>
      <c r="I65" s="2" t="s">
        <v>51</v>
      </c>
      <c r="J65" s="2" t="s">
        <v>52</v>
      </c>
      <c r="K65" s="2" t="s">
        <v>53</v>
      </c>
      <c r="L65" s="2" t="s">
        <v>53</v>
      </c>
      <c r="M65" s="2" t="s">
        <v>54</v>
      </c>
      <c r="N65" s="2" t="s">
        <v>53</v>
      </c>
      <c r="O65" s="2"/>
    </row>
    <row r="66" spans="1:15" ht="51" x14ac:dyDescent="0.25">
      <c r="A66" s="2" t="s">
        <v>339</v>
      </c>
      <c r="B66" s="2" t="s">
        <v>16</v>
      </c>
      <c r="C66" s="2" t="s">
        <v>332</v>
      </c>
      <c r="D66" s="2" t="s">
        <v>340</v>
      </c>
      <c r="E66" s="2" t="s">
        <v>341</v>
      </c>
      <c r="F66" s="2" t="s">
        <v>335</v>
      </c>
      <c r="G66" s="3" t="s">
        <v>49</v>
      </c>
      <c r="H66" s="2" t="s">
        <v>336</v>
      </c>
      <c r="I66" s="2" t="s">
        <v>51</v>
      </c>
      <c r="J66" s="2" t="s">
        <v>52</v>
      </c>
      <c r="K66" s="2" t="s">
        <v>53</v>
      </c>
      <c r="L66" s="2" t="s">
        <v>53</v>
      </c>
      <c r="M66" s="2" t="s">
        <v>54</v>
      </c>
      <c r="N66" s="2" t="s">
        <v>53</v>
      </c>
      <c r="O66" s="2"/>
    </row>
    <row r="67" spans="1:15" ht="38.25" x14ac:dyDescent="0.25">
      <c r="A67" s="2" t="s">
        <v>342</v>
      </c>
      <c r="B67" s="2" t="s">
        <v>16</v>
      </c>
      <c r="C67" s="2" t="s">
        <v>332</v>
      </c>
      <c r="D67" s="2" t="s">
        <v>343</v>
      </c>
      <c r="E67" s="2" t="s">
        <v>344</v>
      </c>
      <c r="F67" s="2" t="s">
        <v>192</v>
      </c>
      <c r="G67" s="3" t="s">
        <v>49</v>
      </c>
      <c r="H67" s="2" t="s">
        <v>345</v>
      </c>
      <c r="I67" s="2" t="s">
        <v>51</v>
      </c>
      <c r="J67" s="2" t="s">
        <v>52</v>
      </c>
      <c r="K67" s="2" t="s">
        <v>53</v>
      </c>
      <c r="L67" s="2" t="s">
        <v>53</v>
      </c>
      <c r="M67" s="2" t="s">
        <v>54</v>
      </c>
      <c r="N67" s="2" t="s">
        <v>53</v>
      </c>
      <c r="O67" s="2" t="s">
        <v>346</v>
      </c>
    </row>
    <row r="68" spans="1:15" ht="38.25" x14ac:dyDescent="0.25">
      <c r="A68" s="2" t="s">
        <v>347</v>
      </c>
      <c r="B68" s="2" t="s">
        <v>16</v>
      </c>
      <c r="C68" s="2" t="s">
        <v>348</v>
      </c>
      <c r="D68" s="2" t="s">
        <v>349</v>
      </c>
      <c r="E68" s="2" t="s">
        <v>350</v>
      </c>
      <c r="F68" s="2" t="s">
        <v>192</v>
      </c>
      <c r="G68" s="3" t="s">
        <v>49</v>
      </c>
      <c r="H68" s="2" t="s">
        <v>50</v>
      </c>
      <c r="I68" s="2" t="s">
        <v>51</v>
      </c>
      <c r="J68" s="2" t="s">
        <v>52</v>
      </c>
      <c r="K68" s="2" t="s">
        <v>53</v>
      </c>
      <c r="L68" s="2" t="s">
        <v>53</v>
      </c>
      <c r="M68" s="2" t="s">
        <v>54</v>
      </c>
      <c r="N68" s="2" t="s">
        <v>53</v>
      </c>
      <c r="O68" s="2" t="s">
        <v>351</v>
      </c>
    </row>
    <row r="69" spans="1:15" ht="38.25" x14ac:dyDescent="0.25">
      <c r="A69" s="2" t="s">
        <v>352</v>
      </c>
      <c r="B69" s="2" t="s">
        <v>16</v>
      </c>
      <c r="C69" s="2" t="s">
        <v>348</v>
      </c>
      <c r="D69" s="2" t="s">
        <v>353</v>
      </c>
      <c r="E69" s="2" t="s">
        <v>354</v>
      </c>
      <c r="F69" s="2" t="s">
        <v>192</v>
      </c>
      <c r="G69" s="3" t="s">
        <v>49</v>
      </c>
      <c r="H69" s="2" t="s">
        <v>50</v>
      </c>
      <c r="I69" s="2" t="s">
        <v>51</v>
      </c>
      <c r="J69" s="2" t="s">
        <v>52</v>
      </c>
      <c r="K69" s="2" t="s">
        <v>53</v>
      </c>
      <c r="L69" s="2" t="s">
        <v>53</v>
      </c>
      <c r="M69" s="2" t="s">
        <v>54</v>
      </c>
      <c r="N69" s="2" t="s">
        <v>53</v>
      </c>
      <c r="O69" s="2"/>
    </row>
    <row r="70" spans="1:15" ht="38.25" x14ac:dyDescent="0.25">
      <c r="A70" s="2" t="s">
        <v>355</v>
      </c>
      <c r="B70" s="2" t="s">
        <v>16</v>
      </c>
      <c r="C70" s="2" t="s">
        <v>348</v>
      </c>
      <c r="D70" s="2" t="s">
        <v>356</v>
      </c>
      <c r="E70" s="2" t="s">
        <v>357</v>
      </c>
      <c r="F70" s="2" t="s">
        <v>192</v>
      </c>
      <c r="G70" s="3" t="s">
        <v>49</v>
      </c>
      <c r="H70" s="2" t="s">
        <v>50</v>
      </c>
      <c r="I70" s="2" t="s">
        <v>51</v>
      </c>
      <c r="J70" s="2" t="s">
        <v>52</v>
      </c>
      <c r="K70" s="2" t="s">
        <v>53</v>
      </c>
      <c r="L70" s="2" t="s">
        <v>53</v>
      </c>
      <c r="M70" s="2" t="s">
        <v>54</v>
      </c>
      <c r="N70" s="2" t="s">
        <v>53</v>
      </c>
      <c r="O70" s="2"/>
    </row>
    <row r="71" spans="1:15" ht="51" x14ac:dyDescent="0.25">
      <c r="A71" s="2" t="s">
        <v>358</v>
      </c>
      <c r="B71" s="2" t="s">
        <v>16</v>
      </c>
      <c r="C71" s="2" t="s">
        <v>359</v>
      </c>
      <c r="D71" s="2" t="s">
        <v>360</v>
      </c>
      <c r="E71" s="2" t="s">
        <v>361</v>
      </c>
      <c r="F71" s="2" t="s">
        <v>362</v>
      </c>
      <c r="G71" s="3" t="s">
        <v>49</v>
      </c>
      <c r="H71" s="2" t="s">
        <v>363</v>
      </c>
      <c r="I71" s="2" t="s">
        <v>51</v>
      </c>
      <c r="J71" s="2" t="s">
        <v>52</v>
      </c>
      <c r="K71" s="2" t="s">
        <v>53</v>
      </c>
      <c r="L71" s="2" t="s">
        <v>53</v>
      </c>
      <c r="M71" s="2" t="s">
        <v>230</v>
      </c>
      <c r="N71" s="2" t="s">
        <v>53</v>
      </c>
      <c r="O71" s="2"/>
    </row>
    <row r="72" spans="1:15" ht="51" x14ac:dyDescent="0.25">
      <c r="A72" s="2" t="s">
        <v>364</v>
      </c>
      <c r="B72" s="2" t="s">
        <v>16</v>
      </c>
      <c r="C72" s="2" t="s">
        <v>365</v>
      </c>
      <c r="D72" s="2" t="s">
        <v>366</v>
      </c>
      <c r="E72" s="2" t="s">
        <v>367</v>
      </c>
      <c r="F72" s="2" t="s">
        <v>362</v>
      </c>
      <c r="G72" s="3" t="s">
        <v>49</v>
      </c>
      <c r="H72" s="2" t="s">
        <v>363</v>
      </c>
      <c r="I72" s="2" t="s">
        <v>51</v>
      </c>
      <c r="J72" s="2" t="s">
        <v>52</v>
      </c>
      <c r="K72" s="2" t="s">
        <v>53</v>
      </c>
      <c r="L72" s="2" t="s">
        <v>53</v>
      </c>
      <c r="M72" s="2" t="s">
        <v>230</v>
      </c>
      <c r="N72" s="2" t="s">
        <v>53</v>
      </c>
      <c r="O72" s="2"/>
    </row>
    <row r="73" spans="1:15" ht="51" x14ac:dyDescent="0.25">
      <c r="A73" s="2" t="s">
        <v>368</v>
      </c>
      <c r="B73" s="2" t="s">
        <v>16</v>
      </c>
      <c r="C73" s="2" t="s">
        <v>365</v>
      </c>
      <c r="D73" s="2" t="s">
        <v>369</v>
      </c>
      <c r="E73" s="2" t="s">
        <v>187</v>
      </c>
      <c r="F73" s="2" t="s">
        <v>362</v>
      </c>
      <c r="G73" s="3" t="s">
        <v>49</v>
      </c>
      <c r="H73" s="2" t="s">
        <v>363</v>
      </c>
      <c r="I73" s="2" t="s">
        <v>51</v>
      </c>
      <c r="J73" s="2" t="s">
        <v>52</v>
      </c>
      <c r="K73" s="2" t="s">
        <v>53</v>
      </c>
      <c r="L73" s="2" t="s">
        <v>53</v>
      </c>
      <c r="M73" s="2" t="s">
        <v>230</v>
      </c>
      <c r="N73" s="2" t="s">
        <v>53</v>
      </c>
      <c r="O73" s="2"/>
    </row>
    <row r="74" spans="1:15" ht="25.5" x14ac:dyDescent="0.25">
      <c r="A74" s="2" t="s">
        <v>370</v>
      </c>
      <c r="B74" s="2" t="s">
        <v>16</v>
      </c>
      <c r="C74" s="2" t="s">
        <v>371</v>
      </c>
      <c r="D74" s="2" t="s">
        <v>372</v>
      </c>
      <c r="E74" s="2" t="s">
        <v>117</v>
      </c>
      <c r="F74" s="2" t="s">
        <v>33</v>
      </c>
      <c r="G74" s="3" t="s">
        <v>85</v>
      </c>
      <c r="H74" s="2" t="s">
        <v>373</v>
      </c>
      <c r="I74" s="2" t="s">
        <v>35</v>
      </c>
      <c r="J74" s="2" t="s">
        <v>36</v>
      </c>
      <c r="K74" s="2" t="s">
        <v>37</v>
      </c>
      <c r="L74" s="2" t="s">
        <v>38</v>
      </c>
      <c r="M74" s="2" t="s">
        <v>39</v>
      </c>
      <c r="N74" s="2" t="s">
        <v>77</v>
      </c>
      <c r="O74" s="2"/>
    </row>
    <row r="75" spans="1:15" ht="38.25" x14ac:dyDescent="0.25">
      <c r="A75" s="2" t="s">
        <v>374</v>
      </c>
      <c r="B75" s="2" t="s">
        <v>16</v>
      </c>
      <c r="C75" s="2" t="s">
        <v>371</v>
      </c>
      <c r="D75" s="2" t="s">
        <v>375</v>
      </c>
      <c r="E75" s="2" t="s">
        <v>117</v>
      </c>
      <c r="F75" s="2" t="s">
        <v>192</v>
      </c>
      <c r="G75" s="3" t="s">
        <v>21</v>
      </c>
      <c r="H75" s="2" t="s">
        <v>376</v>
      </c>
      <c r="I75" s="2" t="s">
        <v>194</v>
      </c>
      <c r="J75" s="2" t="s">
        <v>195</v>
      </c>
      <c r="K75" s="2" t="s">
        <v>196</v>
      </c>
      <c r="L75" s="2" t="s">
        <v>147</v>
      </c>
      <c r="M75" s="2" t="s">
        <v>197</v>
      </c>
      <c r="N75" s="2" t="s">
        <v>28</v>
      </c>
      <c r="O75" s="2"/>
    </row>
    <row r="76" spans="1:15" ht="25.5" x14ac:dyDescent="0.25">
      <c r="A76" s="2" t="s">
        <v>377</v>
      </c>
      <c r="B76" s="2" t="s">
        <v>16</v>
      </c>
      <c r="C76" s="2" t="s">
        <v>371</v>
      </c>
      <c r="D76" s="2" t="s">
        <v>378</v>
      </c>
      <c r="E76" s="2" t="s">
        <v>379</v>
      </c>
      <c r="F76" s="2" t="s">
        <v>192</v>
      </c>
      <c r="G76" s="3" t="s">
        <v>70</v>
      </c>
      <c r="H76" s="2" t="s">
        <v>380</v>
      </c>
      <c r="I76" s="2" t="s">
        <v>194</v>
      </c>
      <c r="J76" s="2" t="s">
        <v>195</v>
      </c>
      <c r="K76" s="2" t="s">
        <v>196</v>
      </c>
      <c r="L76" s="2" t="s">
        <v>147</v>
      </c>
      <c r="M76" s="2" t="s">
        <v>197</v>
      </c>
      <c r="N76" s="2" t="s">
        <v>77</v>
      </c>
      <c r="O76" s="2"/>
    </row>
    <row r="77" spans="1:15" ht="25.5" x14ac:dyDescent="0.25">
      <c r="A77" s="2" t="s">
        <v>381</v>
      </c>
      <c r="B77" s="2" t="s">
        <v>16</v>
      </c>
      <c r="C77" s="2" t="s">
        <v>371</v>
      </c>
      <c r="D77" s="2" t="s">
        <v>382</v>
      </c>
      <c r="E77" s="2" t="s">
        <v>187</v>
      </c>
      <c r="F77" s="2" t="s">
        <v>192</v>
      </c>
      <c r="G77" s="3" t="s">
        <v>85</v>
      </c>
      <c r="H77" s="2" t="s">
        <v>383</v>
      </c>
      <c r="I77" s="2" t="s">
        <v>194</v>
      </c>
      <c r="J77" s="2" t="s">
        <v>195</v>
      </c>
      <c r="K77" s="2" t="s">
        <v>196</v>
      </c>
      <c r="L77" s="2" t="s">
        <v>147</v>
      </c>
      <c r="M77" s="2" t="s">
        <v>197</v>
      </c>
      <c r="N77" s="2" t="s">
        <v>77</v>
      </c>
      <c r="O77" s="2"/>
    </row>
    <row r="78" spans="1:15" ht="38.25" x14ac:dyDescent="0.25">
      <c r="A78" s="2" t="s">
        <v>384</v>
      </c>
      <c r="B78" s="2" t="s">
        <v>16</v>
      </c>
      <c r="C78" s="2" t="s">
        <v>371</v>
      </c>
      <c r="D78" s="2" t="s">
        <v>385</v>
      </c>
      <c r="E78" s="2" t="s">
        <v>386</v>
      </c>
      <c r="F78" s="2" t="s">
        <v>20</v>
      </c>
      <c r="G78" s="3" t="s">
        <v>21</v>
      </c>
      <c r="H78" s="2" t="s">
        <v>387</v>
      </c>
      <c r="I78" s="2" t="s">
        <v>23</v>
      </c>
      <c r="J78" s="2" t="s">
        <v>24</v>
      </c>
      <c r="K78" s="2" t="s">
        <v>25</v>
      </c>
      <c r="L78" s="2" t="s">
        <v>26</v>
      </c>
      <c r="M78" s="2" t="s">
        <v>27</v>
      </c>
      <c r="N78" s="2" t="s">
        <v>28</v>
      </c>
      <c r="O78" s="2"/>
    </row>
    <row r="79" spans="1:15" ht="51" x14ac:dyDescent="0.25">
      <c r="A79" s="2" t="s">
        <v>388</v>
      </c>
      <c r="B79" s="2" t="s">
        <v>16</v>
      </c>
      <c r="C79" s="2" t="s">
        <v>371</v>
      </c>
      <c r="D79" s="2" t="s">
        <v>389</v>
      </c>
      <c r="E79" s="2" t="s">
        <v>106</v>
      </c>
      <c r="F79" s="2" t="s">
        <v>390</v>
      </c>
      <c r="G79" s="3" t="s">
        <v>70</v>
      </c>
      <c r="H79" s="2" t="s">
        <v>391</v>
      </c>
      <c r="I79" s="2" t="s">
        <v>392</v>
      </c>
      <c r="J79" s="2" t="s">
        <v>393</v>
      </c>
      <c r="K79" s="2" t="s">
        <v>394</v>
      </c>
      <c r="L79" s="2" t="s">
        <v>147</v>
      </c>
      <c r="M79" s="2" t="s">
        <v>256</v>
      </c>
      <c r="N79" s="2" t="s">
        <v>77</v>
      </c>
      <c r="O79" s="2"/>
    </row>
    <row r="80" spans="1:15" ht="38.25" x14ac:dyDescent="0.25">
      <c r="A80" s="2" t="s">
        <v>395</v>
      </c>
      <c r="B80" s="2" t="s">
        <v>16</v>
      </c>
      <c r="C80" s="2" t="s">
        <v>371</v>
      </c>
      <c r="D80" s="2" t="s">
        <v>396</v>
      </c>
      <c r="E80" s="2" t="s">
        <v>106</v>
      </c>
      <c r="F80" s="2" t="s">
        <v>390</v>
      </c>
      <c r="G80" s="3" t="s">
        <v>85</v>
      </c>
      <c r="H80" s="2" t="s">
        <v>397</v>
      </c>
      <c r="I80" s="2" t="s">
        <v>392</v>
      </c>
      <c r="J80" s="2" t="s">
        <v>393</v>
      </c>
      <c r="K80" s="2" t="s">
        <v>394</v>
      </c>
      <c r="L80" s="2" t="s">
        <v>147</v>
      </c>
      <c r="M80" s="2" t="s">
        <v>256</v>
      </c>
      <c r="N80" s="2" t="s">
        <v>77</v>
      </c>
      <c r="O80" s="2"/>
    </row>
    <row r="81" spans="1:15" ht="38.25" x14ac:dyDescent="0.25">
      <c r="A81" s="2" t="s">
        <v>398</v>
      </c>
      <c r="B81" s="2" t="s">
        <v>16</v>
      </c>
      <c r="C81" s="2" t="s">
        <v>371</v>
      </c>
      <c r="D81" s="2" t="s">
        <v>399</v>
      </c>
      <c r="E81" s="2" t="s">
        <v>106</v>
      </c>
      <c r="F81" s="2" t="s">
        <v>118</v>
      </c>
      <c r="G81" s="3" t="s">
        <v>70</v>
      </c>
      <c r="H81" s="2" t="s">
        <v>400</v>
      </c>
      <c r="I81" s="2" t="s">
        <v>120</v>
      </c>
      <c r="J81" s="2" t="s">
        <v>121</v>
      </c>
      <c r="K81" s="2" t="s">
        <v>122</v>
      </c>
      <c r="L81" s="2" t="s">
        <v>123</v>
      </c>
      <c r="M81" s="2" t="s">
        <v>124</v>
      </c>
      <c r="N81" s="2" t="s">
        <v>77</v>
      </c>
      <c r="O81" s="2"/>
    </row>
    <row r="82" spans="1:15" ht="38.25" x14ac:dyDescent="0.25">
      <c r="A82" s="2" t="s">
        <v>401</v>
      </c>
      <c r="B82" s="2" t="s">
        <v>16</v>
      </c>
      <c r="C82" s="2" t="s">
        <v>371</v>
      </c>
      <c r="D82" s="2" t="s">
        <v>402</v>
      </c>
      <c r="E82" s="2" t="s">
        <v>117</v>
      </c>
      <c r="F82" s="2" t="s">
        <v>153</v>
      </c>
      <c r="G82" s="3" t="s">
        <v>70</v>
      </c>
      <c r="H82" s="2" t="s">
        <v>403</v>
      </c>
      <c r="I82" s="2" t="s">
        <v>109</v>
      </c>
      <c r="J82" s="2" t="s">
        <v>110</v>
      </c>
      <c r="K82" s="2" t="s">
        <v>111</v>
      </c>
      <c r="L82" s="2" t="s">
        <v>112</v>
      </c>
      <c r="M82" s="2" t="s">
        <v>113</v>
      </c>
      <c r="N82" s="2" t="s">
        <v>77</v>
      </c>
      <c r="O82" s="2"/>
    </row>
    <row r="83" spans="1:15" ht="63.75" x14ac:dyDescent="0.25">
      <c r="A83" s="2" t="s">
        <v>404</v>
      </c>
      <c r="B83" s="2" t="s">
        <v>16</v>
      </c>
      <c r="C83" s="2" t="s">
        <v>405</v>
      </c>
      <c r="D83" s="2" t="s">
        <v>406</v>
      </c>
      <c r="E83" s="2" t="s">
        <v>407</v>
      </c>
      <c r="F83" s="2" t="s">
        <v>408</v>
      </c>
      <c r="G83" s="3" t="s">
        <v>21</v>
      </c>
      <c r="H83" s="2" t="s">
        <v>409</v>
      </c>
      <c r="I83" s="2" t="s">
        <v>410</v>
      </c>
      <c r="J83" s="2" t="s">
        <v>411</v>
      </c>
      <c r="K83" s="2" t="s">
        <v>412</v>
      </c>
      <c r="L83" s="2" t="s">
        <v>147</v>
      </c>
      <c r="M83" s="2" t="s">
        <v>413</v>
      </c>
      <c r="N83" s="2" t="s">
        <v>28</v>
      </c>
      <c r="O83" s="2"/>
    </row>
    <row r="84" spans="1:15" ht="38.25" x14ac:dyDescent="0.25">
      <c r="A84" s="2" t="s">
        <v>414</v>
      </c>
      <c r="B84" s="2" t="s">
        <v>16</v>
      </c>
      <c r="C84" s="2" t="s">
        <v>405</v>
      </c>
      <c r="D84" s="2" t="s">
        <v>415</v>
      </c>
      <c r="E84" s="2" t="s">
        <v>416</v>
      </c>
      <c r="F84" s="2" t="s">
        <v>408</v>
      </c>
      <c r="G84" s="3" t="s">
        <v>85</v>
      </c>
      <c r="H84" s="2" t="s">
        <v>417</v>
      </c>
      <c r="I84" s="2" t="s">
        <v>410</v>
      </c>
      <c r="J84" s="2" t="s">
        <v>411</v>
      </c>
      <c r="K84" s="2" t="s">
        <v>412</v>
      </c>
      <c r="L84" s="2" t="s">
        <v>147</v>
      </c>
      <c r="M84" s="2" t="s">
        <v>413</v>
      </c>
      <c r="N84" s="2" t="s">
        <v>77</v>
      </c>
      <c r="O84" s="2"/>
    </row>
    <row r="85" spans="1:15" ht="51" x14ac:dyDescent="0.25">
      <c r="A85" s="2" t="s">
        <v>418</v>
      </c>
      <c r="B85" s="2" t="s">
        <v>16</v>
      </c>
      <c r="C85" s="2" t="s">
        <v>419</v>
      </c>
      <c r="D85" s="2" t="s">
        <v>420</v>
      </c>
      <c r="E85" s="2" t="s">
        <v>421</v>
      </c>
      <c r="F85" s="2" t="s">
        <v>422</v>
      </c>
      <c r="G85" s="3" t="s">
        <v>85</v>
      </c>
      <c r="H85" s="2" t="s">
        <v>423</v>
      </c>
      <c r="I85" s="2" t="s">
        <v>72</v>
      </c>
      <c r="J85" s="2" t="s">
        <v>424</v>
      </c>
      <c r="K85" s="2" t="s">
        <v>74</v>
      </c>
      <c r="L85" s="2" t="s">
        <v>75</v>
      </c>
      <c r="M85" s="2" t="s">
        <v>76</v>
      </c>
      <c r="N85" s="2" t="s">
        <v>77</v>
      </c>
      <c r="O85" s="2"/>
    </row>
    <row r="86" spans="1:15" ht="51" x14ac:dyDescent="0.25">
      <c r="A86" s="2" t="s">
        <v>425</v>
      </c>
      <c r="B86" s="2" t="s">
        <v>16</v>
      </c>
      <c r="C86" s="2" t="s">
        <v>419</v>
      </c>
      <c r="D86" s="2" t="s">
        <v>426</v>
      </c>
      <c r="E86" s="2" t="s">
        <v>421</v>
      </c>
      <c r="F86" s="2" t="s">
        <v>422</v>
      </c>
      <c r="G86" s="3" t="s">
        <v>85</v>
      </c>
      <c r="H86" s="2" t="s">
        <v>427</v>
      </c>
      <c r="I86" s="2" t="s">
        <v>72</v>
      </c>
      <c r="J86" s="2" t="s">
        <v>428</v>
      </c>
      <c r="K86" s="2" t="s">
        <v>74</v>
      </c>
      <c r="L86" s="2" t="s">
        <v>75</v>
      </c>
      <c r="M86" s="2" t="s">
        <v>76</v>
      </c>
      <c r="N86" s="2" t="s">
        <v>77</v>
      </c>
      <c r="O86" s="2"/>
    </row>
    <row r="87" spans="1:15" ht="38.25" x14ac:dyDescent="0.25">
      <c r="A87" s="2" t="s">
        <v>429</v>
      </c>
      <c r="B87" s="2" t="s">
        <v>16</v>
      </c>
      <c r="C87" s="2" t="s">
        <v>419</v>
      </c>
      <c r="D87" s="2" t="s">
        <v>430</v>
      </c>
      <c r="E87" s="2" t="s">
        <v>421</v>
      </c>
      <c r="F87" s="2" t="s">
        <v>422</v>
      </c>
      <c r="G87" s="3" t="s">
        <v>49</v>
      </c>
      <c r="H87" s="2" t="s">
        <v>60</v>
      </c>
      <c r="I87" s="2" t="s">
        <v>51</v>
      </c>
      <c r="J87" s="2" t="s">
        <v>52</v>
      </c>
      <c r="K87" s="2" t="s">
        <v>53</v>
      </c>
      <c r="L87" s="2" t="s">
        <v>53</v>
      </c>
      <c r="M87" s="2" t="s">
        <v>61</v>
      </c>
      <c r="N87" s="2" t="s">
        <v>53</v>
      </c>
      <c r="O87" s="2"/>
    </row>
    <row r="88" spans="1:15" ht="38.25" x14ac:dyDescent="0.25">
      <c r="A88" s="2" t="s">
        <v>431</v>
      </c>
      <c r="B88" s="2" t="s">
        <v>16</v>
      </c>
      <c r="C88" s="2" t="s">
        <v>419</v>
      </c>
      <c r="D88" s="2" t="s">
        <v>432</v>
      </c>
      <c r="E88" s="2" t="s">
        <v>421</v>
      </c>
      <c r="F88" s="2" t="s">
        <v>422</v>
      </c>
      <c r="G88" s="3" t="s">
        <v>49</v>
      </c>
      <c r="H88" s="2" t="s">
        <v>60</v>
      </c>
      <c r="I88" s="2" t="s">
        <v>51</v>
      </c>
      <c r="J88" s="2" t="s">
        <v>52</v>
      </c>
      <c r="K88" s="2" t="s">
        <v>53</v>
      </c>
      <c r="L88" s="2" t="s">
        <v>53</v>
      </c>
      <c r="M88" s="2" t="s">
        <v>61</v>
      </c>
      <c r="N88" s="2" t="s">
        <v>53</v>
      </c>
      <c r="O88" s="2"/>
    </row>
    <row r="89" spans="1:15" ht="38.25" x14ac:dyDescent="0.25">
      <c r="A89" s="2" t="s">
        <v>433</v>
      </c>
      <c r="B89" s="2" t="s">
        <v>16</v>
      </c>
      <c r="C89" s="2" t="s">
        <v>419</v>
      </c>
      <c r="D89" s="2" t="s">
        <v>434</v>
      </c>
      <c r="E89" s="2" t="s">
        <v>421</v>
      </c>
      <c r="F89" s="2" t="s">
        <v>422</v>
      </c>
      <c r="G89" s="3" t="s">
        <v>49</v>
      </c>
      <c r="H89" s="2" t="s">
        <v>60</v>
      </c>
      <c r="I89" s="2" t="s">
        <v>51</v>
      </c>
      <c r="J89" s="2" t="s">
        <v>52</v>
      </c>
      <c r="K89" s="2" t="s">
        <v>53</v>
      </c>
      <c r="L89" s="2" t="s">
        <v>53</v>
      </c>
      <c r="M89" s="2" t="s">
        <v>61</v>
      </c>
      <c r="N89" s="2" t="s">
        <v>53</v>
      </c>
      <c r="O89" s="2"/>
    </row>
    <row r="90" spans="1:15" ht="38.25" x14ac:dyDescent="0.25">
      <c r="A90" s="2" t="s">
        <v>435</v>
      </c>
      <c r="B90" s="2" t="s">
        <v>16</v>
      </c>
      <c r="C90" s="2" t="s">
        <v>419</v>
      </c>
      <c r="D90" s="2" t="s">
        <v>436</v>
      </c>
      <c r="E90" s="2" t="s">
        <v>421</v>
      </c>
      <c r="F90" s="2" t="s">
        <v>422</v>
      </c>
      <c r="G90" s="3" t="s">
        <v>21</v>
      </c>
      <c r="H90" s="2" t="s">
        <v>437</v>
      </c>
      <c r="I90" s="2" t="s">
        <v>72</v>
      </c>
      <c r="J90" s="2" t="s">
        <v>438</v>
      </c>
      <c r="K90" s="2" t="s">
        <v>74</v>
      </c>
      <c r="L90" s="2" t="s">
        <v>75</v>
      </c>
      <c r="M90" s="2" t="s">
        <v>76</v>
      </c>
      <c r="N90" s="2" t="s">
        <v>28</v>
      </c>
      <c r="O90" s="2"/>
    </row>
    <row r="91" spans="1:15" ht="25.5" x14ac:dyDescent="0.25">
      <c r="A91" s="2" t="s">
        <v>439</v>
      </c>
      <c r="B91" s="2" t="s">
        <v>16</v>
      </c>
      <c r="C91" s="2" t="s">
        <v>440</v>
      </c>
      <c r="D91" s="2" t="s">
        <v>441</v>
      </c>
      <c r="E91" s="2" t="s">
        <v>117</v>
      </c>
      <c r="F91" s="2" t="s">
        <v>442</v>
      </c>
      <c r="G91" s="3" t="s">
        <v>49</v>
      </c>
      <c r="H91" s="2" t="s">
        <v>443</v>
      </c>
      <c r="I91" s="2" t="s">
        <v>51</v>
      </c>
      <c r="J91" s="2" t="s">
        <v>52</v>
      </c>
      <c r="K91" s="2" t="s">
        <v>53</v>
      </c>
      <c r="L91" s="2" t="s">
        <v>53</v>
      </c>
      <c r="M91" s="2" t="s">
        <v>54</v>
      </c>
      <c r="N91" s="2" t="s">
        <v>53</v>
      </c>
      <c r="O91" s="2"/>
    </row>
    <row r="92" spans="1:15" ht="38.25" x14ac:dyDescent="0.25">
      <c r="A92" s="2" t="s">
        <v>444</v>
      </c>
      <c r="B92" s="2" t="s">
        <v>16</v>
      </c>
      <c r="C92" s="2" t="s">
        <v>445</v>
      </c>
      <c r="D92" s="2" t="s">
        <v>446</v>
      </c>
      <c r="E92" s="2" t="s">
        <v>447</v>
      </c>
      <c r="F92" s="2" t="s">
        <v>442</v>
      </c>
      <c r="G92" s="3" t="s">
        <v>49</v>
      </c>
      <c r="H92" s="2" t="s">
        <v>443</v>
      </c>
      <c r="I92" s="2" t="s">
        <v>51</v>
      </c>
      <c r="J92" s="2" t="s">
        <v>52</v>
      </c>
      <c r="K92" s="2" t="s">
        <v>53</v>
      </c>
      <c r="L92" s="2" t="s">
        <v>53</v>
      </c>
      <c r="M92" s="2" t="s">
        <v>54</v>
      </c>
      <c r="N92" s="2" t="s">
        <v>53</v>
      </c>
      <c r="O92" s="2"/>
    </row>
    <row r="93" spans="1:15" ht="38.25" x14ac:dyDescent="0.25">
      <c r="A93" s="2" t="s">
        <v>448</v>
      </c>
      <c r="B93" s="2" t="s">
        <v>16</v>
      </c>
      <c r="C93" s="2" t="s">
        <v>445</v>
      </c>
      <c r="D93" s="2" t="s">
        <v>449</v>
      </c>
      <c r="E93" s="2" t="s">
        <v>450</v>
      </c>
      <c r="F93" s="2" t="s">
        <v>442</v>
      </c>
      <c r="G93" s="3" t="s">
        <v>21</v>
      </c>
      <c r="H93" s="2" t="s">
        <v>451</v>
      </c>
      <c r="I93" s="2" t="s">
        <v>452</v>
      </c>
      <c r="J93" s="2" t="s">
        <v>453</v>
      </c>
      <c r="K93" s="2" t="s">
        <v>196</v>
      </c>
      <c r="L93" s="2" t="s">
        <v>147</v>
      </c>
      <c r="M93" s="2" t="s">
        <v>454</v>
      </c>
      <c r="N93" s="2" t="s">
        <v>28</v>
      </c>
      <c r="O93" s="2"/>
    </row>
    <row r="94" spans="1:15" ht="25.5" x14ac:dyDescent="0.25">
      <c r="A94" s="2" t="s">
        <v>455</v>
      </c>
      <c r="B94" s="2" t="s">
        <v>16</v>
      </c>
      <c r="C94" s="2" t="s">
        <v>445</v>
      </c>
      <c r="D94" s="2" t="s">
        <v>456</v>
      </c>
      <c r="E94" s="2" t="s">
        <v>187</v>
      </c>
      <c r="F94" s="2" t="s">
        <v>442</v>
      </c>
      <c r="G94" s="3" t="s">
        <v>49</v>
      </c>
      <c r="H94" s="2" t="s">
        <v>443</v>
      </c>
      <c r="I94" s="2" t="s">
        <v>51</v>
      </c>
      <c r="J94" s="2" t="s">
        <v>52</v>
      </c>
      <c r="K94" s="2" t="s">
        <v>53</v>
      </c>
      <c r="L94" s="2" t="s">
        <v>53</v>
      </c>
      <c r="M94" s="2" t="s">
        <v>54</v>
      </c>
      <c r="N94" s="2" t="s">
        <v>53</v>
      </c>
      <c r="O94" s="2"/>
    </row>
    <row r="95" spans="1:15" ht="38.25" x14ac:dyDescent="0.25">
      <c r="A95" s="2" t="s">
        <v>457</v>
      </c>
      <c r="B95" s="2" t="s">
        <v>16</v>
      </c>
      <c r="C95" s="2" t="s">
        <v>445</v>
      </c>
      <c r="D95" s="2" t="s">
        <v>458</v>
      </c>
      <c r="E95" s="2" t="s">
        <v>270</v>
      </c>
      <c r="F95" s="2" t="s">
        <v>442</v>
      </c>
      <c r="G95" s="3" t="s">
        <v>21</v>
      </c>
      <c r="H95" s="2" t="s">
        <v>459</v>
      </c>
      <c r="I95" s="2" t="s">
        <v>452</v>
      </c>
      <c r="J95" s="2" t="s">
        <v>453</v>
      </c>
      <c r="K95" s="2" t="s">
        <v>196</v>
      </c>
      <c r="L95" s="2" t="s">
        <v>147</v>
      </c>
      <c r="M95" s="2" t="s">
        <v>454</v>
      </c>
      <c r="N95" s="2" t="s">
        <v>28</v>
      </c>
      <c r="O95" s="2"/>
    </row>
    <row r="96" spans="1:15" ht="38.25" x14ac:dyDescent="0.25">
      <c r="A96" s="2" t="s">
        <v>460</v>
      </c>
      <c r="B96" s="2" t="s">
        <v>16</v>
      </c>
      <c r="C96" s="2" t="s">
        <v>445</v>
      </c>
      <c r="D96" s="2" t="s">
        <v>461</v>
      </c>
      <c r="E96" s="2" t="s">
        <v>462</v>
      </c>
      <c r="F96" s="2" t="s">
        <v>442</v>
      </c>
      <c r="G96" s="3" t="s">
        <v>21</v>
      </c>
      <c r="H96" s="2" t="s">
        <v>463</v>
      </c>
      <c r="I96" s="2" t="s">
        <v>452</v>
      </c>
      <c r="J96" s="2" t="s">
        <v>453</v>
      </c>
      <c r="K96" s="2" t="s">
        <v>196</v>
      </c>
      <c r="L96" s="2" t="s">
        <v>147</v>
      </c>
      <c r="M96" s="2" t="s">
        <v>454</v>
      </c>
      <c r="N96" s="2" t="s">
        <v>28</v>
      </c>
      <c r="O96" s="2"/>
    </row>
    <row r="97" spans="1:15" ht="38.25" x14ac:dyDescent="0.25">
      <c r="A97" s="2" t="s">
        <v>464</v>
      </c>
      <c r="B97" s="2" t="s">
        <v>16</v>
      </c>
      <c r="C97" s="2" t="s">
        <v>465</v>
      </c>
      <c r="D97" s="2" t="s">
        <v>466</v>
      </c>
      <c r="E97" s="2" t="s">
        <v>467</v>
      </c>
      <c r="F97" s="2" t="s">
        <v>442</v>
      </c>
      <c r="G97" s="3" t="s">
        <v>21</v>
      </c>
      <c r="H97" s="2" t="s">
        <v>468</v>
      </c>
      <c r="I97" s="2" t="s">
        <v>452</v>
      </c>
      <c r="J97" s="2" t="s">
        <v>453</v>
      </c>
      <c r="K97" s="2" t="s">
        <v>196</v>
      </c>
      <c r="L97" s="2" t="s">
        <v>147</v>
      </c>
      <c r="M97" s="2" t="s">
        <v>454</v>
      </c>
      <c r="N97" s="2" t="s">
        <v>28</v>
      </c>
      <c r="O97" s="2"/>
    </row>
    <row r="98" spans="1:15" ht="38.25" x14ac:dyDescent="0.25">
      <c r="A98" s="2" t="s">
        <v>469</v>
      </c>
      <c r="B98" s="2" t="s">
        <v>16</v>
      </c>
      <c r="C98" s="2" t="s">
        <v>465</v>
      </c>
      <c r="D98" s="2" t="s">
        <v>470</v>
      </c>
      <c r="E98" s="2" t="s">
        <v>117</v>
      </c>
      <c r="F98" s="2" t="s">
        <v>471</v>
      </c>
      <c r="G98" s="3" t="s">
        <v>85</v>
      </c>
      <c r="H98" s="2" t="s">
        <v>472</v>
      </c>
      <c r="I98" s="2" t="s">
        <v>120</v>
      </c>
      <c r="J98" s="2" t="s">
        <v>121</v>
      </c>
      <c r="K98" s="2" t="s">
        <v>122</v>
      </c>
      <c r="L98" s="2" t="s">
        <v>123</v>
      </c>
      <c r="M98" s="2" t="s">
        <v>124</v>
      </c>
      <c r="N98" s="2" t="s">
        <v>77</v>
      </c>
      <c r="O98" s="2"/>
    </row>
    <row r="99" spans="1:15" ht="51" x14ac:dyDescent="0.25">
      <c r="A99" s="2" t="s">
        <v>473</v>
      </c>
      <c r="B99" s="2" t="s">
        <v>16</v>
      </c>
      <c r="C99" s="2" t="s">
        <v>465</v>
      </c>
      <c r="D99" s="2" t="s">
        <v>474</v>
      </c>
      <c r="E99" s="2" t="s">
        <v>117</v>
      </c>
      <c r="F99" s="2" t="s">
        <v>471</v>
      </c>
      <c r="G99" s="3" t="s">
        <v>85</v>
      </c>
      <c r="H99" s="2" t="s">
        <v>475</v>
      </c>
      <c r="I99" s="2" t="s">
        <v>120</v>
      </c>
      <c r="J99" s="2" t="s">
        <v>121</v>
      </c>
      <c r="K99" s="2" t="s">
        <v>122</v>
      </c>
      <c r="L99" s="2" t="s">
        <v>123</v>
      </c>
      <c r="M99" s="2" t="s">
        <v>124</v>
      </c>
      <c r="N99" s="2" t="s">
        <v>77</v>
      </c>
      <c r="O99" s="2"/>
    </row>
    <row r="100" spans="1:15" ht="38.25" x14ac:dyDescent="0.25">
      <c r="A100" s="2" t="s">
        <v>476</v>
      </c>
      <c r="B100" s="2" t="s">
        <v>16</v>
      </c>
      <c r="C100" s="2" t="s">
        <v>477</v>
      </c>
      <c r="D100" s="2" t="s">
        <v>478</v>
      </c>
      <c r="E100" s="2" t="s">
        <v>187</v>
      </c>
      <c r="F100" s="2" t="s">
        <v>442</v>
      </c>
      <c r="G100" s="3" t="s">
        <v>21</v>
      </c>
      <c r="H100" s="2" t="s">
        <v>479</v>
      </c>
      <c r="I100" s="2" t="s">
        <v>452</v>
      </c>
      <c r="J100" s="2" t="s">
        <v>453</v>
      </c>
      <c r="K100" s="2" t="s">
        <v>196</v>
      </c>
      <c r="L100" s="2" t="s">
        <v>147</v>
      </c>
      <c r="M100" s="2" t="s">
        <v>454</v>
      </c>
      <c r="N100" s="2" t="s">
        <v>28</v>
      </c>
      <c r="O100" s="2"/>
    </row>
    <row r="101" spans="1:15" ht="25.5" x14ac:dyDescent="0.25">
      <c r="A101" s="2" t="s">
        <v>480</v>
      </c>
      <c r="B101" s="2" t="s">
        <v>16</v>
      </c>
      <c r="C101" s="2" t="s">
        <v>481</v>
      </c>
      <c r="D101" s="2" t="s">
        <v>482</v>
      </c>
      <c r="E101" s="2" t="s">
        <v>270</v>
      </c>
      <c r="F101" s="2" t="s">
        <v>483</v>
      </c>
      <c r="G101" s="3" t="s">
        <v>49</v>
      </c>
      <c r="H101" s="2" t="s">
        <v>443</v>
      </c>
      <c r="I101" s="2" t="s">
        <v>51</v>
      </c>
      <c r="J101" s="2" t="s">
        <v>52</v>
      </c>
      <c r="K101" s="2" t="s">
        <v>53</v>
      </c>
      <c r="L101" s="2" t="s">
        <v>53</v>
      </c>
      <c r="M101" s="2" t="s">
        <v>54</v>
      </c>
      <c r="N101" s="2" t="s">
        <v>53</v>
      </c>
      <c r="O101" s="2"/>
    </row>
    <row r="102" spans="1:15" ht="38.25" x14ac:dyDescent="0.25">
      <c r="A102" s="2" t="s">
        <v>484</v>
      </c>
      <c r="B102" s="2" t="s">
        <v>16</v>
      </c>
      <c r="C102" s="2" t="s">
        <v>481</v>
      </c>
      <c r="D102" s="2" t="s">
        <v>485</v>
      </c>
      <c r="E102" s="2" t="s">
        <v>187</v>
      </c>
      <c r="F102" s="2" t="s">
        <v>442</v>
      </c>
      <c r="G102" s="3" t="s">
        <v>49</v>
      </c>
      <c r="H102" s="2" t="s">
        <v>443</v>
      </c>
      <c r="I102" s="2" t="s">
        <v>51</v>
      </c>
      <c r="J102" s="2" t="s">
        <v>52</v>
      </c>
      <c r="K102" s="2" t="s">
        <v>53</v>
      </c>
      <c r="L102" s="2" t="s">
        <v>53</v>
      </c>
      <c r="M102" s="2" t="s">
        <v>54</v>
      </c>
      <c r="N102" s="2" t="s">
        <v>53</v>
      </c>
      <c r="O102" s="2"/>
    </row>
    <row r="103" spans="1:15" ht="38.25" x14ac:dyDescent="0.25">
      <c r="A103" s="2" t="s">
        <v>486</v>
      </c>
      <c r="B103" s="2" t="s">
        <v>16</v>
      </c>
      <c r="C103" s="2" t="s">
        <v>481</v>
      </c>
      <c r="D103" s="2" t="s">
        <v>487</v>
      </c>
      <c r="E103" s="2" t="s">
        <v>117</v>
      </c>
      <c r="F103" s="2" t="s">
        <v>442</v>
      </c>
      <c r="G103" s="3" t="s">
        <v>21</v>
      </c>
      <c r="H103" s="2" t="s">
        <v>488</v>
      </c>
      <c r="I103" s="2" t="s">
        <v>452</v>
      </c>
      <c r="J103" s="2" t="s">
        <v>453</v>
      </c>
      <c r="K103" s="2" t="s">
        <v>196</v>
      </c>
      <c r="L103" s="2" t="s">
        <v>147</v>
      </c>
      <c r="M103" s="2" t="s">
        <v>454</v>
      </c>
      <c r="N103" s="2" t="s">
        <v>28</v>
      </c>
      <c r="O103" s="2"/>
    </row>
    <row r="104" spans="1:15" ht="38.25" x14ac:dyDescent="0.25">
      <c r="A104" s="2" t="s">
        <v>489</v>
      </c>
      <c r="B104" s="2" t="s">
        <v>16</v>
      </c>
      <c r="C104" s="2" t="s">
        <v>481</v>
      </c>
      <c r="D104" s="2" t="s">
        <v>490</v>
      </c>
      <c r="E104" s="2" t="s">
        <v>491</v>
      </c>
      <c r="F104" s="2" t="s">
        <v>492</v>
      </c>
      <c r="G104" s="3" t="s">
        <v>85</v>
      </c>
      <c r="H104" s="2" t="s">
        <v>493</v>
      </c>
      <c r="I104" s="2" t="s">
        <v>452</v>
      </c>
      <c r="J104" s="2" t="s">
        <v>453</v>
      </c>
      <c r="K104" s="2" t="s">
        <v>196</v>
      </c>
      <c r="L104" s="2" t="s">
        <v>147</v>
      </c>
      <c r="M104" s="2" t="s">
        <v>454</v>
      </c>
      <c r="N104" s="2" t="s">
        <v>77</v>
      </c>
      <c r="O104" s="2"/>
    </row>
    <row r="105" spans="1:15" ht="25.5" x14ac:dyDescent="0.25">
      <c r="A105" s="2" t="s">
        <v>494</v>
      </c>
      <c r="B105" s="2" t="s">
        <v>16</v>
      </c>
      <c r="C105" s="2" t="s">
        <v>481</v>
      </c>
      <c r="D105" s="2" t="s">
        <v>495</v>
      </c>
      <c r="E105" s="2" t="s">
        <v>496</v>
      </c>
      <c r="F105" s="2" t="s">
        <v>442</v>
      </c>
      <c r="G105" s="3" t="s">
        <v>85</v>
      </c>
      <c r="H105" s="2" t="s">
        <v>497</v>
      </c>
      <c r="I105" s="2" t="s">
        <v>452</v>
      </c>
      <c r="J105" s="2" t="s">
        <v>453</v>
      </c>
      <c r="K105" s="2" t="s">
        <v>196</v>
      </c>
      <c r="L105" s="2" t="s">
        <v>147</v>
      </c>
      <c r="M105" s="2" t="s">
        <v>454</v>
      </c>
      <c r="N105" s="2" t="s">
        <v>77</v>
      </c>
      <c r="O105" s="2"/>
    </row>
    <row r="106" spans="1:15" ht="25.5" x14ac:dyDescent="0.25">
      <c r="A106" s="2" t="s">
        <v>498</v>
      </c>
      <c r="B106" s="2" t="s">
        <v>16</v>
      </c>
      <c r="C106" s="2" t="s">
        <v>481</v>
      </c>
      <c r="D106" s="2" t="s">
        <v>499</v>
      </c>
      <c r="E106" s="2" t="s">
        <v>117</v>
      </c>
      <c r="F106" s="2" t="s">
        <v>442</v>
      </c>
      <c r="G106" s="3" t="s">
        <v>49</v>
      </c>
      <c r="H106" s="2" t="s">
        <v>443</v>
      </c>
      <c r="I106" s="2" t="s">
        <v>51</v>
      </c>
      <c r="J106" s="2" t="s">
        <v>52</v>
      </c>
      <c r="K106" s="2" t="s">
        <v>53</v>
      </c>
      <c r="L106" s="2" t="s">
        <v>53</v>
      </c>
      <c r="M106" s="2" t="s">
        <v>54</v>
      </c>
      <c r="N106" s="2" t="s">
        <v>53</v>
      </c>
      <c r="O106" s="2"/>
    </row>
    <row r="107" spans="1:15" ht="25.5" x14ac:dyDescent="0.25">
      <c r="A107" s="2" t="s">
        <v>500</v>
      </c>
      <c r="B107" s="2" t="s">
        <v>16</v>
      </c>
      <c r="C107" s="2" t="s">
        <v>481</v>
      </c>
      <c r="D107" s="2" t="s">
        <v>501</v>
      </c>
      <c r="E107" s="2" t="s">
        <v>502</v>
      </c>
      <c r="F107" s="2" t="s">
        <v>503</v>
      </c>
      <c r="G107" s="3" t="s">
        <v>49</v>
      </c>
      <c r="H107" s="2" t="s">
        <v>443</v>
      </c>
      <c r="I107" s="2" t="s">
        <v>51</v>
      </c>
      <c r="J107" s="2" t="s">
        <v>52</v>
      </c>
      <c r="K107" s="2" t="s">
        <v>53</v>
      </c>
      <c r="L107" s="2" t="s">
        <v>53</v>
      </c>
      <c r="M107" s="2" t="s">
        <v>54</v>
      </c>
      <c r="N107" s="2" t="s">
        <v>53</v>
      </c>
      <c r="O107" s="2"/>
    </row>
    <row r="108" spans="1:15" ht="38.25" x14ac:dyDescent="0.25">
      <c r="A108" s="2" t="s">
        <v>504</v>
      </c>
      <c r="B108" s="2" t="s">
        <v>16</v>
      </c>
      <c r="C108" s="2" t="s">
        <v>505</v>
      </c>
      <c r="D108" s="2" t="s">
        <v>506</v>
      </c>
      <c r="E108" s="2" t="s">
        <v>68</v>
      </c>
      <c r="F108" s="2" t="s">
        <v>168</v>
      </c>
      <c r="G108" s="3" t="s">
        <v>85</v>
      </c>
      <c r="H108" s="2" t="s">
        <v>507</v>
      </c>
      <c r="I108" s="2" t="s">
        <v>170</v>
      </c>
      <c r="J108" s="2" t="s">
        <v>171</v>
      </c>
      <c r="K108" s="2" t="s">
        <v>172</v>
      </c>
      <c r="L108" s="2" t="s">
        <v>75</v>
      </c>
      <c r="M108" s="2" t="s">
        <v>173</v>
      </c>
      <c r="N108" s="2" t="s">
        <v>77</v>
      </c>
      <c r="O108" s="2"/>
    </row>
    <row r="109" spans="1:15" ht="63.75" x14ac:dyDescent="0.25">
      <c r="A109" s="2" t="s">
        <v>508</v>
      </c>
      <c r="B109" s="2" t="s">
        <v>16</v>
      </c>
      <c r="C109" s="2" t="s">
        <v>509</v>
      </c>
      <c r="D109" s="2" t="s">
        <v>510</v>
      </c>
      <c r="E109" s="2" t="s">
        <v>511</v>
      </c>
      <c r="F109" s="2" t="s">
        <v>168</v>
      </c>
      <c r="G109" s="3" t="s">
        <v>21</v>
      </c>
      <c r="H109" s="2" t="s">
        <v>512</v>
      </c>
      <c r="I109" s="2" t="s">
        <v>170</v>
      </c>
      <c r="J109" s="2" t="s">
        <v>171</v>
      </c>
      <c r="K109" s="2" t="s">
        <v>172</v>
      </c>
      <c r="L109" s="2" t="s">
        <v>75</v>
      </c>
      <c r="M109" s="2" t="s">
        <v>173</v>
      </c>
      <c r="N109" s="2" t="s">
        <v>28</v>
      </c>
      <c r="O109" s="2"/>
    </row>
    <row r="110" spans="1:15" ht="38.25" x14ac:dyDescent="0.25">
      <c r="A110" s="2" t="s">
        <v>513</v>
      </c>
      <c r="B110" s="2" t="s">
        <v>16</v>
      </c>
      <c r="C110" s="2" t="s">
        <v>509</v>
      </c>
      <c r="D110" s="2" t="s">
        <v>514</v>
      </c>
      <c r="E110" s="2" t="s">
        <v>511</v>
      </c>
      <c r="F110" s="2" t="s">
        <v>168</v>
      </c>
      <c r="G110" s="3" t="s">
        <v>70</v>
      </c>
      <c r="H110" s="2" t="s">
        <v>515</v>
      </c>
      <c r="I110" s="2" t="s">
        <v>170</v>
      </c>
      <c r="J110" s="2" t="s">
        <v>171</v>
      </c>
      <c r="K110" s="2" t="s">
        <v>172</v>
      </c>
      <c r="L110" s="2" t="s">
        <v>75</v>
      </c>
      <c r="M110" s="2" t="s">
        <v>173</v>
      </c>
      <c r="N110" s="2" t="s">
        <v>77</v>
      </c>
      <c r="O110" s="2"/>
    </row>
    <row r="111" spans="1:15" ht="38.25" x14ac:dyDescent="0.25">
      <c r="A111" s="2" t="s">
        <v>516</v>
      </c>
      <c r="B111" s="2" t="s">
        <v>16</v>
      </c>
      <c r="C111" s="2" t="s">
        <v>509</v>
      </c>
      <c r="D111" s="2" t="s">
        <v>517</v>
      </c>
      <c r="E111" s="2" t="s">
        <v>511</v>
      </c>
      <c r="F111" s="2" t="s">
        <v>168</v>
      </c>
      <c r="G111" s="3" t="s">
        <v>85</v>
      </c>
      <c r="H111" s="2" t="s">
        <v>518</v>
      </c>
      <c r="I111" s="2" t="s">
        <v>170</v>
      </c>
      <c r="J111" s="2" t="s">
        <v>171</v>
      </c>
      <c r="K111" s="2" t="s">
        <v>172</v>
      </c>
      <c r="L111" s="2" t="s">
        <v>75</v>
      </c>
      <c r="M111" s="2" t="s">
        <v>173</v>
      </c>
      <c r="N111" s="2" t="s">
        <v>77</v>
      </c>
      <c r="O111" s="2"/>
    </row>
    <row r="112" spans="1:15" ht="51" x14ac:dyDescent="0.25">
      <c r="A112" s="2" t="s">
        <v>519</v>
      </c>
      <c r="B112" s="2" t="s">
        <v>16</v>
      </c>
      <c r="C112" s="2" t="s">
        <v>509</v>
      </c>
      <c r="D112" s="2" t="s">
        <v>520</v>
      </c>
      <c r="E112" s="2" t="s">
        <v>511</v>
      </c>
      <c r="F112" s="2" t="s">
        <v>168</v>
      </c>
      <c r="G112" s="3" t="s">
        <v>70</v>
      </c>
      <c r="H112" s="2" t="s">
        <v>521</v>
      </c>
      <c r="I112" s="2" t="s">
        <v>170</v>
      </c>
      <c r="J112" s="2" t="s">
        <v>171</v>
      </c>
      <c r="K112" s="2" t="s">
        <v>172</v>
      </c>
      <c r="L112" s="2" t="s">
        <v>75</v>
      </c>
      <c r="M112" s="2" t="s">
        <v>173</v>
      </c>
      <c r="N112" s="2" t="s">
        <v>77</v>
      </c>
      <c r="O112" s="2"/>
    </row>
    <row r="113" spans="1:15" ht="51" x14ac:dyDescent="0.25">
      <c r="A113" s="2" t="s">
        <v>522</v>
      </c>
      <c r="B113" s="2" t="s">
        <v>16</v>
      </c>
      <c r="C113" s="2" t="s">
        <v>509</v>
      </c>
      <c r="D113" s="2" t="s">
        <v>523</v>
      </c>
      <c r="E113" s="2" t="s">
        <v>511</v>
      </c>
      <c r="F113" s="2" t="s">
        <v>168</v>
      </c>
      <c r="G113" s="3" t="s">
        <v>70</v>
      </c>
      <c r="H113" s="2" t="s">
        <v>524</v>
      </c>
      <c r="I113" s="2" t="s">
        <v>170</v>
      </c>
      <c r="J113" s="2" t="s">
        <v>171</v>
      </c>
      <c r="K113" s="2" t="s">
        <v>172</v>
      </c>
      <c r="L113" s="2" t="s">
        <v>75</v>
      </c>
      <c r="M113" s="2" t="s">
        <v>173</v>
      </c>
      <c r="N113" s="2" t="s">
        <v>77</v>
      </c>
      <c r="O113" s="2"/>
    </row>
    <row r="114" spans="1:15" ht="25.5" x14ac:dyDescent="0.25">
      <c r="A114" s="2" t="s">
        <v>525</v>
      </c>
      <c r="B114" s="2" t="s">
        <v>16</v>
      </c>
      <c r="C114" s="2" t="s">
        <v>526</v>
      </c>
      <c r="D114" s="2" t="s">
        <v>527</v>
      </c>
      <c r="E114" s="2" t="s">
        <v>528</v>
      </c>
      <c r="F114" s="2" t="s">
        <v>483</v>
      </c>
      <c r="G114" s="3" t="s">
        <v>49</v>
      </c>
      <c r="H114" s="2" t="s">
        <v>443</v>
      </c>
      <c r="I114" s="2" t="s">
        <v>51</v>
      </c>
      <c r="J114" s="2" t="s">
        <v>52</v>
      </c>
      <c r="K114" s="2" t="s">
        <v>53</v>
      </c>
      <c r="L114" s="2" t="s">
        <v>53</v>
      </c>
      <c r="M114" s="2" t="s">
        <v>54</v>
      </c>
      <c r="N114" s="2" t="s">
        <v>53</v>
      </c>
      <c r="O114" s="2"/>
    </row>
    <row r="115" spans="1:15" ht="89.25" x14ac:dyDescent="0.25">
      <c r="A115" s="2" t="s">
        <v>529</v>
      </c>
      <c r="B115" s="2" t="s">
        <v>16</v>
      </c>
      <c r="C115" s="2" t="s">
        <v>526</v>
      </c>
      <c r="D115" s="2" t="s">
        <v>530</v>
      </c>
      <c r="E115" s="2" t="s">
        <v>528</v>
      </c>
      <c r="F115" s="2" t="s">
        <v>483</v>
      </c>
      <c r="G115" s="3" t="s">
        <v>21</v>
      </c>
      <c r="H115" s="2" t="s">
        <v>531</v>
      </c>
      <c r="I115" s="2" t="s">
        <v>452</v>
      </c>
      <c r="J115" s="2" t="s">
        <v>453</v>
      </c>
      <c r="K115" s="2" t="s">
        <v>196</v>
      </c>
      <c r="L115" s="2" t="s">
        <v>147</v>
      </c>
      <c r="M115" s="2" t="s">
        <v>454</v>
      </c>
      <c r="N115" s="2" t="s">
        <v>28</v>
      </c>
      <c r="O115" s="2"/>
    </row>
    <row r="116" spans="1:15" ht="38.25" x14ac:dyDescent="0.25">
      <c r="A116" s="2" t="s">
        <v>532</v>
      </c>
      <c r="B116" s="2" t="s">
        <v>16</v>
      </c>
      <c r="C116" s="2" t="s">
        <v>526</v>
      </c>
      <c r="D116" s="2" t="s">
        <v>533</v>
      </c>
      <c r="E116" s="2" t="s">
        <v>528</v>
      </c>
      <c r="F116" s="2" t="s">
        <v>483</v>
      </c>
      <c r="G116" s="3" t="s">
        <v>85</v>
      </c>
      <c r="H116" s="2" t="s">
        <v>534</v>
      </c>
      <c r="I116" s="2" t="s">
        <v>452</v>
      </c>
      <c r="J116" s="2" t="s">
        <v>453</v>
      </c>
      <c r="K116" s="2" t="s">
        <v>196</v>
      </c>
      <c r="L116" s="2" t="s">
        <v>147</v>
      </c>
      <c r="M116" s="2" t="s">
        <v>454</v>
      </c>
      <c r="N116" s="2" t="s">
        <v>77</v>
      </c>
      <c r="O116" s="2"/>
    </row>
    <row r="117" spans="1:15" ht="89.25" x14ac:dyDescent="0.25">
      <c r="A117" s="2" t="s">
        <v>535</v>
      </c>
      <c r="B117" s="2" t="s">
        <v>16</v>
      </c>
      <c r="C117" s="2" t="s">
        <v>526</v>
      </c>
      <c r="D117" s="2" t="s">
        <v>536</v>
      </c>
      <c r="E117" s="2" t="s">
        <v>528</v>
      </c>
      <c r="F117" s="2" t="s">
        <v>483</v>
      </c>
      <c r="G117" s="3" t="s">
        <v>85</v>
      </c>
      <c r="H117" s="2" t="s">
        <v>537</v>
      </c>
      <c r="I117" s="2" t="s">
        <v>452</v>
      </c>
      <c r="J117" s="2" t="s">
        <v>453</v>
      </c>
      <c r="K117" s="2" t="s">
        <v>196</v>
      </c>
      <c r="L117" s="2" t="s">
        <v>147</v>
      </c>
      <c r="M117" s="2" t="s">
        <v>454</v>
      </c>
      <c r="N117" s="2" t="s">
        <v>77</v>
      </c>
      <c r="O117" s="2"/>
    </row>
    <row r="118" spans="1:15" ht="38.25" x14ac:dyDescent="0.25">
      <c r="A118" s="2" t="s">
        <v>538</v>
      </c>
      <c r="B118" s="2" t="s">
        <v>16</v>
      </c>
      <c r="C118" s="2" t="s">
        <v>526</v>
      </c>
      <c r="D118" s="2" t="s">
        <v>539</v>
      </c>
      <c r="E118" s="2" t="s">
        <v>528</v>
      </c>
      <c r="F118" s="2" t="s">
        <v>483</v>
      </c>
      <c r="G118" s="3" t="s">
        <v>49</v>
      </c>
      <c r="H118" s="2" t="s">
        <v>443</v>
      </c>
      <c r="I118" s="2" t="s">
        <v>51</v>
      </c>
      <c r="J118" s="2" t="s">
        <v>52</v>
      </c>
      <c r="K118" s="2" t="s">
        <v>53</v>
      </c>
      <c r="L118" s="2" t="s">
        <v>53</v>
      </c>
      <c r="M118" s="2" t="s">
        <v>54</v>
      </c>
      <c r="N118" s="2" t="s">
        <v>53</v>
      </c>
      <c r="O118" s="2"/>
    </row>
    <row r="119" spans="1:15" ht="38.25" x14ac:dyDescent="0.25">
      <c r="A119" s="2" t="s">
        <v>540</v>
      </c>
      <c r="B119" s="2" t="s">
        <v>16</v>
      </c>
      <c r="C119" s="2" t="s">
        <v>526</v>
      </c>
      <c r="D119" s="2" t="s">
        <v>541</v>
      </c>
      <c r="E119" s="2" t="s">
        <v>528</v>
      </c>
      <c r="F119" s="2" t="s">
        <v>483</v>
      </c>
      <c r="G119" s="3" t="s">
        <v>49</v>
      </c>
      <c r="H119" s="2" t="s">
        <v>443</v>
      </c>
      <c r="I119" s="2" t="s">
        <v>51</v>
      </c>
      <c r="J119" s="2" t="s">
        <v>52</v>
      </c>
      <c r="K119" s="2" t="s">
        <v>53</v>
      </c>
      <c r="L119" s="2" t="s">
        <v>53</v>
      </c>
      <c r="M119" s="2" t="s">
        <v>54</v>
      </c>
      <c r="N119" s="2" t="s">
        <v>53</v>
      </c>
      <c r="O119" s="2"/>
    </row>
    <row r="120" spans="1:15" ht="25.5" x14ac:dyDescent="0.25">
      <c r="A120" s="2" t="s">
        <v>542</v>
      </c>
      <c r="B120" s="2" t="s">
        <v>16</v>
      </c>
      <c r="C120" s="2" t="s">
        <v>526</v>
      </c>
      <c r="D120" s="2" t="s">
        <v>543</v>
      </c>
      <c r="E120" s="2" t="s">
        <v>528</v>
      </c>
      <c r="F120" s="2" t="s">
        <v>483</v>
      </c>
      <c r="G120" s="3" t="s">
        <v>49</v>
      </c>
      <c r="H120" s="2" t="s">
        <v>443</v>
      </c>
      <c r="I120" s="2" t="s">
        <v>51</v>
      </c>
      <c r="J120" s="2" t="s">
        <v>52</v>
      </c>
      <c r="K120" s="2" t="s">
        <v>53</v>
      </c>
      <c r="L120" s="2" t="s">
        <v>53</v>
      </c>
      <c r="M120" s="2" t="s">
        <v>54</v>
      </c>
      <c r="N120" s="2" t="s">
        <v>53</v>
      </c>
      <c r="O120" s="2"/>
    </row>
    <row r="121" spans="1:15" ht="51" x14ac:dyDescent="0.25">
      <c r="A121" s="2" t="s">
        <v>544</v>
      </c>
      <c r="B121" s="2" t="s">
        <v>16</v>
      </c>
      <c r="C121" s="2" t="s">
        <v>545</v>
      </c>
      <c r="D121" s="2" t="s">
        <v>546</v>
      </c>
      <c r="E121" s="2" t="s">
        <v>407</v>
      </c>
      <c r="F121" s="2" t="s">
        <v>153</v>
      </c>
      <c r="G121" s="3" t="s">
        <v>70</v>
      </c>
      <c r="H121" s="2" t="s">
        <v>547</v>
      </c>
      <c r="I121" s="2" t="s">
        <v>109</v>
      </c>
      <c r="J121" s="2" t="s">
        <v>110</v>
      </c>
      <c r="K121" s="2" t="s">
        <v>111</v>
      </c>
      <c r="L121" s="2" t="s">
        <v>112</v>
      </c>
      <c r="M121" s="2" t="s">
        <v>113</v>
      </c>
      <c r="N121" s="2" t="s">
        <v>77</v>
      </c>
      <c r="O121" s="2"/>
    </row>
    <row r="122" spans="1:15" ht="38.25" x14ac:dyDescent="0.25">
      <c r="A122" s="2" t="s">
        <v>548</v>
      </c>
      <c r="B122" s="2" t="s">
        <v>16</v>
      </c>
      <c r="C122" s="2" t="s">
        <v>545</v>
      </c>
      <c r="D122" s="2" t="s">
        <v>549</v>
      </c>
      <c r="E122" s="2" t="s">
        <v>407</v>
      </c>
      <c r="F122" s="2" t="s">
        <v>118</v>
      </c>
      <c r="G122" s="3" t="s">
        <v>158</v>
      </c>
      <c r="H122" s="2" t="s">
        <v>550</v>
      </c>
      <c r="I122" s="2" t="s">
        <v>120</v>
      </c>
      <c r="J122" s="2" t="s">
        <v>121</v>
      </c>
      <c r="K122" s="2" t="s">
        <v>122</v>
      </c>
      <c r="L122" s="2" t="s">
        <v>123</v>
      </c>
      <c r="M122" s="2" t="s">
        <v>124</v>
      </c>
      <c r="N122" s="2" t="s">
        <v>165</v>
      </c>
      <c r="O122" s="2"/>
    </row>
    <row r="123" spans="1:15" ht="51" x14ac:dyDescent="0.25">
      <c r="A123" s="2" t="s">
        <v>551</v>
      </c>
      <c r="B123" s="2" t="s">
        <v>16</v>
      </c>
      <c r="C123" s="2" t="s">
        <v>545</v>
      </c>
      <c r="D123" s="2" t="s">
        <v>552</v>
      </c>
      <c r="E123" s="2" t="s">
        <v>407</v>
      </c>
      <c r="F123" s="2" t="s">
        <v>118</v>
      </c>
      <c r="G123" s="3" t="s">
        <v>70</v>
      </c>
      <c r="H123" s="2" t="s">
        <v>553</v>
      </c>
      <c r="I123" s="2" t="s">
        <v>120</v>
      </c>
      <c r="J123" s="2" t="s">
        <v>121</v>
      </c>
      <c r="K123" s="2" t="s">
        <v>122</v>
      </c>
      <c r="L123" s="2" t="s">
        <v>123</v>
      </c>
      <c r="M123" s="2" t="s">
        <v>124</v>
      </c>
      <c r="N123" s="2" t="s">
        <v>77</v>
      </c>
      <c r="O123" s="2"/>
    </row>
    <row r="124" spans="1:15" ht="51" x14ac:dyDescent="0.25">
      <c r="A124" s="2" t="s">
        <v>554</v>
      </c>
      <c r="B124" s="2" t="s">
        <v>16</v>
      </c>
      <c r="C124" s="2" t="s">
        <v>555</v>
      </c>
      <c r="D124" s="2" t="s">
        <v>556</v>
      </c>
      <c r="E124" s="2" t="s">
        <v>557</v>
      </c>
      <c r="F124" s="2" t="s">
        <v>558</v>
      </c>
      <c r="G124" s="3" t="s">
        <v>21</v>
      </c>
      <c r="H124" s="2" t="s">
        <v>559</v>
      </c>
      <c r="I124" s="2" t="s">
        <v>120</v>
      </c>
      <c r="J124" s="2" t="s">
        <v>121</v>
      </c>
      <c r="K124" s="2" t="s">
        <v>122</v>
      </c>
      <c r="L124" s="2" t="s">
        <v>123</v>
      </c>
      <c r="M124" s="2" t="s">
        <v>124</v>
      </c>
      <c r="N124" s="2" t="s">
        <v>28</v>
      </c>
      <c r="O124" s="2"/>
    </row>
    <row r="125" spans="1:15" ht="38.25" x14ac:dyDescent="0.25">
      <c r="A125" s="2" t="s">
        <v>560</v>
      </c>
      <c r="B125" s="2" t="s">
        <v>16</v>
      </c>
      <c r="C125" s="2" t="s">
        <v>555</v>
      </c>
      <c r="D125" s="2" t="s">
        <v>561</v>
      </c>
      <c r="E125" s="2" t="s">
        <v>562</v>
      </c>
      <c r="F125" s="2" t="s">
        <v>558</v>
      </c>
      <c r="G125" s="3" t="s">
        <v>85</v>
      </c>
      <c r="H125" s="2" t="s">
        <v>563</v>
      </c>
      <c r="I125" s="2" t="s">
        <v>120</v>
      </c>
      <c r="J125" s="2" t="s">
        <v>121</v>
      </c>
      <c r="K125" s="2" t="s">
        <v>122</v>
      </c>
      <c r="L125" s="2" t="s">
        <v>123</v>
      </c>
      <c r="M125" s="2" t="s">
        <v>124</v>
      </c>
      <c r="N125" s="2" t="s">
        <v>77</v>
      </c>
      <c r="O125" s="2"/>
    </row>
    <row r="126" spans="1:15" ht="63.75" x14ac:dyDescent="0.25">
      <c r="A126" s="2" t="s">
        <v>564</v>
      </c>
      <c r="B126" s="2" t="s">
        <v>16</v>
      </c>
      <c r="C126" s="2" t="s">
        <v>565</v>
      </c>
      <c r="D126" s="2" t="s">
        <v>566</v>
      </c>
      <c r="E126" s="2" t="s">
        <v>117</v>
      </c>
      <c r="F126" s="2" t="s">
        <v>558</v>
      </c>
      <c r="G126" s="3" t="s">
        <v>85</v>
      </c>
      <c r="H126" s="2" t="s">
        <v>567</v>
      </c>
      <c r="I126" s="2" t="s">
        <v>120</v>
      </c>
      <c r="J126" s="2" t="s">
        <v>121</v>
      </c>
      <c r="K126" s="2" t="s">
        <v>122</v>
      </c>
      <c r="L126" s="2" t="s">
        <v>123</v>
      </c>
      <c r="M126" s="2" t="s">
        <v>124</v>
      </c>
      <c r="N126" s="2" t="s">
        <v>77</v>
      </c>
      <c r="O126" s="2"/>
    </row>
    <row r="127" spans="1:15" ht="38.25" x14ac:dyDescent="0.25">
      <c r="A127" s="2" t="s">
        <v>568</v>
      </c>
      <c r="B127" s="2" t="s">
        <v>16</v>
      </c>
      <c r="C127" s="2" t="s">
        <v>565</v>
      </c>
      <c r="D127" s="2" t="s">
        <v>569</v>
      </c>
      <c r="E127" s="2" t="s">
        <v>570</v>
      </c>
      <c r="F127" s="2" t="s">
        <v>558</v>
      </c>
      <c r="G127" s="3" t="s">
        <v>85</v>
      </c>
      <c r="H127" s="2" t="s">
        <v>571</v>
      </c>
      <c r="I127" s="2" t="s">
        <v>120</v>
      </c>
      <c r="J127" s="2" t="s">
        <v>121</v>
      </c>
      <c r="K127" s="2" t="s">
        <v>122</v>
      </c>
      <c r="L127" s="2" t="s">
        <v>123</v>
      </c>
      <c r="M127" s="2" t="s">
        <v>124</v>
      </c>
      <c r="N127" s="2" t="s">
        <v>77</v>
      </c>
      <c r="O127" s="2"/>
    </row>
    <row r="128" spans="1:15" ht="38.25" x14ac:dyDescent="0.25">
      <c r="A128" s="2" t="s">
        <v>572</v>
      </c>
      <c r="B128" s="2" t="s">
        <v>16</v>
      </c>
      <c r="C128" s="2" t="s">
        <v>565</v>
      </c>
      <c r="D128" s="2" t="s">
        <v>573</v>
      </c>
      <c r="E128" s="2" t="s">
        <v>570</v>
      </c>
      <c r="F128" s="2" t="s">
        <v>574</v>
      </c>
      <c r="G128" s="3" t="s">
        <v>85</v>
      </c>
      <c r="H128" s="2" t="s">
        <v>575</v>
      </c>
      <c r="I128" s="2" t="s">
        <v>120</v>
      </c>
      <c r="J128" s="2" t="s">
        <v>121</v>
      </c>
      <c r="K128" s="2" t="s">
        <v>122</v>
      </c>
      <c r="L128" s="2" t="s">
        <v>123</v>
      </c>
      <c r="M128" s="2" t="s">
        <v>124</v>
      </c>
      <c r="N128" s="2" t="s">
        <v>77</v>
      </c>
      <c r="O128" s="2"/>
    </row>
    <row r="129" spans="1:15" ht="38.25" x14ac:dyDescent="0.25">
      <c r="A129" s="2" t="s">
        <v>576</v>
      </c>
      <c r="B129" s="2" t="s">
        <v>16</v>
      </c>
      <c r="C129" s="2" t="s">
        <v>577</v>
      </c>
      <c r="D129" s="2" t="s">
        <v>578</v>
      </c>
      <c r="E129" s="2" t="s">
        <v>187</v>
      </c>
      <c r="F129" s="2" t="s">
        <v>558</v>
      </c>
      <c r="G129" s="3" t="s">
        <v>21</v>
      </c>
      <c r="H129" s="2" t="s">
        <v>579</v>
      </c>
      <c r="I129" s="2" t="s">
        <v>120</v>
      </c>
      <c r="J129" s="2" t="s">
        <v>121</v>
      </c>
      <c r="K129" s="2" t="s">
        <v>122</v>
      </c>
      <c r="L129" s="2" t="s">
        <v>123</v>
      </c>
      <c r="M129" s="2" t="s">
        <v>124</v>
      </c>
      <c r="N129" s="2" t="s">
        <v>28</v>
      </c>
      <c r="O129" s="2"/>
    </row>
    <row r="130" spans="1:15" ht="38.25" x14ac:dyDescent="0.25">
      <c r="A130" s="2" t="s">
        <v>580</v>
      </c>
      <c r="B130" s="2" t="s">
        <v>16</v>
      </c>
      <c r="C130" s="2" t="s">
        <v>577</v>
      </c>
      <c r="D130" s="2" t="s">
        <v>581</v>
      </c>
      <c r="E130" s="2" t="s">
        <v>117</v>
      </c>
      <c r="F130" s="2" t="s">
        <v>558</v>
      </c>
      <c r="G130" s="3" t="s">
        <v>21</v>
      </c>
      <c r="H130" s="2" t="s">
        <v>582</v>
      </c>
      <c r="I130" s="2" t="s">
        <v>120</v>
      </c>
      <c r="J130" s="2" t="s">
        <v>121</v>
      </c>
      <c r="K130" s="2" t="s">
        <v>122</v>
      </c>
      <c r="L130" s="2" t="s">
        <v>123</v>
      </c>
      <c r="M130" s="2" t="s">
        <v>124</v>
      </c>
      <c r="N130" s="2" t="s">
        <v>28</v>
      </c>
      <c r="O130" s="2"/>
    </row>
    <row r="131" spans="1:15" ht="38.25" x14ac:dyDescent="0.25">
      <c r="A131" s="2" t="s">
        <v>583</v>
      </c>
      <c r="B131" s="2" t="s">
        <v>16</v>
      </c>
      <c r="C131" s="2" t="s">
        <v>584</v>
      </c>
      <c r="D131" s="2" t="s">
        <v>585</v>
      </c>
      <c r="E131" s="2" t="s">
        <v>586</v>
      </c>
      <c r="F131" s="2" t="s">
        <v>587</v>
      </c>
      <c r="G131" s="3" t="s">
        <v>70</v>
      </c>
      <c r="H131" s="2" t="s">
        <v>588</v>
      </c>
      <c r="I131" s="2" t="s">
        <v>120</v>
      </c>
      <c r="J131" s="2" t="s">
        <v>121</v>
      </c>
      <c r="K131" s="2" t="s">
        <v>122</v>
      </c>
      <c r="L131" s="2" t="s">
        <v>123</v>
      </c>
      <c r="M131" s="2" t="s">
        <v>124</v>
      </c>
      <c r="N131" s="2" t="s">
        <v>77</v>
      </c>
      <c r="O131" s="2"/>
    </row>
    <row r="132" spans="1:15" ht="63.75" x14ac:dyDescent="0.25">
      <c r="A132" s="2" t="s">
        <v>589</v>
      </c>
      <c r="B132" s="2" t="s">
        <v>16</v>
      </c>
      <c r="C132" s="2" t="s">
        <v>584</v>
      </c>
      <c r="D132" s="2" t="s">
        <v>590</v>
      </c>
      <c r="E132" s="2" t="s">
        <v>591</v>
      </c>
      <c r="F132" s="2" t="s">
        <v>153</v>
      </c>
      <c r="G132" s="3" t="s">
        <v>70</v>
      </c>
      <c r="H132" s="2" t="s">
        <v>592</v>
      </c>
      <c r="I132" s="2" t="s">
        <v>109</v>
      </c>
      <c r="J132" s="2" t="s">
        <v>110</v>
      </c>
      <c r="K132" s="2" t="s">
        <v>111</v>
      </c>
      <c r="L132" s="2" t="s">
        <v>112</v>
      </c>
      <c r="M132" s="2" t="s">
        <v>113</v>
      </c>
      <c r="N132" s="2" t="s">
        <v>77</v>
      </c>
      <c r="O132" s="2"/>
    </row>
    <row r="133" spans="1:15" ht="51" x14ac:dyDescent="0.25">
      <c r="A133" s="2" t="s">
        <v>593</v>
      </c>
      <c r="B133" s="2" t="s">
        <v>16</v>
      </c>
      <c r="C133" s="2" t="s">
        <v>584</v>
      </c>
      <c r="D133" s="2" t="s">
        <v>594</v>
      </c>
      <c r="E133" s="2" t="s">
        <v>591</v>
      </c>
      <c r="F133" s="2" t="s">
        <v>390</v>
      </c>
      <c r="G133" s="3" t="s">
        <v>21</v>
      </c>
      <c r="H133" s="2" t="s">
        <v>595</v>
      </c>
      <c r="I133" s="2" t="s">
        <v>392</v>
      </c>
      <c r="J133" s="2" t="s">
        <v>393</v>
      </c>
      <c r="K133" s="2" t="s">
        <v>394</v>
      </c>
      <c r="L133" s="2" t="s">
        <v>147</v>
      </c>
      <c r="M133" s="2" t="s">
        <v>256</v>
      </c>
      <c r="N133" s="2" t="s">
        <v>28</v>
      </c>
      <c r="O133" s="2" t="s">
        <v>596</v>
      </c>
    </row>
    <row r="134" spans="1:15" ht="38.25" x14ac:dyDescent="0.25">
      <c r="A134" s="2" t="s">
        <v>597</v>
      </c>
      <c r="B134" s="2" t="s">
        <v>16</v>
      </c>
      <c r="C134" s="2" t="s">
        <v>584</v>
      </c>
      <c r="D134" s="2" t="s">
        <v>598</v>
      </c>
      <c r="E134" s="2" t="s">
        <v>187</v>
      </c>
      <c r="F134" s="2" t="s">
        <v>183</v>
      </c>
      <c r="G134" s="3" t="s">
        <v>85</v>
      </c>
      <c r="H134" s="2" t="s">
        <v>599</v>
      </c>
      <c r="I134" s="2" t="s">
        <v>144</v>
      </c>
      <c r="J134" s="2" t="s">
        <v>145</v>
      </c>
      <c r="K134" s="2" t="s">
        <v>146</v>
      </c>
      <c r="L134" s="2" t="s">
        <v>147</v>
      </c>
      <c r="M134" s="2" t="s">
        <v>148</v>
      </c>
      <c r="N134" s="2" t="s">
        <v>77</v>
      </c>
      <c r="O134" s="2"/>
    </row>
    <row r="135" spans="1:15" ht="38.25" x14ac:dyDescent="0.25">
      <c r="A135" s="2" t="s">
        <v>600</v>
      </c>
      <c r="B135" s="2" t="s">
        <v>16</v>
      </c>
      <c r="C135" s="2" t="s">
        <v>601</v>
      </c>
      <c r="D135" s="2" t="s">
        <v>602</v>
      </c>
      <c r="E135" s="2" t="s">
        <v>603</v>
      </c>
      <c r="F135" s="2" t="s">
        <v>587</v>
      </c>
      <c r="G135" s="3" t="s">
        <v>85</v>
      </c>
      <c r="H135" s="2" t="s">
        <v>604</v>
      </c>
      <c r="I135" s="2" t="s">
        <v>120</v>
      </c>
      <c r="J135" s="2" t="s">
        <v>121</v>
      </c>
      <c r="K135" s="2" t="s">
        <v>122</v>
      </c>
      <c r="L135" s="2" t="s">
        <v>123</v>
      </c>
      <c r="M135" s="2" t="s">
        <v>124</v>
      </c>
      <c r="N135" s="2" t="s">
        <v>77</v>
      </c>
      <c r="O135" s="2"/>
    </row>
    <row r="136" spans="1:15" ht="38.25" x14ac:dyDescent="0.25">
      <c r="A136" s="2" t="s">
        <v>605</v>
      </c>
      <c r="B136" s="2" t="s">
        <v>16</v>
      </c>
      <c r="C136" s="2" t="s">
        <v>601</v>
      </c>
      <c r="D136" s="2" t="s">
        <v>606</v>
      </c>
      <c r="E136" s="2" t="s">
        <v>607</v>
      </c>
      <c r="F136" s="2" t="s">
        <v>587</v>
      </c>
      <c r="G136" s="3" t="s">
        <v>85</v>
      </c>
      <c r="H136" s="2" t="s">
        <v>608</v>
      </c>
      <c r="I136" s="2" t="s">
        <v>120</v>
      </c>
      <c r="J136" s="2" t="s">
        <v>121</v>
      </c>
      <c r="K136" s="2" t="s">
        <v>122</v>
      </c>
      <c r="L136" s="2" t="s">
        <v>123</v>
      </c>
      <c r="M136" s="2" t="s">
        <v>124</v>
      </c>
      <c r="N136" s="2" t="s">
        <v>77</v>
      </c>
      <c r="O136" s="2"/>
    </row>
    <row r="137" spans="1:15" ht="38.25" x14ac:dyDescent="0.25">
      <c r="A137" s="2" t="s">
        <v>609</v>
      </c>
      <c r="B137" s="2" t="s">
        <v>16</v>
      </c>
      <c r="C137" s="2" t="s">
        <v>601</v>
      </c>
      <c r="D137" s="2" t="s">
        <v>610</v>
      </c>
      <c r="E137" s="2" t="s">
        <v>607</v>
      </c>
      <c r="F137" s="2" t="s">
        <v>587</v>
      </c>
      <c r="G137" s="3" t="s">
        <v>85</v>
      </c>
      <c r="H137" s="2" t="s">
        <v>611</v>
      </c>
      <c r="I137" s="2" t="s">
        <v>120</v>
      </c>
      <c r="J137" s="2" t="s">
        <v>121</v>
      </c>
      <c r="K137" s="2" t="s">
        <v>122</v>
      </c>
      <c r="L137" s="2" t="s">
        <v>123</v>
      </c>
      <c r="M137" s="2" t="s">
        <v>124</v>
      </c>
      <c r="N137" s="2" t="s">
        <v>77</v>
      </c>
      <c r="O137" s="2"/>
    </row>
    <row r="138" spans="1:15" ht="38.25" x14ac:dyDescent="0.25">
      <c r="A138" s="2" t="s">
        <v>612</v>
      </c>
      <c r="B138" s="2" t="s">
        <v>16</v>
      </c>
      <c r="C138" s="2" t="s">
        <v>601</v>
      </c>
      <c r="D138" s="2" t="s">
        <v>613</v>
      </c>
      <c r="E138" s="2" t="s">
        <v>607</v>
      </c>
      <c r="F138" s="2" t="s">
        <v>587</v>
      </c>
      <c r="G138" s="3" t="s">
        <v>85</v>
      </c>
      <c r="H138" s="2" t="s">
        <v>614</v>
      </c>
      <c r="I138" s="2" t="s">
        <v>120</v>
      </c>
      <c r="J138" s="2" t="s">
        <v>121</v>
      </c>
      <c r="K138" s="2" t="s">
        <v>122</v>
      </c>
      <c r="L138" s="2" t="s">
        <v>123</v>
      </c>
      <c r="M138" s="2" t="s">
        <v>124</v>
      </c>
      <c r="N138" s="2" t="s">
        <v>77</v>
      </c>
      <c r="O138" s="2"/>
    </row>
    <row r="139" spans="1:15" ht="38.25" x14ac:dyDescent="0.25">
      <c r="A139" s="2" t="s">
        <v>615</v>
      </c>
      <c r="B139" s="2" t="s">
        <v>16</v>
      </c>
      <c r="C139" s="2" t="s">
        <v>601</v>
      </c>
      <c r="D139" s="2" t="s">
        <v>616</v>
      </c>
      <c r="E139" s="2" t="s">
        <v>607</v>
      </c>
      <c r="F139" s="2" t="s">
        <v>587</v>
      </c>
      <c r="G139" s="3" t="s">
        <v>85</v>
      </c>
      <c r="H139" s="2" t="s">
        <v>617</v>
      </c>
      <c r="I139" s="2" t="s">
        <v>120</v>
      </c>
      <c r="J139" s="2" t="s">
        <v>121</v>
      </c>
      <c r="K139" s="2" t="s">
        <v>122</v>
      </c>
      <c r="L139" s="2" t="s">
        <v>123</v>
      </c>
      <c r="M139" s="2" t="s">
        <v>124</v>
      </c>
      <c r="N139" s="2" t="s">
        <v>77</v>
      </c>
      <c r="O139" s="2"/>
    </row>
    <row r="140" spans="1:15" ht="38.25" x14ac:dyDescent="0.25">
      <c r="A140" s="2" t="s">
        <v>618</v>
      </c>
      <c r="B140" s="2" t="s">
        <v>16</v>
      </c>
      <c r="C140" s="2" t="s">
        <v>601</v>
      </c>
      <c r="D140" s="2" t="s">
        <v>619</v>
      </c>
      <c r="E140" s="2" t="s">
        <v>620</v>
      </c>
      <c r="F140" s="2" t="s">
        <v>157</v>
      </c>
      <c r="G140" s="3" t="s">
        <v>21</v>
      </c>
      <c r="H140" s="2" t="s">
        <v>621</v>
      </c>
      <c r="I140" s="2" t="s">
        <v>160</v>
      </c>
      <c r="J140" s="2" t="s">
        <v>161</v>
      </c>
      <c r="K140" s="2" t="s">
        <v>162</v>
      </c>
      <c r="L140" s="2" t="s">
        <v>163</v>
      </c>
      <c r="M140" s="2" t="s">
        <v>164</v>
      </c>
      <c r="N140" s="2" t="s">
        <v>28</v>
      </c>
      <c r="O140" s="2"/>
    </row>
    <row r="141" spans="1:15" ht="25.5" x14ac:dyDescent="0.25">
      <c r="A141" s="2" t="s">
        <v>622</v>
      </c>
      <c r="B141" s="2" t="s">
        <v>16</v>
      </c>
      <c r="C141" s="2" t="s">
        <v>601</v>
      </c>
      <c r="D141" s="2" t="s">
        <v>623</v>
      </c>
      <c r="E141" s="2" t="s">
        <v>624</v>
      </c>
      <c r="F141" s="2" t="s">
        <v>157</v>
      </c>
      <c r="G141" s="3" t="s">
        <v>85</v>
      </c>
      <c r="H141" s="2" t="s">
        <v>625</v>
      </c>
      <c r="I141" s="2" t="s">
        <v>160</v>
      </c>
      <c r="J141" s="2" t="s">
        <v>161</v>
      </c>
      <c r="K141" s="2" t="s">
        <v>162</v>
      </c>
      <c r="L141" s="2" t="s">
        <v>163</v>
      </c>
      <c r="M141" s="2" t="s">
        <v>164</v>
      </c>
      <c r="N141" s="2" t="s">
        <v>77</v>
      </c>
      <c r="O141" s="2"/>
    </row>
    <row r="142" spans="1:15" ht="25.5" x14ac:dyDescent="0.25">
      <c r="A142" s="2" t="s">
        <v>626</v>
      </c>
      <c r="B142" s="2" t="s">
        <v>16</v>
      </c>
      <c r="C142" s="2" t="s">
        <v>601</v>
      </c>
      <c r="D142" s="2" t="s">
        <v>627</v>
      </c>
      <c r="E142" s="2" t="s">
        <v>187</v>
      </c>
      <c r="F142" s="2" t="s">
        <v>157</v>
      </c>
      <c r="G142" s="3" t="s">
        <v>70</v>
      </c>
      <c r="H142" s="2" t="s">
        <v>628</v>
      </c>
      <c r="I142" s="2" t="s">
        <v>160</v>
      </c>
      <c r="J142" s="2" t="s">
        <v>161</v>
      </c>
      <c r="K142" s="2" t="s">
        <v>162</v>
      </c>
      <c r="L142" s="2" t="s">
        <v>163</v>
      </c>
      <c r="M142" s="2" t="s">
        <v>164</v>
      </c>
      <c r="N142" s="2" t="s">
        <v>77</v>
      </c>
      <c r="O142" s="2"/>
    </row>
    <row r="143" spans="1:15" ht="38.25" x14ac:dyDescent="0.25">
      <c r="A143" s="2" t="s">
        <v>629</v>
      </c>
      <c r="B143" s="2" t="s">
        <v>16</v>
      </c>
      <c r="C143" s="2" t="s">
        <v>630</v>
      </c>
      <c r="D143" s="2" t="s">
        <v>631</v>
      </c>
      <c r="E143" s="2" t="s">
        <v>117</v>
      </c>
      <c r="F143" s="2" t="s">
        <v>632</v>
      </c>
      <c r="G143" s="3" t="s">
        <v>85</v>
      </c>
      <c r="H143" s="2" t="s">
        <v>633</v>
      </c>
      <c r="I143" s="2" t="s">
        <v>634</v>
      </c>
      <c r="J143" s="2" t="s">
        <v>635</v>
      </c>
      <c r="K143" s="2" t="s">
        <v>636</v>
      </c>
      <c r="L143" s="2" t="s">
        <v>637</v>
      </c>
      <c r="M143" s="2" t="s">
        <v>638</v>
      </c>
      <c r="N143" s="2" t="s">
        <v>77</v>
      </c>
      <c r="O143" s="2"/>
    </row>
    <row r="144" spans="1:15" ht="38.25" x14ac:dyDescent="0.25">
      <c r="A144" s="2" t="s">
        <v>639</v>
      </c>
      <c r="B144" s="2" t="s">
        <v>16</v>
      </c>
      <c r="C144" s="2" t="s">
        <v>630</v>
      </c>
      <c r="D144" s="2" t="s">
        <v>640</v>
      </c>
      <c r="E144" s="2" t="s">
        <v>562</v>
      </c>
      <c r="F144" s="2" t="s">
        <v>632</v>
      </c>
      <c r="G144" s="3" t="s">
        <v>85</v>
      </c>
      <c r="H144" s="2" t="s">
        <v>641</v>
      </c>
      <c r="I144" s="2" t="s">
        <v>120</v>
      </c>
      <c r="J144" s="2" t="s">
        <v>121</v>
      </c>
      <c r="K144" s="2" t="s">
        <v>122</v>
      </c>
      <c r="L144" s="2" t="s">
        <v>123</v>
      </c>
      <c r="M144" s="2" t="s">
        <v>124</v>
      </c>
      <c r="N144" s="2" t="s">
        <v>77</v>
      </c>
      <c r="O144" s="2"/>
    </row>
    <row r="145" spans="1:15" ht="38.25" x14ac:dyDescent="0.25">
      <c r="A145" s="2" t="s">
        <v>642</v>
      </c>
      <c r="B145" s="2" t="s">
        <v>16</v>
      </c>
      <c r="C145" s="2" t="s">
        <v>630</v>
      </c>
      <c r="D145" s="2" t="s">
        <v>643</v>
      </c>
      <c r="E145" s="2" t="s">
        <v>644</v>
      </c>
      <c r="F145" s="2" t="s">
        <v>632</v>
      </c>
      <c r="G145" s="3" t="s">
        <v>21</v>
      </c>
      <c r="H145" s="2" t="s">
        <v>645</v>
      </c>
      <c r="I145" s="2" t="s">
        <v>634</v>
      </c>
      <c r="J145" s="2" t="s">
        <v>635</v>
      </c>
      <c r="K145" s="2" t="s">
        <v>636</v>
      </c>
      <c r="L145" s="2" t="s">
        <v>637</v>
      </c>
      <c r="M145" s="2" t="s">
        <v>638</v>
      </c>
      <c r="N145" s="2" t="s">
        <v>28</v>
      </c>
      <c r="O145" s="2"/>
    </row>
    <row r="146" spans="1:15" ht="38.25" x14ac:dyDescent="0.25">
      <c r="A146" s="2" t="s">
        <v>646</v>
      </c>
      <c r="B146" s="2" t="s">
        <v>16</v>
      </c>
      <c r="C146" s="2" t="s">
        <v>647</v>
      </c>
      <c r="D146" s="2" t="s">
        <v>648</v>
      </c>
      <c r="E146" s="2" t="s">
        <v>586</v>
      </c>
      <c r="F146" s="2" t="s">
        <v>649</v>
      </c>
      <c r="G146" s="3" t="s">
        <v>85</v>
      </c>
      <c r="H146" s="2" t="s">
        <v>650</v>
      </c>
      <c r="I146" s="2" t="s">
        <v>120</v>
      </c>
      <c r="J146" s="2" t="s">
        <v>121</v>
      </c>
      <c r="K146" s="2" t="s">
        <v>122</v>
      </c>
      <c r="L146" s="2" t="s">
        <v>123</v>
      </c>
      <c r="M146" s="2" t="s">
        <v>124</v>
      </c>
      <c r="N146" s="2" t="s">
        <v>77</v>
      </c>
      <c r="O146" s="2"/>
    </row>
    <row r="147" spans="1:15" ht="51" x14ac:dyDescent="0.25">
      <c r="A147" s="2" t="s">
        <v>651</v>
      </c>
      <c r="B147" s="2" t="s">
        <v>16</v>
      </c>
      <c r="C147" s="2" t="s">
        <v>647</v>
      </c>
      <c r="D147" s="2" t="s">
        <v>652</v>
      </c>
      <c r="E147" s="2" t="s">
        <v>653</v>
      </c>
      <c r="F147" s="2" t="s">
        <v>649</v>
      </c>
      <c r="G147" s="3" t="s">
        <v>21</v>
      </c>
      <c r="H147" s="2" t="s">
        <v>654</v>
      </c>
      <c r="I147" s="2" t="s">
        <v>120</v>
      </c>
      <c r="J147" s="2" t="s">
        <v>121</v>
      </c>
      <c r="K147" s="2" t="s">
        <v>122</v>
      </c>
      <c r="L147" s="2" t="s">
        <v>123</v>
      </c>
      <c r="M147" s="2" t="s">
        <v>124</v>
      </c>
      <c r="N147" s="2" t="s">
        <v>28</v>
      </c>
      <c r="O147" s="2"/>
    </row>
    <row r="148" spans="1:15" ht="38.25" x14ac:dyDescent="0.25">
      <c r="A148" s="2" t="s">
        <v>655</v>
      </c>
      <c r="B148" s="2" t="s">
        <v>16</v>
      </c>
      <c r="C148" s="2" t="s">
        <v>647</v>
      </c>
      <c r="D148" s="2" t="s">
        <v>656</v>
      </c>
      <c r="E148" s="2" t="s">
        <v>657</v>
      </c>
      <c r="F148" s="2" t="s">
        <v>649</v>
      </c>
      <c r="G148" s="3" t="s">
        <v>21</v>
      </c>
      <c r="H148" s="2" t="s">
        <v>658</v>
      </c>
      <c r="I148" s="2" t="s">
        <v>120</v>
      </c>
      <c r="J148" s="2" t="s">
        <v>121</v>
      </c>
      <c r="K148" s="2" t="s">
        <v>122</v>
      </c>
      <c r="L148" s="2" t="s">
        <v>123</v>
      </c>
      <c r="M148" s="2" t="s">
        <v>124</v>
      </c>
      <c r="N148" s="2" t="s">
        <v>28</v>
      </c>
      <c r="O148" s="2"/>
    </row>
    <row r="149" spans="1:15" ht="38.25" x14ac:dyDescent="0.25">
      <c r="A149" s="2" t="s">
        <v>659</v>
      </c>
      <c r="B149" s="2" t="s">
        <v>16</v>
      </c>
      <c r="C149" s="2" t="s">
        <v>647</v>
      </c>
      <c r="D149" s="2" t="s">
        <v>660</v>
      </c>
      <c r="E149" s="2" t="s">
        <v>309</v>
      </c>
      <c r="F149" s="2" t="s">
        <v>649</v>
      </c>
      <c r="G149" s="3" t="s">
        <v>21</v>
      </c>
      <c r="H149" s="2" t="s">
        <v>661</v>
      </c>
      <c r="I149" s="2" t="s">
        <v>120</v>
      </c>
      <c r="J149" s="2" t="s">
        <v>121</v>
      </c>
      <c r="K149" s="2" t="s">
        <v>122</v>
      </c>
      <c r="L149" s="2" t="s">
        <v>123</v>
      </c>
      <c r="M149" s="2" t="s">
        <v>124</v>
      </c>
      <c r="N149" s="2" t="s">
        <v>28</v>
      </c>
      <c r="O149" s="2"/>
    </row>
    <row r="150" spans="1:15" ht="51" x14ac:dyDescent="0.25">
      <c r="A150" s="2" t="s">
        <v>662</v>
      </c>
      <c r="B150" s="2" t="s">
        <v>16</v>
      </c>
      <c r="C150" s="2" t="s">
        <v>663</v>
      </c>
      <c r="D150" s="2" t="s">
        <v>664</v>
      </c>
      <c r="E150" s="2" t="s">
        <v>263</v>
      </c>
      <c r="F150" s="2" t="s">
        <v>649</v>
      </c>
      <c r="G150" s="3" t="s">
        <v>158</v>
      </c>
      <c r="H150" s="2" t="s">
        <v>665</v>
      </c>
      <c r="I150" s="2" t="s">
        <v>120</v>
      </c>
      <c r="J150" s="2" t="s">
        <v>121</v>
      </c>
      <c r="K150" s="2" t="s">
        <v>122</v>
      </c>
      <c r="L150" s="2" t="s">
        <v>123</v>
      </c>
      <c r="M150" s="2" t="s">
        <v>124</v>
      </c>
      <c r="N150" s="2" t="s">
        <v>165</v>
      </c>
      <c r="O150" s="2"/>
    </row>
    <row r="151" spans="1:15" ht="38.25" x14ac:dyDescent="0.25">
      <c r="A151" s="2" t="s">
        <v>666</v>
      </c>
      <c r="B151" s="2" t="s">
        <v>16</v>
      </c>
      <c r="C151" s="2" t="s">
        <v>667</v>
      </c>
      <c r="D151" s="2" t="s">
        <v>668</v>
      </c>
      <c r="E151" s="2" t="s">
        <v>562</v>
      </c>
      <c r="F151" s="2" t="s">
        <v>669</v>
      </c>
      <c r="G151" s="3" t="s">
        <v>85</v>
      </c>
      <c r="H151" s="2" t="s">
        <v>670</v>
      </c>
      <c r="I151" s="2" t="s">
        <v>120</v>
      </c>
      <c r="J151" s="2" t="s">
        <v>121</v>
      </c>
      <c r="K151" s="2" t="s">
        <v>122</v>
      </c>
      <c r="L151" s="2" t="s">
        <v>123</v>
      </c>
      <c r="M151" s="2" t="s">
        <v>124</v>
      </c>
      <c r="N151" s="2" t="s">
        <v>77</v>
      </c>
      <c r="O151" s="2"/>
    </row>
    <row r="152" spans="1:15" ht="51" x14ac:dyDescent="0.25">
      <c r="A152" s="2" t="s">
        <v>671</v>
      </c>
      <c r="B152" s="2" t="s">
        <v>16</v>
      </c>
      <c r="C152" s="2" t="s">
        <v>667</v>
      </c>
      <c r="D152" s="2" t="s">
        <v>672</v>
      </c>
      <c r="E152" s="2" t="s">
        <v>562</v>
      </c>
      <c r="F152" s="2" t="s">
        <v>669</v>
      </c>
      <c r="G152" s="3" t="s">
        <v>85</v>
      </c>
      <c r="H152" s="2" t="s">
        <v>673</v>
      </c>
      <c r="I152" s="2" t="s">
        <v>120</v>
      </c>
      <c r="J152" s="2" t="s">
        <v>121</v>
      </c>
      <c r="K152" s="2" t="s">
        <v>122</v>
      </c>
      <c r="L152" s="2" t="s">
        <v>123</v>
      </c>
      <c r="M152" s="2" t="s">
        <v>124</v>
      </c>
      <c r="N152" s="2" t="s">
        <v>77</v>
      </c>
      <c r="O152" s="2"/>
    </row>
    <row r="153" spans="1:15" ht="63.75" x14ac:dyDescent="0.25">
      <c r="A153" s="2" t="s">
        <v>674</v>
      </c>
      <c r="B153" s="2" t="s">
        <v>16</v>
      </c>
      <c r="C153" s="2" t="s">
        <v>675</v>
      </c>
      <c r="D153" s="2" t="s">
        <v>676</v>
      </c>
      <c r="E153" s="2" t="s">
        <v>263</v>
      </c>
      <c r="F153" s="2" t="s">
        <v>669</v>
      </c>
      <c r="G153" s="3" t="s">
        <v>158</v>
      </c>
      <c r="H153" s="2" t="s">
        <v>677</v>
      </c>
      <c r="I153" s="2" t="s">
        <v>120</v>
      </c>
      <c r="J153" s="2" t="s">
        <v>121</v>
      </c>
      <c r="K153" s="2" t="s">
        <v>122</v>
      </c>
      <c r="L153" s="2" t="s">
        <v>123</v>
      </c>
      <c r="M153" s="2" t="s">
        <v>124</v>
      </c>
      <c r="N153" s="2" t="s">
        <v>165</v>
      </c>
      <c r="O153" s="2"/>
    </row>
    <row r="154" spans="1:15" ht="38.25" x14ac:dyDescent="0.25">
      <c r="A154" s="2" t="s">
        <v>678</v>
      </c>
      <c r="B154" s="2" t="s">
        <v>16</v>
      </c>
      <c r="C154" s="2" t="s">
        <v>679</v>
      </c>
      <c r="D154" s="2" t="s">
        <v>680</v>
      </c>
      <c r="E154" s="2" t="s">
        <v>117</v>
      </c>
      <c r="F154" s="2" t="s">
        <v>632</v>
      </c>
      <c r="G154" s="3" t="s">
        <v>85</v>
      </c>
      <c r="H154" s="2" t="s">
        <v>681</v>
      </c>
      <c r="I154" s="2" t="s">
        <v>634</v>
      </c>
      <c r="J154" s="2" t="s">
        <v>635</v>
      </c>
      <c r="K154" s="2" t="s">
        <v>636</v>
      </c>
      <c r="L154" s="2" t="s">
        <v>637</v>
      </c>
      <c r="M154" s="2" t="s">
        <v>638</v>
      </c>
      <c r="N154" s="2" t="s">
        <v>77</v>
      </c>
      <c r="O154" s="2"/>
    </row>
    <row r="155" spans="1:15" ht="51" x14ac:dyDescent="0.25">
      <c r="A155" s="2" t="s">
        <v>682</v>
      </c>
      <c r="B155" s="2" t="s">
        <v>16</v>
      </c>
      <c r="C155" s="2" t="s">
        <v>679</v>
      </c>
      <c r="D155" s="2" t="s">
        <v>683</v>
      </c>
      <c r="E155" s="2" t="s">
        <v>270</v>
      </c>
      <c r="F155" s="2" t="s">
        <v>684</v>
      </c>
      <c r="G155" s="3" t="s">
        <v>21</v>
      </c>
      <c r="H155" s="2" t="s">
        <v>685</v>
      </c>
      <c r="I155" s="2" t="s">
        <v>120</v>
      </c>
      <c r="J155" s="2" t="s">
        <v>121</v>
      </c>
      <c r="K155" s="2" t="s">
        <v>122</v>
      </c>
      <c r="L155" s="2" t="s">
        <v>123</v>
      </c>
      <c r="M155" s="2" t="s">
        <v>124</v>
      </c>
      <c r="N155" s="2" t="s">
        <v>28</v>
      </c>
      <c r="O155" s="2"/>
    </row>
    <row r="156" spans="1:15" ht="38.25" x14ac:dyDescent="0.25">
      <c r="A156" s="2" t="s">
        <v>686</v>
      </c>
      <c r="B156" s="2" t="s">
        <v>16</v>
      </c>
      <c r="C156" s="2" t="s">
        <v>687</v>
      </c>
      <c r="D156" s="2" t="s">
        <v>688</v>
      </c>
      <c r="E156" s="2" t="s">
        <v>562</v>
      </c>
      <c r="F156" s="2" t="s">
        <v>558</v>
      </c>
      <c r="G156" s="3" t="s">
        <v>21</v>
      </c>
      <c r="H156" s="2" t="s">
        <v>689</v>
      </c>
      <c r="I156" s="2" t="s">
        <v>120</v>
      </c>
      <c r="J156" s="2" t="s">
        <v>121</v>
      </c>
      <c r="K156" s="2" t="s">
        <v>122</v>
      </c>
      <c r="L156" s="2" t="s">
        <v>123</v>
      </c>
      <c r="M156" s="2" t="s">
        <v>124</v>
      </c>
      <c r="N156" s="2" t="s">
        <v>28</v>
      </c>
      <c r="O156" s="2" t="s">
        <v>690</v>
      </c>
    </row>
    <row r="157" spans="1:15" ht="38.25" x14ac:dyDescent="0.25">
      <c r="A157" s="2" t="s">
        <v>691</v>
      </c>
      <c r="B157" s="2" t="s">
        <v>16</v>
      </c>
      <c r="C157" s="2" t="s">
        <v>687</v>
      </c>
      <c r="D157" s="2" t="s">
        <v>692</v>
      </c>
      <c r="E157" s="2" t="s">
        <v>270</v>
      </c>
      <c r="F157" s="2" t="s">
        <v>558</v>
      </c>
      <c r="G157" s="3" t="s">
        <v>21</v>
      </c>
      <c r="H157" s="2" t="s">
        <v>693</v>
      </c>
      <c r="I157" s="2" t="s">
        <v>120</v>
      </c>
      <c r="J157" s="2" t="s">
        <v>121</v>
      </c>
      <c r="K157" s="2" t="s">
        <v>122</v>
      </c>
      <c r="L157" s="2" t="s">
        <v>123</v>
      </c>
      <c r="M157" s="2" t="s">
        <v>124</v>
      </c>
      <c r="N157" s="2" t="s">
        <v>28</v>
      </c>
      <c r="O157" s="2" t="s">
        <v>690</v>
      </c>
    </row>
    <row r="158" spans="1:15" ht="38.25" x14ac:dyDescent="0.25">
      <c r="A158" s="2" t="s">
        <v>694</v>
      </c>
      <c r="B158" s="2" t="s">
        <v>16</v>
      </c>
      <c r="C158" s="2" t="s">
        <v>695</v>
      </c>
      <c r="D158" s="2" t="s">
        <v>696</v>
      </c>
      <c r="E158" s="2" t="s">
        <v>263</v>
      </c>
      <c r="F158" s="2" t="s">
        <v>684</v>
      </c>
      <c r="G158" s="3" t="s">
        <v>70</v>
      </c>
      <c r="H158" s="2" t="s">
        <v>697</v>
      </c>
      <c r="I158" s="2" t="s">
        <v>120</v>
      </c>
      <c r="J158" s="2" t="s">
        <v>121</v>
      </c>
      <c r="K158" s="2" t="s">
        <v>122</v>
      </c>
      <c r="L158" s="2" t="s">
        <v>123</v>
      </c>
      <c r="M158" s="2" t="s">
        <v>124</v>
      </c>
      <c r="N158" s="2" t="s">
        <v>77</v>
      </c>
      <c r="O158" s="2"/>
    </row>
    <row r="159" spans="1:15" ht="38.25" x14ac:dyDescent="0.25">
      <c r="A159" s="2" t="s">
        <v>698</v>
      </c>
      <c r="B159" s="2" t="s">
        <v>16</v>
      </c>
      <c r="C159" s="2" t="s">
        <v>699</v>
      </c>
      <c r="D159" s="2" t="s">
        <v>700</v>
      </c>
      <c r="E159" s="2" t="s">
        <v>701</v>
      </c>
      <c r="F159" s="2" t="s">
        <v>702</v>
      </c>
      <c r="G159" s="3" t="s">
        <v>85</v>
      </c>
      <c r="H159" s="2" t="s">
        <v>703</v>
      </c>
      <c r="I159" s="2" t="s">
        <v>120</v>
      </c>
      <c r="J159" s="2" t="s">
        <v>121</v>
      </c>
      <c r="K159" s="2" t="s">
        <v>122</v>
      </c>
      <c r="L159" s="2" t="s">
        <v>123</v>
      </c>
      <c r="M159" s="2" t="s">
        <v>124</v>
      </c>
      <c r="N159" s="2" t="s">
        <v>77</v>
      </c>
      <c r="O159" s="2"/>
    </row>
    <row r="160" spans="1:15" ht="38.25" x14ac:dyDescent="0.25">
      <c r="A160" s="2" t="s">
        <v>704</v>
      </c>
      <c r="B160" s="2" t="s">
        <v>16</v>
      </c>
      <c r="C160" s="2" t="s">
        <v>705</v>
      </c>
      <c r="D160" s="2" t="s">
        <v>706</v>
      </c>
      <c r="E160" s="2" t="s">
        <v>263</v>
      </c>
      <c r="F160" s="2" t="s">
        <v>702</v>
      </c>
      <c r="G160" s="3" t="s">
        <v>70</v>
      </c>
      <c r="H160" s="2" t="s">
        <v>707</v>
      </c>
      <c r="I160" s="2" t="s">
        <v>120</v>
      </c>
      <c r="J160" s="2" t="s">
        <v>121</v>
      </c>
      <c r="K160" s="2" t="s">
        <v>122</v>
      </c>
      <c r="L160" s="2" t="s">
        <v>123</v>
      </c>
      <c r="M160" s="2" t="s">
        <v>124</v>
      </c>
      <c r="N160" s="2" t="s">
        <v>77</v>
      </c>
      <c r="O160" s="2"/>
    </row>
    <row r="161" spans="1:15" ht="25.5" x14ac:dyDescent="0.25">
      <c r="A161" s="2" t="s">
        <v>708</v>
      </c>
      <c r="B161" s="2" t="s">
        <v>16</v>
      </c>
      <c r="C161" s="2" t="s">
        <v>709</v>
      </c>
      <c r="D161" s="2" t="s">
        <v>710</v>
      </c>
      <c r="E161" s="2" t="s">
        <v>117</v>
      </c>
      <c r="F161" s="2" t="s">
        <v>711</v>
      </c>
      <c r="G161" s="3" t="s">
        <v>85</v>
      </c>
      <c r="H161" s="2" t="s">
        <v>712</v>
      </c>
      <c r="I161" s="2" t="s">
        <v>713</v>
      </c>
      <c r="J161" s="2" t="s">
        <v>714</v>
      </c>
      <c r="K161" s="2" t="s">
        <v>715</v>
      </c>
      <c r="L161" s="2" t="s">
        <v>123</v>
      </c>
      <c r="M161" s="2" t="s">
        <v>716</v>
      </c>
      <c r="N161" s="2" t="s">
        <v>77</v>
      </c>
      <c r="O161" s="2"/>
    </row>
    <row r="162" spans="1:15" ht="25.5" x14ac:dyDescent="0.25">
      <c r="A162" s="2" t="s">
        <v>717</v>
      </c>
      <c r="B162" s="2" t="s">
        <v>16</v>
      </c>
      <c r="C162" s="2" t="s">
        <v>709</v>
      </c>
      <c r="D162" s="2" t="s">
        <v>718</v>
      </c>
      <c r="E162" s="2" t="s">
        <v>719</v>
      </c>
      <c r="F162" s="2" t="s">
        <v>711</v>
      </c>
      <c r="G162" s="3" t="s">
        <v>85</v>
      </c>
      <c r="H162" s="2" t="s">
        <v>720</v>
      </c>
      <c r="I162" s="2" t="s">
        <v>713</v>
      </c>
      <c r="J162" s="2" t="s">
        <v>714</v>
      </c>
      <c r="K162" s="2" t="s">
        <v>715</v>
      </c>
      <c r="L162" s="2" t="s">
        <v>123</v>
      </c>
      <c r="M162" s="2" t="s">
        <v>716</v>
      </c>
      <c r="N162" s="2" t="s">
        <v>77</v>
      </c>
      <c r="O162" s="2"/>
    </row>
    <row r="163" spans="1:15" ht="38.25" x14ac:dyDescent="0.25">
      <c r="A163" s="2" t="s">
        <v>721</v>
      </c>
      <c r="B163" s="2" t="s">
        <v>16</v>
      </c>
      <c r="C163" s="2" t="s">
        <v>722</v>
      </c>
      <c r="D163" s="2" t="s">
        <v>723</v>
      </c>
      <c r="E163" s="2" t="s">
        <v>187</v>
      </c>
      <c r="F163" s="2" t="s">
        <v>711</v>
      </c>
      <c r="G163" s="3" t="s">
        <v>70</v>
      </c>
      <c r="H163" s="2" t="s">
        <v>724</v>
      </c>
      <c r="I163" s="2" t="s">
        <v>713</v>
      </c>
      <c r="J163" s="2" t="s">
        <v>714</v>
      </c>
      <c r="K163" s="2" t="s">
        <v>715</v>
      </c>
      <c r="L163" s="2" t="s">
        <v>123</v>
      </c>
      <c r="M163" s="2" t="s">
        <v>716</v>
      </c>
      <c r="N163" s="2" t="s">
        <v>77</v>
      </c>
      <c r="O163" s="2"/>
    </row>
    <row r="164" spans="1:15" ht="25.5" x14ac:dyDescent="0.25">
      <c r="A164" s="2" t="s">
        <v>725</v>
      </c>
      <c r="B164" s="2" t="s">
        <v>16</v>
      </c>
      <c r="C164" s="2" t="s">
        <v>722</v>
      </c>
      <c r="D164" s="2" t="s">
        <v>726</v>
      </c>
      <c r="E164" s="2" t="s">
        <v>106</v>
      </c>
      <c r="F164" s="2" t="s">
        <v>711</v>
      </c>
      <c r="G164" s="3" t="s">
        <v>85</v>
      </c>
      <c r="H164" s="2" t="s">
        <v>727</v>
      </c>
      <c r="I164" s="2" t="s">
        <v>713</v>
      </c>
      <c r="J164" s="2" t="s">
        <v>714</v>
      </c>
      <c r="K164" s="2" t="s">
        <v>715</v>
      </c>
      <c r="L164" s="2" t="s">
        <v>123</v>
      </c>
      <c r="M164" s="2" t="s">
        <v>716</v>
      </c>
      <c r="N164" s="2" t="s">
        <v>77</v>
      </c>
      <c r="O164" s="2"/>
    </row>
    <row r="165" spans="1:15" ht="25.5" x14ac:dyDescent="0.25">
      <c r="A165" s="2" t="s">
        <v>728</v>
      </c>
      <c r="B165" s="2" t="s">
        <v>16</v>
      </c>
      <c r="C165" s="2" t="s">
        <v>722</v>
      </c>
      <c r="D165" s="2" t="s">
        <v>729</v>
      </c>
      <c r="E165" s="2" t="s">
        <v>730</v>
      </c>
      <c r="F165" s="2" t="s">
        <v>731</v>
      </c>
      <c r="G165" s="3" t="s">
        <v>21</v>
      </c>
      <c r="H165" s="2" t="s">
        <v>732</v>
      </c>
      <c r="I165" s="2" t="s">
        <v>713</v>
      </c>
      <c r="J165" s="2" t="s">
        <v>714</v>
      </c>
      <c r="K165" s="2" t="s">
        <v>715</v>
      </c>
      <c r="L165" s="2" t="s">
        <v>123</v>
      </c>
      <c r="M165" s="2" t="s">
        <v>716</v>
      </c>
      <c r="N165" s="2" t="s">
        <v>28</v>
      </c>
      <c r="O165" s="2"/>
    </row>
    <row r="166" spans="1:15" ht="38.25" x14ac:dyDescent="0.25">
      <c r="A166" s="2" t="s">
        <v>733</v>
      </c>
      <c r="B166" s="2" t="s">
        <v>16</v>
      </c>
      <c r="C166" s="2" t="s">
        <v>734</v>
      </c>
      <c r="D166" s="2" t="s">
        <v>735</v>
      </c>
      <c r="E166" s="2" t="s">
        <v>263</v>
      </c>
      <c r="F166" s="2" t="s">
        <v>711</v>
      </c>
      <c r="G166" s="3" t="s">
        <v>158</v>
      </c>
      <c r="H166" s="2" t="s">
        <v>736</v>
      </c>
      <c r="I166" s="2" t="s">
        <v>713</v>
      </c>
      <c r="J166" s="2" t="s">
        <v>714</v>
      </c>
      <c r="K166" s="2" t="s">
        <v>715</v>
      </c>
      <c r="L166" s="2" t="s">
        <v>123</v>
      </c>
      <c r="M166" s="2" t="s">
        <v>716</v>
      </c>
      <c r="N166" s="2" t="s">
        <v>165</v>
      </c>
      <c r="O166" s="2"/>
    </row>
    <row r="167" spans="1:15" ht="38.25" x14ac:dyDescent="0.25">
      <c r="A167" s="2" t="s">
        <v>737</v>
      </c>
      <c r="B167" s="2" t="s">
        <v>16</v>
      </c>
      <c r="C167" s="2" t="s">
        <v>734</v>
      </c>
      <c r="D167" s="2" t="s">
        <v>738</v>
      </c>
      <c r="E167" s="2" t="s">
        <v>263</v>
      </c>
      <c r="F167" s="2" t="s">
        <v>711</v>
      </c>
      <c r="G167" s="3" t="s">
        <v>70</v>
      </c>
      <c r="H167" s="2" t="s">
        <v>739</v>
      </c>
      <c r="I167" s="2" t="s">
        <v>713</v>
      </c>
      <c r="J167" s="2" t="s">
        <v>714</v>
      </c>
      <c r="K167" s="2" t="s">
        <v>715</v>
      </c>
      <c r="L167" s="2" t="s">
        <v>123</v>
      </c>
      <c r="M167" s="2" t="s">
        <v>716</v>
      </c>
      <c r="N167" s="2" t="s">
        <v>77</v>
      </c>
      <c r="O167" s="2"/>
    </row>
    <row r="168" spans="1:15" ht="38.25" x14ac:dyDescent="0.25">
      <c r="A168" s="2" t="s">
        <v>740</v>
      </c>
      <c r="B168" s="2" t="s">
        <v>16</v>
      </c>
      <c r="C168" s="2" t="s">
        <v>741</v>
      </c>
      <c r="D168" s="2" t="s">
        <v>742</v>
      </c>
      <c r="E168" s="2" t="s">
        <v>187</v>
      </c>
      <c r="F168" s="2" t="s">
        <v>743</v>
      </c>
      <c r="G168" s="3" t="s">
        <v>70</v>
      </c>
      <c r="H168" s="2" t="s">
        <v>744</v>
      </c>
      <c r="I168" s="2" t="s">
        <v>713</v>
      </c>
      <c r="J168" s="2" t="s">
        <v>714</v>
      </c>
      <c r="K168" s="2" t="s">
        <v>715</v>
      </c>
      <c r="L168" s="2" t="s">
        <v>123</v>
      </c>
      <c r="M168" s="2" t="s">
        <v>716</v>
      </c>
      <c r="N168" s="2" t="s">
        <v>77</v>
      </c>
      <c r="O168" s="2"/>
    </row>
    <row r="169" spans="1:15" ht="38.25" x14ac:dyDescent="0.25">
      <c r="A169" s="2" t="s">
        <v>745</v>
      </c>
      <c r="B169" s="2" t="s">
        <v>16</v>
      </c>
      <c r="C169" s="2" t="s">
        <v>741</v>
      </c>
      <c r="D169" s="2" t="s">
        <v>746</v>
      </c>
      <c r="E169" s="2" t="s">
        <v>187</v>
      </c>
      <c r="F169" s="2" t="s">
        <v>743</v>
      </c>
      <c r="G169" s="3" t="s">
        <v>85</v>
      </c>
      <c r="H169" s="2" t="s">
        <v>747</v>
      </c>
      <c r="I169" s="2" t="s">
        <v>170</v>
      </c>
      <c r="J169" s="2" t="s">
        <v>171</v>
      </c>
      <c r="K169" s="2" t="s">
        <v>172</v>
      </c>
      <c r="L169" s="2" t="s">
        <v>75</v>
      </c>
      <c r="M169" s="2" t="s">
        <v>173</v>
      </c>
      <c r="N169" s="2" t="s">
        <v>77</v>
      </c>
      <c r="O169" s="2"/>
    </row>
    <row r="170" spans="1:15" ht="38.25" x14ac:dyDescent="0.25">
      <c r="A170" s="2" t="s">
        <v>748</v>
      </c>
      <c r="B170" s="2" t="s">
        <v>16</v>
      </c>
      <c r="C170" s="2" t="s">
        <v>741</v>
      </c>
      <c r="D170" s="2" t="s">
        <v>749</v>
      </c>
      <c r="E170" s="2" t="s">
        <v>187</v>
      </c>
      <c r="F170" s="2" t="s">
        <v>743</v>
      </c>
      <c r="G170" s="3" t="s">
        <v>70</v>
      </c>
      <c r="H170" s="2" t="s">
        <v>750</v>
      </c>
      <c r="I170" s="2" t="s">
        <v>713</v>
      </c>
      <c r="J170" s="2" t="s">
        <v>714</v>
      </c>
      <c r="K170" s="2" t="s">
        <v>715</v>
      </c>
      <c r="L170" s="2" t="s">
        <v>123</v>
      </c>
      <c r="M170" s="2" t="s">
        <v>716</v>
      </c>
      <c r="N170" s="2" t="s">
        <v>77</v>
      </c>
      <c r="O170" s="2"/>
    </row>
    <row r="171" spans="1:15" ht="51" x14ac:dyDescent="0.25">
      <c r="A171" s="2" t="s">
        <v>751</v>
      </c>
      <c r="B171" s="2" t="s">
        <v>16</v>
      </c>
      <c r="C171" s="2" t="s">
        <v>752</v>
      </c>
      <c r="D171" s="2" t="s">
        <v>753</v>
      </c>
      <c r="E171" s="2" t="s">
        <v>263</v>
      </c>
      <c r="F171" s="2" t="s">
        <v>743</v>
      </c>
      <c r="G171" s="3" t="s">
        <v>158</v>
      </c>
      <c r="H171" s="2" t="s">
        <v>754</v>
      </c>
      <c r="I171" s="2" t="s">
        <v>713</v>
      </c>
      <c r="J171" s="2" t="s">
        <v>714</v>
      </c>
      <c r="K171" s="2" t="s">
        <v>715</v>
      </c>
      <c r="L171" s="2" t="s">
        <v>123</v>
      </c>
      <c r="M171" s="2" t="s">
        <v>716</v>
      </c>
      <c r="N171" s="2" t="s">
        <v>165</v>
      </c>
      <c r="O171" s="2"/>
    </row>
    <row r="172" spans="1:15" ht="51" x14ac:dyDescent="0.25">
      <c r="A172" s="2" t="s">
        <v>755</v>
      </c>
      <c r="B172" s="2" t="s">
        <v>16</v>
      </c>
      <c r="C172" s="2" t="s">
        <v>752</v>
      </c>
      <c r="D172" s="2" t="s">
        <v>756</v>
      </c>
      <c r="E172" s="2" t="s">
        <v>263</v>
      </c>
      <c r="F172" s="2" t="s">
        <v>743</v>
      </c>
      <c r="G172" s="3" t="s">
        <v>158</v>
      </c>
      <c r="H172" s="2" t="s">
        <v>757</v>
      </c>
      <c r="I172" s="2" t="s">
        <v>713</v>
      </c>
      <c r="J172" s="2" t="s">
        <v>714</v>
      </c>
      <c r="K172" s="2" t="s">
        <v>715</v>
      </c>
      <c r="L172" s="2" t="s">
        <v>123</v>
      </c>
      <c r="M172" s="2" t="s">
        <v>716</v>
      </c>
      <c r="N172" s="2" t="s">
        <v>165</v>
      </c>
      <c r="O172" s="2"/>
    </row>
    <row r="173" spans="1:15" ht="38.25" x14ac:dyDescent="0.25">
      <c r="A173" s="2" t="s">
        <v>758</v>
      </c>
      <c r="B173" s="2" t="s">
        <v>16</v>
      </c>
      <c r="C173" s="2" t="s">
        <v>759</v>
      </c>
      <c r="D173" s="2" t="s">
        <v>760</v>
      </c>
      <c r="E173" s="2" t="s">
        <v>761</v>
      </c>
      <c r="F173" s="2" t="s">
        <v>731</v>
      </c>
      <c r="G173" s="3" t="s">
        <v>85</v>
      </c>
      <c r="H173" s="2" t="s">
        <v>762</v>
      </c>
      <c r="I173" s="2" t="s">
        <v>160</v>
      </c>
      <c r="J173" s="2" t="s">
        <v>161</v>
      </c>
      <c r="K173" s="2" t="s">
        <v>162</v>
      </c>
      <c r="L173" s="2" t="s">
        <v>163</v>
      </c>
      <c r="M173" s="2" t="s">
        <v>164</v>
      </c>
      <c r="N173" s="2" t="s">
        <v>77</v>
      </c>
      <c r="O173" s="2"/>
    </row>
    <row r="174" spans="1:15" ht="25.5" x14ac:dyDescent="0.25">
      <c r="A174" s="2" t="s">
        <v>763</v>
      </c>
      <c r="B174" s="2" t="s">
        <v>16</v>
      </c>
      <c r="C174" s="2" t="s">
        <v>759</v>
      </c>
      <c r="D174" s="2" t="s">
        <v>764</v>
      </c>
      <c r="E174" s="2" t="s">
        <v>187</v>
      </c>
      <c r="F174" s="2" t="s">
        <v>157</v>
      </c>
      <c r="G174" s="3" t="s">
        <v>70</v>
      </c>
      <c r="H174" s="2" t="s">
        <v>765</v>
      </c>
      <c r="I174" s="2" t="s">
        <v>160</v>
      </c>
      <c r="J174" s="2" t="s">
        <v>161</v>
      </c>
      <c r="K174" s="2" t="s">
        <v>162</v>
      </c>
      <c r="L174" s="2" t="s">
        <v>163</v>
      </c>
      <c r="M174" s="2" t="s">
        <v>164</v>
      </c>
      <c r="N174" s="2" t="s">
        <v>77</v>
      </c>
      <c r="O174" s="2"/>
    </row>
    <row r="175" spans="1:15" ht="38.25" x14ac:dyDescent="0.25">
      <c r="A175" s="2" t="s">
        <v>766</v>
      </c>
      <c r="B175" s="2" t="s">
        <v>16</v>
      </c>
      <c r="C175" s="2" t="s">
        <v>759</v>
      </c>
      <c r="D175" s="2" t="s">
        <v>767</v>
      </c>
      <c r="E175" s="2" t="s">
        <v>768</v>
      </c>
      <c r="F175" s="2" t="s">
        <v>731</v>
      </c>
      <c r="G175" s="3" t="s">
        <v>49</v>
      </c>
      <c r="H175" s="2" t="s">
        <v>769</v>
      </c>
      <c r="I175" s="2" t="s">
        <v>51</v>
      </c>
      <c r="J175" s="2" t="s">
        <v>52</v>
      </c>
      <c r="K175" s="2" t="s">
        <v>53</v>
      </c>
      <c r="L175" s="2" t="s">
        <v>53</v>
      </c>
      <c r="M175" s="2" t="s">
        <v>230</v>
      </c>
      <c r="N175" s="2" t="s">
        <v>53</v>
      </c>
      <c r="O175" s="2"/>
    </row>
    <row r="176" spans="1:15" ht="38.25" x14ac:dyDescent="0.25">
      <c r="A176" s="2" t="s">
        <v>770</v>
      </c>
      <c r="B176" s="2" t="s">
        <v>16</v>
      </c>
      <c r="C176" s="2" t="s">
        <v>759</v>
      </c>
      <c r="D176" s="2" t="s">
        <v>771</v>
      </c>
      <c r="E176" s="2" t="s">
        <v>309</v>
      </c>
      <c r="F176" s="2" t="s">
        <v>157</v>
      </c>
      <c r="G176" s="3" t="s">
        <v>21</v>
      </c>
      <c r="H176" s="2" t="s">
        <v>772</v>
      </c>
      <c r="I176" s="2" t="s">
        <v>160</v>
      </c>
      <c r="J176" s="2" t="s">
        <v>161</v>
      </c>
      <c r="K176" s="2" t="s">
        <v>162</v>
      </c>
      <c r="L176" s="2" t="s">
        <v>163</v>
      </c>
      <c r="M176" s="2" t="s">
        <v>164</v>
      </c>
      <c r="N176" s="2" t="s">
        <v>28</v>
      </c>
      <c r="O176" s="2"/>
    </row>
    <row r="177" spans="1:15" ht="63.75" x14ac:dyDescent="0.25">
      <c r="A177" s="2" t="s">
        <v>773</v>
      </c>
      <c r="B177" s="2" t="s">
        <v>16</v>
      </c>
      <c r="C177" s="2" t="s">
        <v>774</v>
      </c>
      <c r="D177" s="2" t="s">
        <v>775</v>
      </c>
      <c r="E177" s="2" t="s">
        <v>263</v>
      </c>
      <c r="F177" s="2" t="s">
        <v>731</v>
      </c>
      <c r="G177" s="3" t="s">
        <v>70</v>
      </c>
      <c r="H177" s="2" t="s">
        <v>776</v>
      </c>
      <c r="I177" s="2" t="s">
        <v>160</v>
      </c>
      <c r="J177" s="2" t="s">
        <v>161</v>
      </c>
      <c r="K177" s="2" t="s">
        <v>162</v>
      </c>
      <c r="L177" s="2" t="s">
        <v>163</v>
      </c>
      <c r="M177" s="2" t="s">
        <v>164</v>
      </c>
      <c r="N177" s="2" t="s">
        <v>77</v>
      </c>
      <c r="O177" s="2"/>
    </row>
    <row r="178" spans="1:15" ht="25.5" x14ac:dyDescent="0.25">
      <c r="A178" s="2" t="s">
        <v>777</v>
      </c>
      <c r="B178" s="2" t="s">
        <v>16</v>
      </c>
      <c r="C178" s="2" t="s">
        <v>778</v>
      </c>
      <c r="D178" s="2" t="s">
        <v>779</v>
      </c>
      <c r="E178" s="2" t="s">
        <v>187</v>
      </c>
      <c r="F178" s="2" t="s">
        <v>731</v>
      </c>
      <c r="G178" s="3" t="s">
        <v>85</v>
      </c>
      <c r="H178" s="2" t="s">
        <v>780</v>
      </c>
      <c r="I178" s="2" t="s">
        <v>713</v>
      </c>
      <c r="J178" s="2" t="s">
        <v>714</v>
      </c>
      <c r="K178" s="2" t="s">
        <v>715</v>
      </c>
      <c r="L178" s="2" t="s">
        <v>123</v>
      </c>
      <c r="M178" s="2" t="s">
        <v>716</v>
      </c>
      <c r="N178" s="2" t="s">
        <v>77</v>
      </c>
      <c r="O178" s="2"/>
    </row>
    <row r="179" spans="1:15" ht="38.25" x14ac:dyDescent="0.25">
      <c r="A179" s="2" t="s">
        <v>781</v>
      </c>
      <c r="B179" s="2" t="s">
        <v>16</v>
      </c>
      <c r="C179" s="2" t="s">
        <v>778</v>
      </c>
      <c r="D179" s="2" t="s">
        <v>782</v>
      </c>
      <c r="E179" s="2" t="s">
        <v>187</v>
      </c>
      <c r="F179" s="2" t="s">
        <v>157</v>
      </c>
      <c r="G179" s="3" t="s">
        <v>85</v>
      </c>
      <c r="H179" s="2" t="s">
        <v>783</v>
      </c>
      <c r="I179" s="2" t="s">
        <v>160</v>
      </c>
      <c r="J179" s="2" t="s">
        <v>161</v>
      </c>
      <c r="K179" s="2" t="s">
        <v>162</v>
      </c>
      <c r="L179" s="2" t="s">
        <v>163</v>
      </c>
      <c r="M179" s="2" t="s">
        <v>164</v>
      </c>
      <c r="N179" s="2" t="s">
        <v>77</v>
      </c>
      <c r="O179" s="2"/>
    </row>
    <row r="180" spans="1:15" ht="25.5" x14ac:dyDescent="0.25">
      <c r="A180" s="2" t="s">
        <v>784</v>
      </c>
      <c r="B180" s="2" t="s">
        <v>16</v>
      </c>
      <c r="C180" s="2" t="s">
        <v>785</v>
      </c>
      <c r="D180" s="2" t="s">
        <v>786</v>
      </c>
      <c r="E180" s="2" t="s">
        <v>263</v>
      </c>
      <c r="F180" s="2" t="s">
        <v>731</v>
      </c>
      <c r="G180" s="3" t="s">
        <v>70</v>
      </c>
      <c r="H180" s="2" t="s">
        <v>787</v>
      </c>
      <c r="I180" s="2" t="s">
        <v>713</v>
      </c>
      <c r="J180" s="2" t="s">
        <v>714</v>
      </c>
      <c r="K180" s="2" t="s">
        <v>715</v>
      </c>
      <c r="L180" s="2" t="s">
        <v>123</v>
      </c>
      <c r="M180" s="2" t="s">
        <v>716</v>
      </c>
      <c r="N180" s="2" t="s">
        <v>77</v>
      </c>
      <c r="O180" s="2"/>
    </row>
    <row r="181" spans="1:15" ht="51" x14ac:dyDescent="0.25">
      <c r="A181" s="2" t="s">
        <v>788</v>
      </c>
      <c r="B181" s="2" t="s">
        <v>16</v>
      </c>
      <c r="C181" s="2" t="s">
        <v>785</v>
      </c>
      <c r="D181" s="2" t="s">
        <v>789</v>
      </c>
      <c r="E181" s="2" t="s">
        <v>263</v>
      </c>
      <c r="F181" s="2" t="s">
        <v>183</v>
      </c>
      <c r="G181" s="3" t="s">
        <v>85</v>
      </c>
      <c r="H181" s="2" t="s">
        <v>790</v>
      </c>
      <c r="I181" s="2" t="s">
        <v>144</v>
      </c>
      <c r="J181" s="2" t="s">
        <v>145</v>
      </c>
      <c r="K181" s="2" t="s">
        <v>146</v>
      </c>
      <c r="L181" s="2" t="s">
        <v>147</v>
      </c>
      <c r="M181" s="2" t="s">
        <v>148</v>
      </c>
      <c r="N181" s="2" t="s">
        <v>77</v>
      </c>
      <c r="O181" s="2"/>
    </row>
    <row r="182" spans="1:15" ht="25.5" x14ac:dyDescent="0.25">
      <c r="A182" s="2" t="s">
        <v>791</v>
      </c>
      <c r="B182" s="2" t="s">
        <v>16</v>
      </c>
      <c r="C182" s="2" t="s">
        <v>792</v>
      </c>
      <c r="D182" s="2" t="s">
        <v>793</v>
      </c>
      <c r="E182" s="2" t="s">
        <v>117</v>
      </c>
      <c r="F182" s="2" t="s">
        <v>711</v>
      </c>
      <c r="G182" s="3" t="s">
        <v>70</v>
      </c>
      <c r="H182" s="2" t="s">
        <v>794</v>
      </c>
      <c r="I182" s="2" t="s">
        <v>713</v>
      </c>
      <c r="J182" s="2" t="s">
        <v>714</v>
      </c>
      <c r="K182" s="2" t="s">
        <v>715</v>
      </c>
      <c r="L182" s="2" t="s">
        <v>123</v>
      </c>
      <c r="M182" s="2" t="s">
        <v>716</v>
      </c>
      <c r="N182" s="2" t="s">
        <v>77</v>
      </c>
      <c r="O182" s="2"/>
    </row>
    <row r="183" spans="1:15" ht="38.25" x14ac:dyDescent="0.25">
      <c r="A183" s="2" t="s">
        <v>795</v>
      </c>
      <c r="B183" s="2" t="s">
        <v>16</v>
      </c>
      <c r="C183" s="2" t="s">
        <v>792</v>
      </c>
      <c r="D183" s="2" t="s">
        <v>796</v>
      </c>
      <c r="E183" s="2" t="s">
        <v>270</v>
      </c>
      <c r="F183" s="2" t="s">
        <v>711</v>
      </c>
      <c r="G183" s="3" t="s">
        <v>85</v>
      </c>
      <c r="H183" s="2" t="s">
        <v>797</v>
      </c>
      <c r="I183" s="2" t="s">
        <v>713</v>
      </c>
      <c r="J183" s="2" t="s">
        <v>714</v>
      </c>
      <c r="K183" s="2" t="s">
        <v>715</v>
      </c>
      <c r="L183" s="2" t="s">
        <v>123</v>
      </c>
      <c r="M183" s="2" t="s">
        <v>716</v>
      </c>
      <c r="N183" s="2" t="s">
        <v>77</v>
      </c>
      <c r="O183" s="2"/>
    </row>
    <row r="184" spans="1:15" ht="38.25" x14ac:dyDescent="0.25">
      <c r="A184" s="2" t="s">
        <v>798</v>
      </c>
      <c r="B184" s="2" t="s">
        <v>16</v>
      </c>
      <c r="C184" s="2" t="s">
        <v>799</v>
      </c>
      <c r="D184" s="2" t="s">
        <v>800</v>
      </c>
      <c r="E184" s="2" t="s">
        <v>263</v>
      </c>
      <c r="F184" s="2" t="s">
        <v>711</v>
      </c>
      <c r="G184" s="3" t="s">
        <v>158</v>
      </c>
      <c r="H184" s="2" t="s">
        <v>801</v>
      </c>
      <c r="I184" s="2" t="s">
        <v>713</v>
      </c>
      <c r="J184" s="2" t="s">
        <v>714</v>
      </c>
      <c r="K184" s="2" t="s">
        <v>715</v>
      </c>
      <c r="L184" s="2" t="s">
        <v>123</v>
      </c>
      <c r="M184" s="2" t="s">
        <v>716</v>
      </c>
      <c r="N184" s="2" t="s">
        <v>165</v>
      </c>
      <c r="O184" s="2"/>
    </row>
    <row r="185" spans="1:15" ht="38.25" x14ac:dyDescent="0.25">
      <c r="A185" s="2" t="s">
        <v>802</v>
      </c>
      <c r="B185" s="2" t="s">
        <v>16</v>
      </c>
      <c r="C185" s="2" t="s">
        <v>799</v>
      </c>
      <c r="D185" s="2" t="s">
        <v>803</v>
      </c>
      <c r="E185" s="2" t="s">
        <v>263</v>
      </c>
      <c r="F185" s="2" t="s">
        <v>492</v>
      </c>
      <c r="G185" s="3" t="s">
        <v>70</v>
      </c>
      <c r="H185" s="2" t="s">
        <v>804</v>
      </c>
      <c r="I185" s="2" t="s">
        <v>713</v>
      </c>
      <c r="J185" s="2" t="s">
        <v>714</v>
      </c>
      <c r="K185" s="2" t="s">
        <v>715</v>
      </c>
      <c r="L185" s="2" t="s">
        <v>123</v>
      </c>
      <c r="M185" s="2" t="s">
        <v>716</v>
      </c>
      <c r="N185" s="2" t="s">
        <v>77</v>
      </c>
      <c r="O185" s="2"/>
    </row>
    <row r="186" spans="1:15" ht="25.5" x14ac:dyDescent="0.25">
      <c r="A186" s="2" t="s">
        <v>805</v>
      </c>
      <c r="B186" s="2" t="s">
        <v>16</v>
      </c>
      <c r="C186" s="2" t="s">
        <v>806</v>
      </c>
      <c r="D186" s="2" t="s">
        <v>807</v>
      </c>
      <c r="E186" s="2" t="s">
        <v>407</v>
      </c>
      <c r="F186" s="2" t="s">
        <v>808</v>
      </c>
      <c r="G186" s="3" t="s">
        <v>70</v>
      </c>
      <c r="H186" s="2" t="s">
        <v>809</v>
      </c>
      <c r="I186" s="2" t="s">
        <v>170</v>
      </c>
      <c r="J186" s="2" t="s">
        <v>171</v>
      </c>
      <c r="K186" s="2" t="s">
        <v>172</v>
      </c>
      <c r="L186" s="2" t="s">
        <v>75</v>
      </c>
      <c r="M186" s="2" t="s">
        <v>173</v>
      </c>
      <c r="N186" s="2" t="s">
        <v>77</v>
      </c>
      <c r="O186" s="2"/>
    </row>
    <row r="187" spans="1:15" ht="38.25" x14ac:dyDescent="0.25">
      <c r="A187" s="2" t="s">
        <v>810</v>
      </c>
      <c r="B187" s="2" t="s">
        <v>16</v>
      </c>
      <c r="C187" s="2" t="s">
        <v>806</v>
      </c>
      <c r="D187" s="2" t="s">
        <v>811</v>
      </c>
      <c r="E187" s="2" t="s">
        <v>407</v>
      </c>
      <c r="F187" s="2" t="s">
        <v>808</v>
      </c>
      <c r="G187" s="3" t="s">
        <v>85</v>
      </c>
      <c r="H187" s="2" t="s">
        <v>812</v>
      </c>
      <c r="I187" s="2" t="s">
        <v>170</v>
      </c>
      <c r="J187" s="2" t="s">
        <v>171</v>
      </c>
      <c r="K187" s="2" t="s">
        <v>172</v>
      </c>
      <c r="L187" s="2" t="s">
        <v>75</v>
      </c>
      <c r="M187" s="2" t="s">
        <v>173</v>
      </c>
      <c r="N187" s="2" t="s">
        <v>77</v>
      </c>
      <c r="O187" s="2"/>
    </row>
    <row r="188" spans="1:15" ht="38.25" x14ac:dyDescent="0.25">
      <c r="A188" s="2" t="s">
        <v>813</v>
      </c>
      <c r="B188" s="2" t="s">
        <v>16</v>
      </c>
      <c r="C188" s="2" t="s">
        <v>806</v>
      </c>
      <c r="D188" s="2" t="s">
        <v>814</v>
      </c>
      <c r="E188" s="2" t="s">
        <v>657</v>
      </c>
      <c r="F188" s="2" t="s">
        <v>808</v>
      </c>
      <c r="G188" s="3" t="s">
        <v>21</v>
      </c>
      <c r="H188" s="2" t="s">
        <v>815</v>
      </c>
      <c r="I188" s="2" t="s">
        <v>120</v>
      </c>
      <c r="J188" s="2" t="s">
        <v>121</v>
      </c>
      <c r="K188" s="2" t="s">
        <v>122</v>
      </c>
      <c r="L188" s="2" t="s">
        <v>123</v>
      </c>
      <c r="M188" s="2" t="s">
        <v>124</v>
      </c>
      <c r="N188" s="2" t="s">
        <v>28</v>
      </c>
      <c r="O188" s="2"/>
    </row>
    <row r="189" spans="1:15" ht="38.25" x14ac:dyDescent="0.25">
      <c r="A189" s="2" t="s">
        <v>816</v>
      </c>
      <c r="B189" s="2" t="s">
        <v>16</v>
      </c>
      <c r="C189" s="2" t="s">
        <v>817</v>
      </c>
      <c r="D189" s="2" t="s">
        <v>818</v>
      </c>
      <c r="E189" s="2" t="s">
        <v>263</v>
      </c>
      <c r="F189" s="2" t="s">
        <v>808</v>
      </c>
      <c r="G189" s="3" t="s">
        <v>158</v>
      </c>
      <c r="H189" s="2" t="s">
        <v>819</v>
      </c>
      <c r="I189" s="2" t="s">
        <v>120</v>
      </c>
      <c r="J189" s="2" t="s">
        <v>121</v>
      </c>
      <c r="K189" s="2" t="s">
        <v>122</v>
      </c>
      <c r="L189" s="2" t="s">
        <v>123</v>
      </c>
      <c r="M189" s="2" t="s">
        <v>124</v>
      </c>
      <c r="N189" s="2" t="s">
        <v>165</v>
      </c>
      <c r="O189" s="2"/>
    </row>
    <row r="190" spans="1:15" ht="38.25" x14ac:dyDescent="0.25">
      <c r="A190" s="2" t="s">
        <v>820</v>
      </c>
      <c r="B190" s="2" t="s">
        <v>16</v>
      </c>
      <c r="C190" s="2" t="s">
        <v>817</v>
      </c>
      <c r="D190" s="2" t="s">
        <v>821</v>
      </c>
      <c r="E190" s="2" t="s">
        <v>822</v>
      </c>
      <c r="F190" s="2" t="s">
        <v>808</v>
      </c>
      <c r="G190" s="3" t="s">
        <v>70</v>
      </c>
      <c r="H190" s="2" t="s">
        <v>823</v>
      </c>
      <c r="I190" s="2" t="s">
        <v>120</v>
      </c>
      <c r="J190" s="2" t="s">
        <v>121</v>
      </c>
      <c r="K190" s="2" t="s">
        <v>122</v>
      </c>
      <c r="L190" s="2" t="s">
        <v>123</v>
      </c>
      <c r="M190" s="2" t="s">
        <v>124</v>
      </c>
      <c r="N190" s="2" t="s">
        <v>77</v>
      </c>
      <c r="O190" s="2"/>
    </row>
    <row r="191" spans="1:15" ht="38.25" x14ac:dyDescent="0.25">
      <c r="A191" s="2" t="s">
        <v>824</v>
      </c>
      <c r="B191" s="2" t="s">
        <v>16</v>
      </c>
      <c r="C191" s="2" t="s">
        <v>825</v>
      </c>
      <c r="D191" s="2" t="s">
        <v>826</v>
      </c>
      <c r="E191" s="2" t="s">
        <v>187</v>
      </c>
      <c r="F191" s="2" t="s">
        <v>827</v>
      </c>
      <c r="G191" s="3" t="s">
        <v>85</v>
      </c>
      <c r="H191" s="2" t="s">
        <v>828</v>
      </c>
      <c r="I191" s="2" t="s">
        <v>208</v>
      </c>
      <c r="J191" s="2" t="s">
        <v>209</v>
      </c>
      <c r="K191" s="2" t="s">
        <v>210</v>
      </c>
      <c r="L191" s="2" t="s">
        <v>147</v>
      </c>
      <c r="M191" s="2" t="s">
        <v>211</v>
      </c>
      <c r="N191" s="2" t="s">
        <v>77</v>
      </c>
      <c r="O191" s="2"/>
    </row>
    <row r="192" spans="1:15" ht="38.25" x14ac:dyDescent="0.25">
      <c r="A192" s="2" t="s">
        <v>829</v>
      </c>
      <c r="B192" s="2" t="s">
        <v>16</v>
      </c>
      <c r="C192" s="2" t="s">
        <v>830</v>
      </c>
      <c r="D192" s="2" t="s">
        <v>831</v>
      </c>
      <c r="E192" s="2" t="s">
        <v>832</v>
      </c>
      <c r="F192" s="2" t="s">
        <v>827</v>
      </c>
      <c r="G192" s="3" t="s">
        <v>85</v>
      </c>
      <c r="H192" s="2" t="s">
        <v>833</v>
      </c>
      <c r="I192" s="2" t="s">
        <v>208</v>
      </c>
      <c r="J192" s="2" t="s">
        <v>209</v>
      </c>
      <c r="K192" s="2" t="s">
        <v>210</v>
      </c>
      <c r="L192" s="2" t="s">
        <v>147</v>
      </c>
      <c r="M192" s="2" t="s">
        <v>211</v>
      </c>
      <c r="N192" s="2" t="s">
        <v>77</v>
      </c>
      <c r="O192" s="2"/>
    </row>
    <row r="193" spans="1:15" ht="38.25" x14ac:dyDescent="0.25">
      <c r="A193" s="2" t="s">
        <v>834</v>
      </c>
      <c r="B193" s="2" t="s">
        <v>16</v>
      </c>
      <c r="C193" s="2" t="s">
        <v>830</v>
      </c>
      <c r="D193" s="2" t="s">
        <v>835</v>
      </c>
      <c r="E193" s="2" t="s">
        <v>832</v>
      </c>
      <c r="F193" s="2" t="s">
        <v>827</v>
      </c>
      <c r="G193" s="3" t="s">
        <v>85</v>
      </c>
      <c r="H193" s="2" t="s">
        <v>836</v>
      </c>
      <c r="I193" s="2" t="s">
        <v>208</v>
      </c>
      <c r="J193" s="2" t="s">
        <v>209</v>
      </c>
      <c r="K193" s="2" t="s">
        <v>210</v>
      </c>
      <c r="L193" s="2" t="s">
        <v>147</v>
      </c>
      <c r="M193" s="2" t="s">
        <v>211</v>
      </c>
      <c r="N193" s="2" t="s">
        <v>77</v>
      </c>
      <c r="O193" s="2"/>
    </row>
    <row r="194" spans="1:15" ht="51" x14ac:dyDescent="0.25">
      <c r="A194" s="2" t="s">
        <v>837</v>
      </c>
      <c r="B194" s="2" t="s">
        <v>16</v>
      </c>
      <c r="C194" s="2" t="s">
        <v>830</v>
      </c>
      <c r="D194" s="2" t="s">
        <v>838</v>
      </c>
      <c r="E194" s="2" t="s">
        <v>832</v>
      </c>
      <c r="F194" s="2" t="s">
        <v>827</v>
      </c>
      <c r="G194" s="3" t="s">
        <v>85</v>
      </c>
      <c r="H194" s="2" t="s">
        <v>839</v>
      </c>
      <c r="I194" s="2" t="s">
        <v>208</v>
      </c>
      <c r="J194" s="2" t="s">
        <v>209</v>
      </c>
      <c r="K194" s="2" t="s">
        <v>210</v>
      </c>
      <c r="L194" s="2" t="s">
        <v>147</v>
      </c>
      <c r="M194" s="2" t="s">
        <v>211</v>
      </c>
      <c r="N194" s="2" t="s">
        <v>77</v>
      </c>
      <c r="O194" s="2"/>
    </row>
    <row r="195" spans="1:15" ht="38.25" x14ac:dyDescent="0.25">
      <c r="A195" s="2" t="s">
        <v>840</v>
      </c>
      <c r="B195" s="2" t="s">
        <v>16</v>
      </c>
      <c r="C195" s="2" t="s">
        <v>825</v>
      </c>
      <c r="D195" s="2" t="s">
        <v>841</v>
      </c>
      <c r="E195" s="2" t="s">
        <v>562</v>
      </c>
      <c r="F195" s="2" t="s">
        <v>827</v>
      </c>
      <c r="G195" s="3" t="s">
        <v>21</v>
      </c>
      <c r="H195" s="2" t="s">
        <v>842</v>
      </c>
      <c r="I195" s="2" t="s">
        <v>208</v>
      </c>
      <c r="J195" s="2" t="s">
        <v>209</v>
      </c>
      <c r="K195" s="2" t="s">
        <v>210</v>
      </c>
      <c r="L195" s="2" t="s">
        <v>147</v>
      </c>
      <c r="M195" s="2" t="s">
        <v>211</v>
      </c>
      <c r="N195" s="2" t="s">
        <v>28</v>
      </c>
      <c r="O195" s="2"/>
    </row>
    <row r="196" spans="1:15" ht="38.25" x14ac:dyDescent="0.25">
      <c r="A196" s="2" t="s">
        <v>843</v>
      </c>
      <c r="B196" s="2" t="s">
        <v>16</v>
      </c>
      <c r="C196" s="2" t="s">
        <v>844</v>
      </c>
      <c r="D196" s="2" t="s">
        <v>845</v>
      </c>
      <c r="E196" s="2" t="s">
        <v>263</v>
      </c>
      <c r="F196" s="2" t="s">
        <v>827</v>
      </c>
      <c r="G196" s="3" t="s">
        <v>70</v>
      </c>
      <c r="H196" s="2" t="s">
        <v>846</v>
      </c>
      <c r="I196" s="2" t="s">
        <v>120</v>
      </c>
      <c r="J196" s="2" t="s">
        <v>121</v>
      </c>
      <c r="K196" s="2" t="s">
        <v>122</v>
      </c>
      <c r="L196" s="2" t="s">
        <v>123</v>
      </c>
      <c r="M196" s="2" t="s">
        <v>124</v>
      </c>
      <c r="N196" s="2" t="s">
        <v>77</v>
      </c>
      <c r="O196" s="2"/>
    </row>
    <row r="197" spans="1:15" ht="38.25" x14ac:dyDescent="0.25">
      <c r="A197" s="2" t="s">
        <v>847</v>
      </c>
      <c r="B197" s="2" t="s">
        <v>16</v>
      </c>
      <c r="C197" s="2" t="s">
        <v>844</v>
      </c>
      <c r="D197" s="2" t="s">
        <v>848</v>
      </c>
      <c r="E197" s="2" t="s">
        <v>263</v>
      </c>
      <c r="F197" s="2" t="s">
        <v>711</v>
      </c>
      <c r="G197" s="3" t="s">
        <v>70</v>
      </c>
      <c r="H197" s="2" t="s">
        <v>849</v>
      </c>
      <c r="I197" s="2" t="s">
        <v>713</v>
      </c>
      <c r="J197" s="2" t="s">
        <v>714</v>
      </c>
      <c r="K197" s="2" t="s">
        <v>715</v>
      </c>
      <c r="L197" s="2" t="s">
        <v>123</v>
      </c>
      <c r="M197" s="2" t="s">
        <v>716</v>
      </c>
      <c r="N197" s="2" t="s">
        <v>77</v>
      </c>
      <c r="O197" s="2"/>
    </row>
    <row r="198" spans="1:15" ht="38.25" x14ac:dyDescent="0.25">
      <c r="A198" s="2" t="s">
        <v>850</v>
      </c>
      <c r="B198" s="2" t="s">
        <v>16</v>
      </c>
      <c r="C198" s="2" t="s">
        <v>851</v>
      </c>
      <c r="D198" s="2" t="s">
        <v>852</v>
      </c>
      <c r="E198" s="2" t="s">
        <v>270</v>
      </c>
      <c r="F198" s="2" t="s">
        <v>632</v>
      </c>
      <c r="G198" s="3" t="s">
        <v>85</v>
      </c>
      <c r="H198" s="2" t="s">
        <v>853</v>
      </c>
      <c r="I198" s="2" t="s">
        <v>634</v>
      </c>
      <c r="J198" s="2" t="s">
        <v>635</v>
      </c>
      <c r="K198" s="2" t="s">
        <v>636</v>
      </c>
      <c r="L198" s="2" t="s">
        <v>637</v>
      </c>
      <c r="M198" s="2" t="s">
        <v>638</v>
      </c>
      <c r="N198" s="2" t="s">
        <v>77</v>
      </c>
      <c r="O198" s="2"/>
    </row>
    <row r="199" spans="1:15" ht="38.25" x14ac:dyDescent="0.25">
      <c r="A199" s="2" t="s">
        <v>854</v>
      </c>
      <c r="B199" s="2" t="s">
        <v>16</v>
      </c>
      <c r="C199" s="2" t="s">
        <v>855</v>
      </c>
      <c r="D199" s="2" t="s">
        <v>856</v>
      </c>
      <c r="E199" s="2" t="s">
        <v>644</v>
      </c>
      <c r="F199" s="2" t="s">
        <v>632</v>
      </c>
      <c r="G199" s="3" t="s">
        <v>21</v>
      </c>
      <c r="H199" s="2" t="s">
        <v>857</v>
      </c>
      <c r="I199" s="2" t="s">
        <v>634</v>
      </c>
      <c r="J199" s="2" t="s">
        <v>635</v>
      </c>
      <c r="K199" s="2" t="s">
        <v>636</v>
      </c>
      <c r="L199" s="2" t="s">
        <v>637</v>
      </c>
      <c r="M199" s="2" t="s">
        <v>638</v>
      </c>
      <c r="N199" s="2" t="s">
        <v>28</v>
      </c>
      <c r="O199" s="2"/>
    </row>
    <row r="200" spans="1:15" ht="51" x14ac:dyDescent="0.25">
      <c r="A200" s="2" t="s">
        <v>858</v>
      </c>
      <c r="B200" s="2" t="s">
        <v>16</v>
      </c>
      <c r="C200" s="2" t="s">
        <v>859</v>
      </c>
      <c r="D200" s="2" t="s">
        <v>860</v>
      </c>
      <c r="E200" s="2" t="s">
        <v>861</v>
      </c>
      <c r="F200" s="2" t="s">
        <v>862</v>
      </c>
      <c r="G200" s="3" t="s">
        <v>85</v>
      </c>
      <c r="H200" s="2" t="s">
        <v>863</v>
      </c>
      <c r="I200" s="2" t="s">
        <v>634</v>
      </c>
      <c r="J200" s="2" t="s">
        <v>635</v>
      </c>
      <c r="K200" s="2" t="s">
        <v>636</v>
      </c>
      <c r="L200" s="2" t="s">
        <v>637</v>
      </c>
      <c r="M200" s="2" t="s">
        <v>638</v>
      </c>
      <c r="N200" s="2" t="s">
        <v>77</v>
      </c>
      <c r="O200" s="2"/>
    </row>
    <row r="201" spans="1:15" ht="51" x14ac:dyDescent="0.25">
      <c r="A201" s="2" t="s">
        <v>864</v>
      </c>
      <c r="B201" s="2" t="s">
        <v>16</v>
      </c>
      <c r="C201" s="2" t="s">
        <v>859</v>
      </c>
      <c r="D201" s="2" t="s">
        <v>865</v>
      </c>
      <c r="E201" s="2" t="s">
        <v>861</v>
      </c>
      <c r="F201" s="2" t="s">
        <v>862</v>
      </c>
      <c r="G201" s="3" t="s">
        <v>85</v>
      </c>
      <c r="H201" s="2" t="s">
        <v>866</v>
      </c>
      <c r="I201" s="2" t="s">
        <v>634</v>
      </c>
      <c r="J201" s="2" t="s">
        <v>635</v>
      </c>
      <c r="K201" s="2" t="s">
        <v>636</v>
      </c>
      <c r="L201" s="2" t="s">
        <v>637</v>
      </c>
      <c r="M201" s="2" t="s">
        <v>638</v>
      </c>
      <c r="N201" s="2" t="s">
        <v>77</v>
      </c>
      <c r="O201" s="2"/>
    </row>
    <row r="202" spans="1:15" ht="51" x14ac:dyDescent="0.25">
      <c r="A202" s="2" t="s">
        <v>867</v>
      </c>
      <c r="B202" s="2" t="s">
        <v>16</v>
      </c>
      <c r="C202" s="2" t="s">
        <v>859</v>
      </c>
      <c r="D202" s="2" t="s">
        <v>868</v>
      </c>
      <c r="E202" s="2" t="s">
        <v>861</v>
      </c>
      <c r="F202" s="2" t="s">
        <v>862</v>
      </c>
      <c r="G202" s="3" t="s">
        <v>85</v>
      </c>
      <c r="H202" s="2" t="s">
        <v>869</v>
      </c>
      <c r="I202" s="2" t="s">
        <v>634</v>
      </c>
      <c r="J202" s="2" t="s">
        <v>635</v>
      </c>
      <c r="K202" s="2" t="s">
        <v>636</v>
      </c>
      <c r="L202" s="2" t="s">
        <v>637</v>
      </c>
      <c r="M202" s="2" t="s">
        <v>638</v>
      </c>
      <c r="N202" s="2" t="s">
        <v>77</v>
      </c>
      <c r="O202" s="2"/>
    </row>
    <row r="203" spans="1:15" ht="51" x14ac:dyDescent="0.25">
      <c r="A203" s="2" t="s">
        <v>870</v>
      </c>
      <c r="B203" s="2" t="s">
        <v>16</v>
      </c>
      <c r="C203" s="2" t="s">
        <v>859</v>
      </c>
      <c r="D203" s="2" t="s">
        <v>871</v>
      </c>
      <c r="E203" s="2" t="s">
        <v>861</v>
      </c>
      <c r="F203" s="2" t="s">
        <v>862</v>
      </c>
      <c r="G203" s="3" t="s">
        <v>85</v>
      </c>
      <c r="H203" s="2" t="s">
        <v>872</v>
      </c>
      <c r="I203" s="2" t="s">
        <v>634</v>
      </c>
      <c r="J203" s="2" t="s">
        <v>635</v>
      </c>
      <c r="K203" s="2" t="s">
        <v>636</v>
      </c>
      <c r="L203" s="2" t="s">
        <v>637</v>
      </c>
      <c r="M203" s="2" t="s">
        <v>638</v>
      </c>
      <c r="N203" s="2" t="s">
        <v>77</v>
      </c>
      <c r="O203" s="2"/>
    </row>
    <row r="204" spans="1:15" ht="38.25" x14ac:dyDescent="0.25">
      <c r="A204" s="2" t="s">
        <v>873</v>
      </c>
      <c r="B204" s="2" t="s">
        <v>16</v>
      </c>
      <c r="C204" s="2" t="s">
        <v>859</v>
      </c>
      <c r="D204" s="2" t="s">
        <v>874</v>
      </c>
      <c r="E204" s="2" t="s">
        <v>861</v>
      </c>
      <c r="F204" s="2" t="s">
        <v>862</v>
      </c>
      <c r="G204" s="3" t="s">
        <v>21</v>
      </c>
      <c r="H204" s="2" t="s">
        <v>875</v>
      </c>
      <c r="I204" s="2" t="s">
        <v>634</v>
      </c>
      <c r="J204" s="2" t="s">
        <v>635</v>
      </c>
      <c r="K204" s="2" t="s">
        <v>636</v>
      </c>
      <c r="L204" s="2" t="s">
        <v>637</v>
      </c>
      <c r="M204" s="2" t="s">
        <v>638</v>
      </c>
      <c r="N204" s="2" t="s">
        <v>28</v>
      </c>
      <c r="O204" s="2" t="s">
        <v>876</v>
      </c>
    </row>
    <row r="205" spans="1:15" ht="38.25" x14ac:dyDescent="0.25">
      <c r="A205" s="2" t="s">
        <v>877</v>
      </c>
      <c r="B205" s="2" t="s">
        <v>16</v>
      </c>
      <c r="C205" s="2" t="s">
        <v>859</v>
      </c>
      <c r="D205" s="2" t="s">
        <v>878</v>
      </c>
      <c r="E205" s="2" t="s">
        <v>861</v>
      </c>
      <c r="F205" s="2" t="s">
        <v>862</v>
      </c>
      <c r="G205" s="3" t="s">
        <v>21</v>
      </c>
      <c r="H205" s="2" t="s">
        <v>879</v>
      </c>
      <c r="I205" s="2" t="s">
        <v>634</v>
      </c>
      <c r="J205" s="2" t="s">
        <v>635</v>
      </c>
      <c r="K205" s="2" t="s">
        <v>636</v>
      </c>
      <c r="L205" s="2" t="s">
        <v>637</v>
      </c>
      <c r="M205" s="2" t="s">
        <v>638</v>
      </c>
      <c r="N205" s="2" t="s">
        <v>28</v>
      </c>
      <c r="O205" s="2"/>
    </row>
    <row r="206" spans="1:15" ht="38.25" x14ac:dyDescent="0.25">
      <c r="A206" s="2" t="s">
        <v>880</v>
      </c>
      <c r="B206" s="2" t="s">
        <v>16</v>
      </c>
      <c r="C206" s="2" t="s">
        <v>859</v>
      </c>
      <c r="D206" s="2" t="s">
        <v>881</v>
      </c>
      <c r="E206" s="2" t="s">
        <v>117</v>
      </c>
      <c r="F206" s="2" t="s">
        <v>862</v>
      </c>
      <c r="G206" s="3" t="s">
        <v>85</v>
      </c>
      <c r="H206" s="2" t="s">
        <v>882</v>
      </c>
      <c r="I206" s="2" t="s">
        <v>634</v>
      </c>
      <c r="J206" s="2" t="s">
        <v>635</v>
      </c>
      <c r="K206" s="2" t="s">
        <v>636</v>
      </c>
      <c r="L206" s="2" t="s">
        <v>637</v>
      </c>
      <c r="M206" s="2" t="s">
        <v>638</v>
      </c>
      <c r="N206" s="2" t="s">
        <v>77</v>
      </c>
      <c r="O206" s="2"/>
    </row>
    <row r="207" spans="1:15" ht="38.25" x14ac:dyDescent="0.25">
      <c r="A207" s="2" t="s">
        <v>883</v>
      </c>
      <c r="B207" s="2" t="s">
        <v>16</v>
      </c>
      <c r="C207" s="2" t="s">
        <v>884</v>
      </c>
      <c r="D207" s="2" t="s">
        <v>885</v>
      </c>
      <c r="E207" s="2" t="s">
        <v>886</v>
      </c>
      <c r="F207" s="2" t="s">
        <v>887</v>
      </c>
      <c r="G207" s="3" t="s">
        <v>21</v>
      </c>
      <c r="H207" s="2" t="s">
        <v>888</v>
      </c>
      <c r="I207" s="2" t="s">
        <v>889</v>
      </c>
      <c r="J207" s="2" t="s">
        <v>890</v>
      </c>
      <c r="K207" s="2" t="s">
        <v>891</v>
      </c>
      <c r="L207" s="2" t="s">
        <v>123</v>
      </c>
      <c r="M207" s="2" t="s">
        <v>892</v>
      </c>
      <c r="N207" s="2" t="s">
        <v>28</v>
      </c>
      <c r="O207" s="2" t="s">
        <v>893</v>
      </c>
    </row>
    <row r="208" spans="1:15" ht="63.75" x14ac:dyDescent="0.25">
      <c r="A208" s="2" t="s">
        <v>894</v>
      </c>
      <c r="B208" s="2" t="s">
        <v>16</v>
      </c>
      <c r="C208" s="2" t="s">
        <v>895</v>
      </c>
      <c r="D208" s="2" t="s">
        <v>896</v>
      </c>
      <c r="E208" s="2" t="s">
        <v>886</v>
      </c>
      <c r="F208" s="2" t="s">
        <v>887</v>
      </c>
      <c r="G208" s="3" t="s">
        <v>21</v>
      </c>
      <c r="H208" s="2" t="s">
        <v>897</v>
      </c>
      <c r="I208" s="2" t="s">
        <v>889</v>
      </c>
      <c r="J208" s="2" t="s">
        <v>890</v>
      </c>
      <c r="K208" s="2" t="s">
        <v>891</v>
      </c>
      <c r="L208" s="2" t="s">
        <v>123</v>
      </c>
      <c r="M208" s="2" t="s">
        <v>892</v>
      </c>
      <c r="N208" s="2" t="s">
        <v>28</v>
      </c>
      <c r="O208" s="2" t="s">
        <v>893</v>
      </c>
    </row>
    <row r="209" spans="1:15" ht="63.75" x14ac:dyDescent="0.25">
      <c r="A209" s="2" t="s">
        <v>898</v>
      </c>
      <c r="B209" s="2" t="s">
        <v>16</v>
      </c>
      <c r="C209" s="2" t="s">
        <v>899</v>
      </c>
      <c r="D209" s="2" t="s">
        <v>900</v>
      </c>
      <c r="E209" s="2" t="s">
        <v>886</v>
      </c>
      <c r="F209" s="2" t="s">
        <v>887</v>
      </c>
      <c r="G209" s="3" t="s">
        <v>21</v>
      </c>
      <c r="H209" s="2" t="s">
        <v>901</v>
      </c>
      <c r="I209" s="2" t="s">
        <v>889</v>
      </c>
      <c r="J209" s="2" t="s">
        <v>890</v>
      </c>
      <c r="K209" s="2" t="s">
        <v>891</v>
      </c>
      <c r="L209" s="2" t="s">
        <v>123</v>
      </c>
      <c r="M209" s="2" t="s">
        <v>892</v>
      </c>
      <c r="N209" s="2" t="s">
        <v>28</v>
      </c>
      <c r="O209" s="2" t="s">
        <v>893</v>
      </c>
    </row>
    <row r="210" spans="1:15" ht="38.25" x14ac:dyDescent="0.25">
      <c r="A210" s="2" t="s">
        <v>902</v>
      </c>
      <c r="B210" s="2" t="s">
        <v>16</v>
      </c>
      <c r="C210" s="2" t="s">
        <v>899</v>
      </c>
      <c r="D210" s="2" t="s">
        <v>903</v>
      </c>
      <c r="E210" s="2" t="s">
        <v>904</v>
      </c>
      <c r="F210" s="2" t="s">
        <v>887</v>
      </c>
      <c r="G210" s="3" t="s">
        <v>21</v>
      </c>
      <c r="H210" s="2" t="s">
        <v>905</v>
      </c>
      <c r="I210" s="2" t="s">
        <v>889</v>
      </c>
      <c r="J210" s="2" t="s">
        <v>890</v>
      </c>
      <c r="K210" s="2" t="s">
        <v>891</v>
      </c>
      <c r="L210" s="2" t="s">
        <v>123</v>
      </c>
      <c r="M210" s="2" t="s">
        <v>892</v>
      </c>
      <c r="N210" s="2" t="s">
        <v>28</v>
      </c>
      <c r="O210" s="2" t="s">
        <v>893</v>
      </c>
    </row>
    <row r="211" spans="1:15" ht="38.25" x14ac:dyDescent="0.25">
      <c r="A211" s="2" t="s">
        <v>906</v>
      </c>
      <c r="B211" s="2" t="s">
        <v>16</v>
      </c>
      <c r="C211" s="2" t="s">
        <v>907</v>
      </c>
      <c r="D211" s="2" t="s">
        <v>908</v>
      </c>
      <c r="E211" s="2" t="s">
        <v>886</v>
      </c>
      <c r="F211" s="2" t="s">
        <v>887</v>
      </c>
      <c r="G211" s="3" t="s">
        <v>21</v>
      </c>
      <c r="H211" s="2" t="s">
        <v>909</v>
      </c>
      <c r="I211" s="2" t="s">
        <v>889</v>
      </c>
      <c r="J211" s="2" t="s">
        <v>890</v>
      </c>
      <c r="K211" s="2" t="s">
        <v>891</v>
      </c>
      <c r="L211" s="2" t="s">
        <v>123</v>
      </c>
      <c r="M211" s="2" t="s">
        <v>892</v>
      </c>
      <c r="N211" s="2" t="s">
        <v>28</v>
      </c>
      <c r="O211" s="2" t="s">
        <v>893</v>
      </c>
    </row>
    <row r="212" spans="1:15" ht="38.25" x14ac:dyDescent="0.25">
      <c r="A212" s="2" t="s">
        <v>910</v>
      </c>
      <c r="B212" s="2" t="s">
        <v>16</v>
      </c>
      <c r="C212" s="2" t="s">
        <v>907</v>
      </c>
      <c r="D212" s="2" t="s">
        <v>911</v>
      </c>
      <c r="E212" s="2" t="s">
        <v>68</v>
      </c>
      <c r="F212" s="2" t="s">
        <v>887</v>
      </c>
      <c r="G212" s="3" t="s">
        <v>21</v>
      </c>
      <c r="H212" s="2" t="s">
        <v>912</v>
      </c>
      <c r="I212" s="2" t="s">
        <v>889</v>
      </c>
      <c r="J212" s="2" t="s">
        <v>890</v>
      </c>
      <c r="K212" s="2" t="s">
        <v>891</v>
      </c>
      <c r="L212" s="2" t="s">
        <v>123</v>
      </c>
      <c r="M212" s="2" t="s">
        <v>892</v>
      </c>
      <c r="N212" s="2" t="s">
        <v>28</v>
      </c>
      <c r="O212" s="2" t="s">
        <v>893</v>
      </c>
    </row>
    <row r="213" spans="1:15" ht="38.25" x14ac:dyDescent="0.25">
      <c r="A213" s="2" t="s">
        <v>913</v>
      </c>
      <c r="B213" s="2" t="s">
        <v>16</v>
      </c>
      <c r="C213" s="2" t="s">
        <v>914</v>
      </c>
      <c r="D213" s="2" t="s">
        <v>915</v>
      </c>
      <c r="E213" s="2" t="s">
        <v>916</v>
      </c>
      <c r="F213" s="2" t="s">
        <v>887</v>
      </c>
      <c r="G213" s="3" t="s">
        <v>21</v>
      </c>
      <c r="H213" s="2" t="s">
        <v>917</v>
      </c>
      <c r="I213" s="2" t="s">
        <v>889</v>
      </c>
      <c r="J213" s="2" t="s">
        <v>890</v>
      </c>
      <c r="K213" s="2" t="s">
        <v>891</v>
      </c>
      <c r="L213" s="2" t="s">
        <v>123</v>
      </c>
      <c r="M213" s="2" t="s">
        <v>892</v>
      </c>
      <c r="N213" s="2" t="s">
        <v>28</v>
      </c>
      <c r="O213" s="2" t="s">
        <v>893</v>
      </c>
    </row>
    <row r="214" spans="1:15" ht="63.75" x14ac:dyDescent="0.25">
      <c r="A214" s="2" t="s">
        <v>918</v>
      </c>
      <c r="B214" s="2" t="s">
        <v>16</v>
      </c>
      <c r="C214" s="2" t="s">
        <v>919</v>
      </c>
      <c r="D214" s="2" t="s">
        <v>920</v>
      </c>
      <c r="E214" s="2" t="s">
        <v>921</v>
      </c>
      <c r="F214" s="2" t="s">
        <v>887</v>
      </c>
      <c r="G214" s="3" t="s">
        <v>21</v>
      </c>
      <c r="H214" s="2" t="s">
        <v>922</v>
      </c>
      <c r="I214" s="2" t="s">
        <v>889</v>
      </c>
      <c r="J214" s="2" t="s">
        <v>890</v>
      </c>
      <c r="K214" s="2" t="s">
        <v>891</v>
      </c>
      <c r="L214" s="2" t="s">
        <v>123</v>
      </c>
      <c r="M214" s="2" t="s">
        <v>892</v>
      </c>
      <c r="N214" s="2" t="s">
        <v>28</v>
      </c>
      <c r="O214" s="2" t="s">
        <v>893</v>
      </c>
    </row>
    <row r="215" spans="1:15" ht="38.25" x14ac:dyDescent="0.25">
      <c r="A215" s="2" t="s">
        <v>923</v>
      </c>
      <c r="B215" s="2" t="s">
        <v>16</v>
      </c>
      <c r="C215" s="2" t="s">
        <v>924</v>
      </c>
      <c r="D215" s="2" t="s">
        <v>925</v>
      </c>
      <c r="E215" s="2" t="s">
        <v>921</v>
      </c>
      <c r="F215" s="2" t="s">
        <v>887</v>
      </c>
      <c r="G215" s="3" t="s">
        <v>21</v>
      </c>
      <c r="H215" s="2" t="s">
        <v>926</v>
      </c>
      <c r="I215" s="2" t="s">
        <v>889</v>
      </c>
      <c r="J215" s="2" t="s">
        <v>890</v>
      </c>
      <c r="K215" s="2" t="s">
        <v>891</v>
      </c>
      <c r="L215" s="2" t="s">
        <v>123</v>
      </c>
      <c r="M215" s="2" t="s">
        <v>892</v>
      </c>
      <c r="N215" s="2" t="s">
        <v>28</v>
      </c>
      <c r="O215" s="2" t="s">
        <v>893</v>
      </c>
    </row>
    <row r="216" spans="1:15" ht="38.25" x14ac:dyDescent="0.25">
      <c r="A216" s="2" t="s">
        <v>927</v>
      </c>
      <c r="B216" s="2" t="s">
        <v>16</v>
      </c>
      <c r="C216" s="2" t="s">
        <v>928</v>
      </c>
      <c r="D216" s="2" t="s">
        <v>929</v>
      </c>
      <c r="E216" s="2" t="s">
        <v>921</v>
      </c>
      <c r="F216" s="2" t="s">
        <v>887</v>
      </c>
      <c r="G216" s="3" t="s">
        <v>21</v>
      </c>
      <c r="H216" s="2" t="s">
        <v>930</v>
      </c>
      <c r="I216" s="2" t="s">
        <v>889</v>
      </c>
      <c r="J216" s="2" t="s">
        <v>890</v>
      </c>
      <c r="K216" s="2" t="s">
        <v>891</v>
      </c>
      <c r="L216" s="2" t="s">
        <v>123</v>
      </c>
      <c r="M216" s="2" t="s">
        <v>892</v>
      </c>
      <c r="N216" s="2" t="s">
        <v>28</v>
      </c>
      <c r="O216" s="2" t="s">
        <v>893</v>
      </c>
    </row>
    <row r="217" spans="1:15" ht="76.5" x14ac:dyDescent="0.25">
      <c r="A217" s="2" t="s">
        <v>931</v>
      </c>
      <c r="B217" s="2" t="s">
        <v>16</v>
      </c>
      <c r="C217" s="2" t="s">
        <v>932</v>
      </c>
      <c r="D217" s="2" t="s">
        <v>933</v>
      </c>
      <c r="E217" s="2" t="s">
        <v>921</v>
      </c>
      <c r="F217" s="2" t="s">
        <v>887</v>
      </c>
      <c r="G217" s="3" t="s">
        <v>21</v>
      </c>
      <c r="H217" s="2" t="s">
        <v>934</v>
      </c>
      <c r="I217" s="2" t="s">
        <v>889</v>
      </c>
      <c r="J217" s="2" t="s">
        <v>890</v>
      </c>
      <c r="K217" s="2" t="s">
        <v>891</v>
      </c>
      <c r="L217" s="2" t="s">
        <v>123</v>
      </c>
      <c r="M217" s="2" t="s">
        <v>892</v>
      </c>
      <c r="N217" s="2" t="s">
        <v>28</v>
      </c>
      <c r="O217" s="2" t="s">
        <v>893</v>
      </c>
    </row>
    <row r="218" spans="1:15" ht="38.25" x14ac:dyDescent="0.25">
      <c r="A218" s="2" t="s">
        <v>935</v>
      </c>
      <c r="B218" s="2" t="s">
        <v>16</v>
      </c>
      <c r="C218" s="2" t="s">
        <v>936</v>
      </c>
      <c r="D218" s="2" t="s">
        <v>937</v>
      </c>
      <c r="E218" s="2" t="s">
        <v>921</v>
      </c>
      <c r="F218" s="2" t="s">
        <v>887</v>
      </c>
      <c r="G218" s="3" t="s">
        <v>21</v>
      </c>
      <c r="H218" s="2" t="s">
        <v>938</v>
      </c>
      <c r="I218" s="2" t="s">
        <v>889</v>
      </c>
      <c r="J218" s="2" t="s">
        <v>890</v>
      </c>
      <c r="K218" s="2" t="s">
        <v>891</v>
      </c>
      <c r="L218" s="2" t="s">
        <v>123</v>
      </c>
      <c r="M218" s="2" t="s">
        <v>892</v>
      </c>
      <c r="N218" s="2" t="s">
        <v>28</v>
      </c>
      <c r="O218" s="2" t="s">
        <v>893</v>
      </c>
    </row>
    <row r="219" spans="1:15" ht="38.25" x14ac:dyDescent="0.25">
      <c r="A219" s="2" t="s">
        <v>939</v>
      </c>
      <c r="B219" s="2" t="s">
        <v>16</v>
      </c>
      <c r="C219" s="2" t="s">
        <v>940</v>
      </c>
      <c r="D219" s="2" t="s">
        <v>941</v>
      </c>
      <c r="E219" s="2" t="s">
        <v>942</v>
      </c>
      <c r="F219" s="2" t="s">
        <v>887</v>
      </c>
      <c r="G219" s="3" t="s">
        <v>21</v>
      </c>
      <c r="H219" s="2" t="s">
        <v>943</v>
      </c>
      <c r="I219" s="2" t="s">
        <v>889</v>
      </c>
      <c r="J219" s="2" t="s">
        <v>890</v>
      </c>
      <c r="K219" s="2" t="s">
        <v>891</v>
      </c>
      <c r="L219" s="2" t="s">
        <v>123</v>
      </c>
      <c r="M219" s="2" t="s">
        <v>892</v>
      </c>
      <c r="N219" s="2" t="s">
        <v>28</v>
      </c>
      <c r="O219" s="2" t="s">
        <v>893</v>
      </c>
    </row>
    <row r="220" spans="1:15" ht="51" x14ac:dyDescent="0.25">
      <c r="A220" s="2" t="s">
        <v>944</v>
      </c>
      <c r="B220" s="2" t="s">
        <v>16</v>
      </c>
      <c r="C220" s="2" t="s">
        <v>940</v>
      </c>
      <c r="D220" s="2" t="s">
        <v>945</v>
      </c>
      <c r="E220" s="2" t="s">
        <v>187</v>
      </c>
      <c r="F220" s="2" t="s">
        <v>887</v>
      </c>
      <c r="G220" s="3" t="s">
        <v>85</v>
      </c>
      <c r="H220" s="2" t="s">
        <v>946</v>
      </c>
      <c r="I220" s="2" t="s">
        <v>889</v>
      </c>
      <c r="J220" s="2" t="s">
        <v>890</v>
      </c>
      <c r="K220" s="2" t="s">
        <v>891</v>
      </c>
      <c r="L220" s="2" t="s">
        <v>123</v>
      </c>
      <c r="M220" s="2" t="s">
        <v>892</v>
      </c>
      <c r="N220" s="2" t="s">
        <v>77</v>
      </c>
      <c r="O220" s="2" t="s">
        <v>893</v>
      </c>
    </row>
    <row r="221" spans="1:15" ht="38.25" x14ac:dyDescent="0.25">
      <c r="A221" s="2" t="s">
        <v>947</v>
      </c>
      <c r="B221" s="2" t="s">
        <v>16</v>
      </c>
      <c r="C221" s="2" t="s">
        <v>948</v>
      </c>
      <c r="D221" s="2" t="s">
        <v>949</v>
      </c>
      <c r="E221" s="2" t="s">
        <v>950</v>
      </c>
      <c r="F221" s="2" t="s">
        <v>887</v>
      </c>
      <c r="G221" s="3" t="s">
        <v>21</v>
      </c>
      <c r="H221" s="2" t="s">
        <v>951</v>
      </c>
      <c r="I221" s="2" t="s">
        <v>889</v>
      </c>
      <c r="J221" s="2" t="s">
        <v>890</v>
      </c>
      <c r="K221" s="2" t="s">
        <v>891</v>
      </c>
      <c r="L221" s="2" t="s">
        <v>123</v>
      </c>
      <c r="M221" s="2" t="s">
        <v>892</v>
      </c>
      <c r="N221" s="2" t="s">
        <v>28</v>
      </c>
      <c r="O221" s="2" t="s">
        <v>893</v>
      </c>
    </row>
    <row r="222" spans="1:15" ht="38.25" x14ac:dyDescent="0.25">
      <c r="A222" s="2" t="s">
        <v>952</v>
      </c>
      <c r="B222" s="2" t="s">
        <v>16</v>
      </c>
      <c r="C222" s="2" t="s">
        <v>953</v>
      </c>
      <c r="D222" s="2" t="s">
        <v>954</v>
      </c>
      <c r="E222" s="2" t="s">
        <v>950</v>
      </c>
      <c r="F222" s="2" t="s">
        <v>887</v>
      </c>
      <c r="G222" s="3" t="s">
        <v>21</v>
      </c>
      <c r="H222" s="2" t="s">
        <v>955</v>
      </c>
      <c r="I222" s="2" t="s">
        <v>889</v>
      </c>
      <c r="J222" s="2" t="s">
        <v>890</v>
      </c>
      <c r="K222" s="2" t="s">
        <v>891</v>
      </c>
      <c r="L222" s="2" t="s">
        <v>123</v>
      </c>
      <c r="M222" s="2" t="s">
        <v>892</v>
      </c>
      <c r="N222" s="2" t="s">
        <v>28</v>
      </c>
      <c r="O222" s="2" t="s">
        <v>893</v>
      </c>
    </row>
    <row r="223" spans="1:15" ht="38.25" x14ac:dyDescent="0.25">
      <c r="A223" s="2" t="s">
        <v>956</v>
      </c>
      <c r="B223" s="2" t="s">
        <v>16</v>
      </c>
      <c r="C223" s="2" t="s">
        <v>957</v>
      </c>
      <c r="D223" s="2" t="s">
        <v>958</v>
      </c>
      <c r="E223" s="2" t="s">
        <v>950</v>
      </c>
      <c r="F223" s="2" t="s">
        <v>887</v>
      </c>
      <c r="G223" s="3" t="s">
        <v>21</v>
      </c>
      <c r="H223" s="2" t="s">
        <v>959</v>
      </c>
      <c r="I223" s="2" t="s">
        <v>889</v>
      </c>
      <c r="J223" s="2" t="s">
        <v>890</v>
      </c>
      <c r="K223" s="2" t="s">
        <v>891</v>
      </c>
      <c r="L223" s="2" t="s">
        <v>123</v>
      </c>
      <c r="M223" s="2" t="s">
        <v>892</v>
      </c>
      <c r="N223" s="2" t="s">
        <v>28</v>
      </c>
      <c r="O223" s="2" t="s">
        <v>893</v>
      </c>
    </row>
    <row r="224" spans="1:15" ht="38.25" x14ac:dyDescent="0.25">
      <c r="A224" s="2" t="s">
        <v>960</v>
      </c>
      <c r="B224" s="2" t="s">
        <v>16</v>
      </c>
      <c r="C224" s="2" t="s">
        <v>961</v>
      </c>
      <c r="D224" s="2" t="s">
        <v>962</v>
      </c>
      <c r="E224" s="2" t="s">
        <v>950</v>
      </c>
      <c r="F224" s="2" t="s">
        <v>887</v>
      </c>
      <c r="G224" s="3" t="s">
        <v>21</v>
      </c>
      <c r="H224" s="2" t="s">
        <v>963</v>
      </c>
      <c r="I224" s="2" t="s">
        <v>889</v>
      </c>
      <c r="J224" s="2" t="s">
        <v>890</v>
      </c>
      <c r="K224" s="2" t="s">
        <v>891</v>
      </c>
      <c r="L224" s="2" t="s">
        <v>123</v>
      </c>
      <c r="M224" s="2" t="s">
        <v>892</v>
      </c>
      <c r="N224" s="2" t="s">
        <v>28</v>
      </c>
      <c r="O224" s="2" t="s">
        <v>893</v>
      </c>
    </row>
    <row r="225" spans="1:15" ht="89.25" x14ac:dyDescent="0.25">
      <c r="A225" s="2" t="s">
        <v>964</v>
      </c>
      <c r="B225" s="2" t="s">
        <v>16</v>
      </c>
      <c r="C225" s="2" t="s">
        <v>965</v>
      </c>
      <c r="D225" s="2" t="s">
        <v>966</v>
      </c>
      <c r="E225" s="2" t="s">
        <v>967</v>
      </c>
      <c r="F225" s="2" t="s">
        <v>968</v>
      </c>
      <c r="G225" s="3" t="s">
        <v>21</v>
      </c>
      <c r="H225" s="2" t="s">
        <v>969</v>
      </c>
      <c r="I225" s="2" t="s">
        <v>970</v>
      </c>
      <c r="J225" s="2" t="s">
        <v>971</v>
      </c>
      <c r="K225" s="2" t="s">
        <v>972</v>
      </c>
      <c r="L225" s="2" t="s">
        <v>26</v>
      </c>
      <c r="M225" s="2" t="s">
        <v>973</v>
      </c>
      <c r="N225" s="2" t="s">
        <v>28</v>
      </c>
      <c r="O225" s="2" t="s">
        <v>974</v>
      </c>
    </row>
    <row r="226" spans="1:15" ht="25.5" x14ac:dyDescent="0.25">
      <c r="A226" s="2" t="s">
        <v>975</v>
      </c>
      <c r="B226" s="2" t="s">
        <v>16</v>
      </c>
      <c r="C226" s="2" t="s">
        <v>976</v>
      </c>
      <c r="D226" s="2" t="s">
        <v>977</v>
      </c>
      <c r="E226" s="2" t="s">
        <v>187</v>
      </c>
      <c r="F226" s="2" t="s">
        <v>978</v>
      </c>
      <c r="G226" s="3" t="s">
        <v>85</v>
      </c>
      <c r="H226" s="2" t="s">
        <v>979</v>
      </c>
      <c r="I226" s="2" t="s">
        <v>713</v>
      </c>
      <c r="J226" s="2" t="s">
        <v>714</v>
      </c>
      <c r="K226" s="2" t="s">
        <v>715</v>
      </c>
      <c r="L226" s="2" t="s">
        <v>123</v>
      </c>
      <c r="M226" s="2" t="s">
        <v>716</v>
      </c>
      <c r="N226" s="2" t="s">
        <v>77</v>
      </c>
      <c r="O226" s="2"/>
    </row>
    <row r="227" spans="1:15" ht="38.25" x14ac:dyDescent="0.25">
      <c r="A227" s="2" t="s">
        <v>980</v>
      </c>
      <c r="B227" s="2" t="s">
        <v>16</v>
      </c>
      <c r="C227" s="2" t="s">
        <v>976</v>
      </c>
      <c r="D227" s="2" t="s">
        <v>981</v>
      </c>
      <c r="E227" s="2" t="s">
        <v>982</v>
      </c>
      <c r="F227" s="2" t="s">
        <v>978</v>
      </c>
      <c r="G227" s="3" t="s">
        <v>21</v>
      </c>
      <c r="H227" s="2" t="s">
        <v>983</v>
      </c>
      <c r="I227" s="2" t="s">
        <v>713</v>
      </c>
      <c r="J227" s="2" t="s">
        <v>714</v>
      </c>
      <c r="K227" s="2" t="s">
        <v>715</v>
      </c>
      <c r="L227" s="2" t="s">
        <v>123</v>
      </c>
      <c r="M227" s="2" t="s">
        <v>716</v>
      </c>
      <c r="N227" s="2" t="s">
        <v>28</v>
      </c>
      <c r="O227" s="2"/>
    </row>
    <row r="228" spans="1:15" ht="38.25" x14ac:dyDescent="0.25">
      <c r="A228" s="2" t="s">
        <v>984</v>
      </c>
      <c r="B228" s="2" t="s">
        <v>16</v>
      </c>
      <c r="C228" s="2" t="s">
        <v>976</v>
      </c>
      <c r="D228" s="2" t="s">
        <v>985</v>
      </c>
      <c r="E228" s="2" t="s">
        <v>187</v>
      </c>
      <c r="F228" s="2" t="s">
        <v>978</v>
      </c>
      <c r="G228" s="3" t="s">
        <v>85</v>
      </c>
      <c r="H228" s="2" t="s">
        <v>986</v>
      </c>
      <c r="I228" s="2" t="s">
        <v>144</v>
      </c>
      <c r="J228" s="2" t="s">
        <v>145</v>
      </c>
      <c r="K228" s="2" t="s">
        <v>146</v>
      </c>
      <c r="L228" s="2" t="s">
        <v>147</v>
      </c>
      <c r="M228" s="2" t="s">
        <v>148</v>
      </c>
      <c r="N228" s="2" t="s">
        <v>77</v>
      </c>
      <c r="O228" s="2"/>
    </row>
    <row r="229" spans="1:15" ht="38.25" x14ac:dyDescent="0.25">
      <c r="A229" s="2" t="s">
        <v>987</v>
      </c>
      <c r="B229" s="2" t="s">
        <v>16</v>
      </c>
      <c r="C229" s="2" t="s">
        <v>976</v>
      </c>
      <c r="D229" s="2" t="s">
        <v>988</v>
      </c>
      <c r="E229" s="2" t="s">
        <v>989</v>
      </c>
      <c r="F229" s="2" t="s">
        <v>978</v>
      </c>
      <c r="G229" s="3" t="s">
        <v>85</v>
      </c>
      <c r="H229" s="2" t="s">
        <v>990</v>
      </c>
      <c r="I229" s="2" t="s">
        <v>144</v>
      </c>
      <c r="J229" s="2" t="s">
        <v>145</v>
      </c>
      <c r="K229" s="2" t="s">
        <v>146</v>
      </c>
      <c r="L229" s="2" t="s">
        <v>147</v>
      </c>
      <c r="M229" s="2" t="s">
        <v>148</v>
      </c>
      <c r="N229" s="2" t="s">
        <v>77</v>
      </c>
      <c r="O229" s="2"/>
    </row>
    <row r="230" spans="1:15" ht="51" x14ac:dyDescent="0.25">
      <c r="A230" s="2" t="s">
        <v>991</v>
      </c>
      <c r="B230" s="2" t="s">
        <v>16</v>
      </c>
      <c r="C230" s="2" t="s">
        <v>992</v>
      </c>
      <c r="D230" s="2" t="s">
        <v>993</v>
      </c>
      <c r="E230" s="2" t="s">
        <v>994</v>
      </c>
      <c r="F230" s="2" t="s">
        <v>995</v>
      </c>
      <c r="G230" s="3" t="s">
        <v>158</v>
      </c>
      <c r="H230" s="2" t="s">
        <v>996</v>
      </c>
      <c r="I230" s="2" t="s">
        <v>109</v>
      </c>
      <c r="J230" s="2" t="s">
        <v>110</v>
      </c>
      <c r="K230" s="2" t="s">
        <v>111</v>
      </c>
      <c r="L230" s="2" t="s">
        <v>112</v>
      </c>
      <c r="M230" s="2" t="s">
        <v>113</v>
      </c>
      <c r="N230" s="2" t="s">
        <v>165</v>
      </c>
      <c r="O230" s="2"/>
    </row>
    <row r="231" spans="1:15" ht="38.25" x14ac:dyDescent="0.25">
      <c r="A231" s="2" t="s">
        <v>997</v>
      </c>
      <c r="B231" s="2" t="s">
        <v>16</v>
      </c>
      <c r="C231" s="2" t="s">
        <v>998</v>
      </c>
      <c r="D231" s="2" t="s">
        <v>999</v>
      </c>
      <c r="E231" s="2" t="s">
        <v>994</v>
      </c>
      <c r="F231" s="2" t="s">
        <v>1000</v>
      </c>
      <c r="G231" s="3" t="s">
        <v>158</v>
      </c>
      <c r="H231" s="2" t="s">
        <v>1001</v>
      </c>
      <c r="I231" s="2" t="s">
        <v>109</v>
      </c>
      <c r="J231" s="2" t="s">
        <v>110</v>
      </c>
      <c r="K231" s="2" t="s">
        <v>111</v>
      </c>
      <c r="L231" s="2" t="s">
        <v>112</v>
      </c>
      <c r="M231" s="2" t="s">
        <v>113</v>
      </c>
      <c r="N231" s="2" t="s">
        <v>165</v>
      </c>
      <c r="O231" s="2"/>
    </row>
    <row r="232" spans="1:15" ht="63.75" x14ac:dyDescent="0.25">
      <c r="A232" s="2" t="s">
        <v>1002</v>
      </c>
      <c r="B232" s="2" t="s">
        <v>16</v>
      </c>
      <c r="C232" s="2" t="s">
        <v>1003</v>
      </c>
      <c r="D232" s="2" t="s">
        <v>1004</v>
      </c>
      <c r="E232" s="2" t="s">
        <v>994</v>
      </c>
      <c r="F232" s="2" t="s">
        <v>1005</v>
      </c>
      <c r="G232" s="3" t="s">
        <v>158</v>
      </c>
      <c r="H232" s="2" t="s">
        <v>1006</v>
      </c>
      <c r="I232" s="2" t="s">
        <v>109</v>
      </c>
      <c r="J232" s="2" t="s">
        <v>110</v>
      </c>
      <c r="K232" s="2" t="s">
        <v>111</v>
      </c>
      <c r="L232" s="2" t="s">
        <v>112</v>
      </c>
      <c r="M232" s="2" t="s">
        <v>113</v>
      </c>
      <c r="N232" s="2" t="s">
        <v>165</v>
      </c>
      <c r="O232" s="2"/>
    </row>
    <row r="233" spans="1:15" ht="63.75" x14ac:dyDescent="0.25">
      <c r="A233" s="2" t="s">
        <v>1007</v>
      </c>
      <c r="B233" s="2" t="s">
        <v>16</v>
      </c>
      <c r="C233" s="2" t="s">
        <v>1003</v>
      </c>
      <c r="D233" s="2" t="s">
        <v>1008</v>
      </c>
      <c r="E233" s="2" t="s">
        <v>994</v>
      </c>
      <c r="F233" s="2" t="s">
        <v>1009</v>
      </c>
      <c r="G233" s="3" t="s">
        <v>70</v>
      </c>
      <c r="H233" s="2" t="s">
        <v>1010</v>
      </c>
      <c r="I233" s="2" t="s">
        <v>109</v>
      </c>
      <c r="J233" s="2" t="s">
        <v>110</v>
      </c>
      <c r="K233" s="2" t="s">
        <v>111</v>
      </c>
      <c r="L233" s="2" t="s">
        <v>112</v>
      </c>
      <c r="M233" s="2" t="s">
        <v>113</v>
      </c>
      <c r="N233" s="2" t="s">
        <v>77</v>
      </c>
      <c r="O233" s="2" t="s">
        <v>1011</v>
      </c>
    </row>
    <row r="234" spans="1:15" ht="38.25" x14ac:dyDescent="0.25">
      <c r="A234" s="2" t="s">
        <v>1012</v>
      </c>
      <c r="B234" s="2" t="s">
        <v>16</v>
      </c>
      <c r="C234" s="2" t="s">
        <v>1013</v>
      </c>
      <c r="D234" s="2" t="s">
        <v>1014</v>
      </c>
      <c r="E234" s="2" t="s">
        <v>994</v>
      </c>
      <c r="F234" s="2" t="s">
        <v>1015</v>
      </c>
      <c r="G234" s="3" t="s">
        <v>158</v>
      </c>
      <c r="H234" s="2" t="s">
        <v>1016</v>
      </c>
      <c r="I234" s="2" t="s">
        <v>970</v>
      </c>
      <c r="J234" s="2" t="s">
        <v>971</v>
      </c>
      <c r="K234" s="2" t="s">
        <v>972</v>
      </c>
      <c r="L234" s="2" t="s">
        <v>26</v>
      </c>
      <c r="M234" s="2" t="s">
        <v>973</v>
      </c>
      <c r="N234" s="2" t="s">
        <v>165</v>
      </c>
      <c r="O234" s="2"/>
    </row>
    <row r="235" spans="1:15" ht="63.75" x14ac:dyDescent="0.25">
      <c r="A235" s="2" t="s">
        <v>1017</v>
      </c>
      <c r="B235" s="2" t="s">
        <v>16</v>
      </c>
      <c r="C235" s="2" t="s">
        <v>1013</v>
      </c>
      <c r="D235" s="2" t="s">
        <v>1018</v>
      </c>
      <c r="E235" s="2" t="s">
        <v>994</v>
      </c>
      <c r="F235" s="2" t="s">
        <v>1015</v>
      </c>
      <c r="G235" s="3" t="s">
        <v>70</v>
      </c>
      <c r="H235" s="2" t="s">
        <v>1019</v>
      </c>
      <c r="I235" s="2" t="s">
        <v>970</v>
      </c>
      <c r="J235" s="2" t="s">
        <v>971</v>
      </c>
      <c r="K235" s="2" t="s">
        <v>972</v>
      </c>
      <c r="L235" s="2" t="s">
        <v>26</v>
      </c>
      <c r="M235" s="2" t="s">
        <v>973</v>
      </c>
      <c r="N235" s="2" t="s">
        <v>77</v>
      </c>
      <c r="O235" s="2" t="s">
        <v>1020</v>
      </c>
    </row>
    <row r="236" spans="1:15" ht="51" x14ac:dyDescent="0.25">
      <c r="A236" s="2" t="s">
        <v>1021</v>
      </c>
      <c r="B236" s="2" t="s">
        <v>16</v>
      </c>
      <c r="C236" s="2" t="s">
        <v>1013</v>
      </c>
      <c r="D236" s="2" t="s">
        <v>1022</v>
      </c>
      <c r="E236" s="2" t="s">
        <v>994</v>
      </c>
      <c r="F236" s="2" t="s">
        <v>1015</v>
      </c>
      <c r="G236" s="3" t="s">
        <v>85</v>
      </c>
      <c r="H236" s="2" t="s">
        <v>1023</v>
      </c>
      <c r="I236" s="2" t="s">
        <v>970</v>
      </c>
      <c r="J236" s="2" t="s">
        <v>971</v>
      </c>
      <c r="K236" s="2" t="s">
        <v>972</v>
      </c>
      <c r="L236" s="2" t="s">
        <v>26</v>
      </c>
      <c r="M236" s="2" t="s">
        <v>973</v>
      </c>
      <c r="N236" s="2" t="s">
        <v>77</v>
      </c>
      <c r="O236" s="2"/>
    </row>
    <row r="237" spans="1:15" ht="51" x14ac:dyDescent="0.25">
      <c r="A237" s="2" t="s">
        <v>1024</v>
      </c>
      <c r="B237" s="2" t="s">
        <v>16</v>
      </c>
      <c r="C237" s="2" t="s">
        <v>1013</v>
      </c>
      <c r="D237" s="2" t="s">
        <v>1025</v>
      </c>
      <c r="E237" s="2" t="s">
        <v>994</v>
      </c>
      <c r="F237" s="2" t="s">
        <v>1015</v>
      </c>
      <c r="G237" s="3" t="s">
        <v>85</v>
      </c>
      <c r="H237" s="2" t="s">
        <v>1026</v>
      </c>
      <c r="I237" s="2" t="s">
        <v>970</v>
      </c>
      <c r="J237" s="2" t="s">
        <v>971</v>
      </c>
      <c r="K237" s="2" t="s">
        <v>972</v>
      </c>
      <c r="L237" s="2" t="s">
        <v>26</v>
      </c>
      <c r="M237" s="2" t="s">
        <v>973</v>
      </c>
      <c r="N237" s="2" t="s">
        <v>77</v>
      </c>
      <c r="O237" s="2"/>
    </row>
    <row r="238" spans="1:15" ht="51" x14ac:dyDescent="0.25">
      <c r="A238" s="2" t="s">
        <v>1027</v>
      </c>
      <c r="B238" s="2" t="s">
        <v>16</v>
      </c>
      <c r="C238" s="2" t="s">
        <v>1013</v>
      </c>
      <c r="D238" s="2" t="s">
        <v>1028</v>
      </c>
      <c r="E238" s="2" t="s">
        <v>994</v>
      </c>
      <c r="F238" s="2" t="s">
        <v>1015</v>
      </c>
      <c r="G238" s="3" t="s">
        <v>85</v>
      </c>
      <c r="H238" s="2" t="s">
        <v>1029</v>
      </c>
      <c r="I238" s="2" t="s">
        <v>970</v>
      </c>
      <c r="J238" s="2" t="s">
        <v>971</v>
      </c>
      <c r="K238" s="2" t="s">
        <v>972</v>
      </c>
      <c r="L238" s="2" t="s">
        <v>26</v>
      </c>
      <c r="M238" s="2" t="s">
        <v>973</v>
      </c>
      <c r="N238" s="2" t="s">
        <v>77</v>
      </c>
      <c r="O238" s="2"/>
    </row>
    <row r="239" spans="1:15" ht="38.25" x14ac:dyDescent="0.25">
      <c r="A239" s="2" t="s">
        <v>1030</v>
      </c>
      <c r="B239" s="2" t="s">
        <v>16</v>
      </c>
      <c r="C239" s="2" t="s">
        <v>1031</v>
      </c>
      <c r="D239" s="2" t="s">
        <v>1032</v>
      </c>
      <c r="E239" s="2" t="s">
        <v>994</v>
      </c>
      <c r="F239" s="2" t="s">
        <v>1033</v>
      </c>
      <c r="G239" s="3" t="s">
        <v>70</v>
      </c>
      <c r="H239" s="2" t="s">
        <v>1034</v>
      </c>
      <c r="I239" s="2" t="s">
        <v>109</v>
      </c>
      <c r="J239" s="2" t="s">
        <v>110</v>
      </c>
      <c r="K239" s="2" t="s">
        <v>111</v>
      </c>
      <c r="L239" s="2" t="s">
        <v>112</v>
      </c>
      <c r="M239" s="2" t="s">
        <v>113</v>
      </c>
      <c r="N239" s="2" t="s">
        <v>77</v>
      </c>
      <c r="O239" s="2"/>
    </row>
    <row r="240" spans="1:15" ht="51" x14ac:dyDescent="0.25">
      <c r="A240" s="2" t="s">
        <v>1035</v>
      </c>
      <c r="B240" s="2" t="s">
        <v>16</v>
      </c>
      <c r="C240" s="2" t="s">
        <v>1031</v>
      </c>
      <c r="D240" s="2" t="s">
        <v>1036</v>
      </c>
      <c r="E240" s="2" t="s">
        <v>994</v>
      </c>
      <c r="F240" s="2" t="s">
        <v>1033</v>
      </c>
      <c r="G240" s="3" t="s">
        <v>70</v>
      </c>
      <c r="H240" s="2" t="s">
        <v>1037</v>
      </c>
      <c r="I240" s="2" t="s">
        <v>109</v>
      </c>
      <c r="J240" s="2" t="s">
        <v>110</v>
      </c>
      <c r="K240" s="2" t="s">
        <v>111</v>
      </c>
      <c r="L240" s="2" t="s">
        <v>112</v>
      </c>
      <c r="M240" s="2" t="s">
        <v>113</v>
      </c>
      <c r="N240" s="2" t="s">
        <v>77</v>
      </c>
      <c r="O240" s="2"/>
    </row>
    <row r="241" spans="1:15" ht="51" x14ac:dyDescent="0.25">
      <c r="A241" s="2" t="s">
        <v>1038</v>
      </c>
      <c r="B241" s="2" t="s">
        <v>16</v>
      </c>
      <c r="C241" s="2" t="s">
        <v>1031</v>
      </c>
      <c r="D241" s="2" t="s">
        <v>1039</v>
      </c>
      <c r="E241" s="2" t="s">
        <v>994</v>
      </c>
      <c r="F241" s="2" t="s">
        <v>1033</v>
      </c>
      <c r="G241" s="3" t="s">
        <v>70</v>
      </c>
      <c r="H241" s="2" t="s">
        <v>1040</v>
      </c>
      <c r="I241" s="2" t="s">
        <v>109</v>
      </c>
      <c r="J241" s="2" t="s">
        <v>110</v>
      </c>
      <c r="K241" s="2" t="s">
        <v>111</v>
      </c>
      <c r="L241" s="2" t="s">
        <v>112</v>
      </c>
      <c r="M241" s="2" t="s">
        <v>113</v>
      </c>
      <c r="N241" s="2" t="s">
        <v>77</v>
      </c>
      <c r="O241" s="2"/>
    </row>
    <row r="242" spans="1:15" ht="63.75" x14ac:dyDescent="0.25">
      <c r="A242" s="2" t="s">
        <v>1041</v>
      </c>
      <c r="B242" s="2" t="s">
        <v>16</v>
      </c>
      <c r="C242" s="2" t="s">
        <v>1042</v>
      </c>
      <c r="D242" s="2" t="s">
        <v>1043</v>
      </c>
      <c r="E242" s="2" t="s">
        <v>994</v>
      </c>
      <c r="F242" s="2" t="s">
        <v>1044</v>
      </c>
      <c r="G242" s="3" t="s">
        <v>70</v>
      </c>
      <c r="H242" s="2" t="s">
        <v>1045</v>
      </c>
      <c r="I242" s="2" t="s">
        <v>1046</v>
      </c>
      <c r="J242" s="2" t="s">
        <v>1047</v>
      </c>
      <c r="K242" s="2" t="s">
        <v>1048</v>
      </c>
      <c r="L242" s="2" t="s">
        <v>123</v>
      </c>
      <c r="M242" s="2" t="s">
        <v>1049</v>
      </c>
      <c r="N242" s="2" t="s">
        <v>77</v>
      </c>
      <c r="O242" s="2"/>
    </row>
    <row r="243" spans="1:15" ht="63.75" x14ac:dyDescent="0.25">
      <c r="A243" s="2" t="s">
        <v>1050</v>
      </c>
      <c r="B243" s="2" t="s">
        <v>16</v>
      </c>
      <c r="C243" s="2" t="s">
        <v>1051</v>
      </c>
      <c r="D243" s="2" t="s">
        <v>1052</v>
      </c>
      <c r="E243" s="2" t="s">
        <v>994</v>
      </c>
      <c r="F243" s="2" t="s">
        <v>1053</v>
      </c>
      <c r="G243" s="3" t="s">
        <v>70</v>
      </c>
      <c r="H243" s="2" t="s">
        <v>1054</v>
      </c>
      <c r="I243" s="2" t="s">
        <v>1046</v>
      </c>
      <c r="J243" s="2" t="s">
        <v>1047</v>
      </c>
      <c r="K243" s="2" t="s">
        <v>1048</v>
      </c>
      <c r="L243" s="2" t="s">
        <v>123</v>
      </c>
      <c r="M243" s="2" t="s">
        <v>1049</v>
      </c>
      <c r="N243" s="2" t="s">
        <v>77</v>
      </c>
      <c r="O243" s="2"/>
    </row>
    <row r="244" spans="1:15" ht="38.25" x14ac:dyDescent="0.25">
      <c r="A244" s="2" t="s">
        <v>1055</v>
      </c>
      <c r="B244" s="2" t="s">
        <v>16</v>
      </c>
      <c r="C244" s="2" t="s">
        <v>1051</v>
      </c>
      <c r="D244" s="2" t="s">
        <v>1056</v>
      </c>
      <c r="E244" s="2" t="s">
        <v>994</v>
      </c>
      <c r="F244" s="2" t="s">
        <v>1053</v>
      </c>
      <c r="G244" s="3" t="s">
        <v>85</v>
      </c>
      <c r="H244" s="2" t="s">
        <v>1057</v>
      </c>
      <c r="I244" s="2" t="s">
        <v>1046</v>
      </c>
      <c r="J244" s="2" t="s">
        <v>1047</v>
      </c>
      <c r="K244" s="2" t="s">
        <v>1048</v>
      </c>
      <c r="L244" s="2" t="s">
        <v>123</v>
      </c>
      <c r="M244" s="2" t="s">
        <v>1049</v>
      </c>
      <c r="N244" s="2" t="s">
        <v>77</v>
      </c>
      <c r="O244" s="2"/>
    </row>
    <row r="245" spans="1:15" ht="51" x14ac:dyDescent="0.25">
      <c r="A245" s="2" t="s">
        <v>1058</v>
      </c>
      <c r="B245" s="2" t="s">
        <v>16</v>
      </c>
      <c r="C245" s="2" t="s">
        <v>1059</v>
      </c>
      <c r="D245" s="2" t="s">
        <v>1060</v>
      </c>
      <c r="E245" s="2" t="s">
        <v>994</v>
      </c>
      <c r="F245" s="2" t="s">
        <v>1061</v>
      </c>
      <c r="G245" s="3" t="s">
        <v>70</v>
      </c>
      <c r="H245" s="2" t="s">
        <v>1062</v>
      </c>
      <c r="I245" s="2" t="s">
        <v>1046</v>
      </c>
      <c r="J245" s="2" t="s">
        <v>1047</v>
      </c>
      <c r="K245" s="2" t="s">
        <v>1048</v>
      </c>
      <c r="L245" s="2" t="s">
        <v>123</v>
      </c>
      <c r="M245" s="2" t="s">
        <v>1049</v>
      </c>
      <c r="N245" s="2" t="s">
        <v>77</v>
      </c>
      <c r="O245" s="2" t="s">
        <v>1063</v>
      </c>
    </row>
    <row r="246" spans="1:15" ht="38.25" x14ac:dyDescent="0.25">
      <c r="A246" s="2" t="s">
        <v>1064</v>
      </c>
      <c r="B246" s="2" t="s">
        <v>16</v>
      </c>
      <c r="C246" s="2" t="s">
        <v>1065</v>
      </c>
      <c r="D246" s="2" t="s">
        <v>1066</v>
      </c>
      <c r="E246" s="2" t="s">
        <v>994</v>
      </c>
      <c r="F246" s="2" t="s">
        <v>1067</v>
      </c>
      <c r="G246" s="3" t="s">
        <v>70</v>
      </c>
      <c r="H246" s="2" t="s">
        <v>1068</v>
      </c>
      <c r="I246" s="2" t="s">
        <v>109</v>
      </c>
      <c r="J246" s="2" t="s">
        <v>110</v>
      </c>
      <c r="K246" s="2" t="s">
        <v>111</v>
      </c>
      <c r="L246" s="2" t="s">
        <v>112</v>
      </c>
      <c r="M246" s="2" t="s">
        <v>113</v>
      </c>
      <c r="N246" s="2" t="s">
        <v>77</v>
      </c>
      <c r="O246" s="2"/>
    </row>
    <row r="247" spans="1:15" ht="51" x14ac:dyDescent="0.25">
      <c r="A247" s="2" t="s">
        <v>1069</v>
      </c>
      <c r="B247" s="2" t="s">
        <v>16</v>
      </c>
      <c r="C247" s="2" t="s">
        <v>1065</v>
      </c>
      <c r="D247" s="2" t="s">
        <v>1070</v>
      </c>
      <c r="E247" s="2" t="s">
        <v>994</v>
      </c>
      <c r="F247" s="2" t="s">
        <v>1067</v>
      </c>
      <c r="G247" s="3" t="s">
        <v>70</v>
      </c>
      <c r="H247" s="2" t="s">
        <v>1071</v>
      </c>
      <c r="I247" s="2" t="s">
        <v>109</v>
      </c>
      <c r="J247" s="2" t="s">
        <v>110</v>
      </c>
      <c r="K247" s="2" t="s">
        <v>111</v>
      </c>
      <c r="L247" s="2" t="s">
        <v>112</v>
      </c>
      <c r="M247" s="2" t="s">
        <v>113</v>
      </c>
      <c r="N247" s="2" t="s">
        <v>77</v>
      </c>
      <c r="O247" s="2"/>
    </row>
    <row r="248" spans="1:15" ht="51" x14ac:dyDescent="0.25">
      <c r="A248" s="2" t="s">
        <v>1072</v>
      </c>
      <c r="B248" s="2" t="s">
        <v>16</v>
      </c>
      <c r="C248" s="2" t="s">
        <v>1073</v>
      </c>
      <c r="D248" s="2" t="s">
        <v>1074</v>
      </c>
      <c r="E248" s="2" t="s">
        <v>994</v>
      </c>
      <c r="F248" s="2" t="s">
        <v>1075</v>
      </c>
      <c r="G248" s="3" t="s">
        <v>85</v>
      </c>
      <c r="H248" s="2" t="s">
        <v>1076</v>
      </c>
      <c r="I248" s="2" t="s">
        <v>109</v>
      </c>
      <c r="J248" s="2" t="s">
        <v>110</v>
      </c>
      <c r="K248" s="2" t="s">
        <v>111</v>
      </c>
      <c r="L248" s="2" t="s">
        <v>112</v>
      </c>
      <c r="M248" s="2" t="s">
        <v>113</v>
      </c>
      <c r="N248" s="2" t="s">
        <v>77</v>
      </c>
      <c r="O248" s="2"/>
    </row>
    <row r="249" spans="1:15" ht="38.25" x14ac:dyDescent="0.25">
      <c r="A249" s="2" t="s">
        <v>1077</v>
      </c>
      <c r="B249" s="2" t="s">
        <v>16</v>
      </c>
      <c r="C249" s="2" t="s">
        <v>1078</v>
      </c>
      <c r="D249" s="2" t="s">
        <v>1079</v>
      </c>
      <c r="E249" s="2" t="s">
        <v>994</v>
      </c>
      <c r="F249" s="2" t="s">
        <v>1080</v>
      </c>
      <c r="G249" s="3" t="s">
        <v>70</v>
      </c>
      <c r="H249" s="2" t="s">
        <v>1081</v>
      </c>
      <c r="I249" s="2" t="s">
        <v>109</v>
      </c>
      <c r="J249" s="2" t="s">
        <v>110</v>
      </c>
      <c r="K249" s="2" t="s">
        <v>111</v>
      </c>
      <c r="L249" s="2" t="s">
        <v>112</v>
      </c>
      <c r="M249" s="2" t="s">
        <v>113</v>
      </c>
      <c r="N249" s="2" t="s">
        <v>77</v>
      </c>
      <c r="O249" s="2"/>
    </row>
    <row r="250" spans="1:15" ht="38.25" x14ac:dyDescent="0.25">
      <c r="A250" s="2" t="s">
        <v>1082</v>
      </c>
      <c r="B250" s="2" t="s">
        <v>16</v>
      </c>
      <c r="C250" s="2" t="s">
        <v>1078</v>
      </c>
      <c r="D250" s="2" t="s">
        <v>1083</v>
      </c>
      <c r="E250" s="2" t="s">
        <v>994</v>
      </c>
      <c r="F250" s="2" t="s">
        <v>1080</v>
      </c>
      <c r="G250" s="3" t="s">
        <v>70</v>
      </c>
      <c r="H250" s="2" t="s">
        <v>1084</v>
      </c>
      <c r="I250" s="2" t="s">
        <v>109</v>
      </c>
      <c r="J250" s="2" t="s">
        <v>110</v>
      </c>
      <c r="K250" s="2" t="s">
        <v>111</v>
      </c>
      <c r="L250" s="2" t="s">
        <v>112</v>
      </c>
      <c r="M250" s="2" t="s">
        <v>113</v>
      </c>
      <c r="N250" s="2" t="s">
        <v>77</v>
      </c>
      <c r="O250" s="2"/>
    </row>
    <row r="251" spans="1:15" ht="51" x14ac:dyDescent="0.25">
      <c r="A251" s="2" t="s">
        <v>1085</v>
      </c>
      <c r="B251" s="2" t="s">
        <v>16</v>
      </c>
      <c r="C251" s="2" t="s">
        <v>1086</v>
      </c>
      <c r="D251" s="2" t="s">
        <v>1087</v>
      </c>
      <c r="E251" s="2" t="s">
        <v>994</v>
      </c>
      <c r="F251" s="2" t="s">
        <v>1088</v>
      </c>
      <c r="G251" s="3" t="s">
        <v>70</v>
      </c>
      <c r="H251" s="2" t="s">
        <v>1089</v>
      </c>
      <c r="I251" s="2" t="s">
        <v>109</v>
      </c>
      <c r="J251" s="2" t="s">
        <v>110</v>
      </c>
      <c r="K251" s="2" t="s">
        <v>111</v>
      </c>
      <c r="L251" s="2" t="s">
        <v>112</v>
      </c>
      <c r="M251" s="2" t="s">
        <v>113</v>
      </c>
      <c r="N251" s="2" t="s">
        <v>77</v>
      </c>
      <c r="O251" s="2"/>
    </row>
    <row r="252" spans="1:15" ht="38.25" x14ac:dyDescent="0.25">
      <c r="A252" s="2" t="s">
        <v>1090</v>
      </c>
      <c r="B252" s="2" t="s">
        <v>16</v>
      </c>
      <c r="C252" s="2" t="s">
        <v>1091</v>
      </c>
      <c r="D252" s="2" t="s">
        <v>1092</v>
      </c>
      <c r="E252" s="2" t="s">
        <v>994</v>
      </c>
      <c r="F252" s="2" t="s">
        <v>1093</v>
      </c>
      <c r="G252" s="3" t="s">
        <v>70</v>
      </c>
      <c r="H252" s="2" t="s">
        <v>1094</v>
      </c>
      <c r="I252" s="2" t="s">
        <v>109</v>
      </c>
      <c r="J252" s="2" t="s">
        <v>110</v>
      </c>
      <c r="K252" s="2" t="s">
        <v>111</v>
      </c>
      <c r="L252" s="2" t="s">
        <v>112</v>
      </c>
      <c r="M252" s="2" t="s">
        <v>113</v>
      </c>
      <c r="N252" s="2" t="s">
        <v>77</v>
      </c>
      <c r="O252" s="2"/>
    </row>
    <row r="253" spans="1:15" ht="51" x14ac:dyDescent="0.25">
      <c r="A253" s="2" t="s">
        <v>1095</v>
      </c>
      <c r="B253" s="2" t="s">
        <v>16</v>
      </c>
      <c r="C253" s="2" t="s">
        <v>1091</v>
      </c>
      <c r="D253" s="2" t="s">
        <v>1096</v>
      </c>
      <c r="E253" s="2" t="s">
        <v>994</v>
      </c>
      <c r="F253" s="2" t="s">
        <v>1093</v>
      </c>
      <c r="G253" s="3" t="s">
        <v>70</v>
      </c>
      <c r="H253" s="2" t="s">
        <v>1097</v>
      </c>
      <c r="I253" s="2" t="s">
        <v>109</v>
      </c>
      <c r="J253" s="2" t="s">
        <v>110</v>
      </c>
      <c r="K253" s="2" t="s">
        <v>111</v>
      </c>
      <c r="L253" s="2" t="s">
        <v>112</v>
      </c>
      <c r="M253" s="2" t="s">
        <v>113</v>
      </c>
      <c r="N253" s="2" t="s">
        <v>77</v>
      </c>
      <c r="O253" s="2"/>
    </row>
    <row r="254" spans="1:15" ht="51" x14ac:dyDescent="0.25">
      <c r="A254" s="2" t="s">
        <v>1098</v>
      </c>
      <c r="B254" s="2" t="s">
        <v>16</v>
      </c>
      <c r="C254" s="2" t="s">
        <v>1091</v>
      </c>
      <c r="D254" s="2" t="s">
        <v>1099</v>
      </c>
      <c r="E254" s="2" t="s">
        <v>994</v>
      </c>
      <c r="F254" s="2" t="s">
        <v>1093</v>
      </c>
      <c r="G254" s="3" t="s">
        <v>85</v>
      </c>
      <c r="H254" s="2" t="s">
        <v>1100</v>
      </c>
      <c r="I254" s="2" t="s">
        <v>109</v>
      </c>
      <c r="J254" s="2" t="s">
        <v>110</v>
      </c>
      <c r="K254" s="2" t="s">
        <v>111</v>
      </c>
      <c r="L254" s="2" t="s">
        <v>112</v>
      </c>
      <c r="M254" s="2" t="s">
        <v>113</v>
      </c>
      <c r="N254" s="2" t="s">
        <v>77</v>
      </c>
      <c r="O254" s="2"/>
    </row>
    <row r="255" spans="1:15" ht="51" x14ac:dyDescent="0.25">
      <c r="A255" s="2" t="s">
        <v>1101</v>
      </c>
      <c r="B255" s="2" t="s">
        <v>16</v>
      </c>
      <c r="C255" s="2" t="s">
        <v>1102</v>
      </c>
      <c r="D255" s="2" t="s">
        <v>1103</v>
      </c>
      <c r="E255" s="2" t="s">
        <v>994</v>
      </c>
      <c r="F255" s="2" t="s">
        <v>1104</v>
      </c>
      <c r="G255" s="3" t="s">
        <v>70</v>
      </c>
      <c r="H255" s="2" t="s">
        <v>1105</v>
      </c>
      <c r="I255" s="2" t="s">
        <v>1046</v>
      </c>
      <c r="J255" s="2" t="s">
        <v>1047</v>
      </c>
      <c r="K255" s="2" t="s">
        <v>1048</v>
      </c>
      <c r="L255" s="2" t="s">
        <v>123</v>
      </c>
      <c r="M255" s="2" t="s">
        <v>1049</v>
      </c>
      <c r="N255" s="2" t="s">
        <v>77</v>
      </c>
      <c r="O255" s="2"/>
    </row>
    <row r="256" spans="1:15" ht="51" x14ac:dyDescent="0.25">
      <c r="A256" s="2" t="s">
        <v>1106</v>
      </c>
      <c r="B256" s="2" t="s">
        <v>16</v>
      </c>
      <c r="C256" s="2" t="s">
        <v>1107</v>
      </c>
      <c r="D256" s="2" t="s">
        <v>1108</v>
      </c>
      <c r="E256" s="2" t="s">
        <v>994</v>
      </c>
      <c r="F256" s="2" t="s">
        <v>1109</v>
      </c>
      <c r="G256" s="3" t="s">
        <v>85</v>
      </c>
      <c r="H256" s="2" t="s">
        <v>1110</v>
      </c>
      <c r="I256" s="2" t="s">
        <v>1046</v>
      </c>
      <c r="J256" s="2" t="s">
        <v>1047</v>
      </c>
      <c r="K256" s="2" t="s">
        <v>1048</v>
      </c>
      <c r="L256" s="2" t="s">
        <v>123</v>
      </c>
      <c r="M256" s="2" t="s">
        <v>1049</v>
      </c>
      <c r="N256" s="2" t="s">
        <v>77</v>
      </c>
      <c r="O256" s="2" t="s">
        <v>1111</v>
      </c>
    </row>
    <row r="257" spans="1:15" ht="25.5" x14ac:dyDescent="0.25">
      <c r="A257" s="2" t="s">
        <v>1112</v>
      </c>
      <c r="B257" s="2" t="s">
        <v>16</v>
      </c>
      <c r="C257" s="2" t="s">
        <v>1113</v>
      </c>
      <c r="D257" s="2" t="s">
        <v>1114</v>
      </c>
      <c r="E257" s="2" t="s">
        <v>994</v>
      </c>
      <c r="F257" s="2" t="s">
        <v>1115</v>
      </c>
      <c r="G257" s="3" t="s">
        <v>70</v>
      </c>
      <c r="H257" s="2" t="s">
        <v>1116</v>
      </c>
      <c r="I257" s="2" t="s">
        <v>392</v>
      </c>
      <c r="J257" s="2" t="s">
        <v>393</v>
      </c>
      <c r="K257" s="2" t="s">
        <v>394</v>
      </c>
      <c r="L257" s="2" t="s">
        <v>147</v>
      </c>
      <c r="M257" s="2" t="s">
        <v>256</v>
      </c>
      <c r="N257" s="2" t="s">
        <v>77</v>
      </c>
      <c r="O257" s="2"/>
    </row>
    <row r="258" spans="1:15" ht="63.75" x14ac:dyDescent="0.25">
      <c r="A258" s="2" t="s">
        <v>1117</v>
      </c>
      <c r="B258" s="2" t="s">
        <v>16</v>
      </c>
      <c r="C258" s="2" t="s">
        <v>1113</v>
      </c>
      <c r="D258" s="2" t="s">
        <v>1118</v>
      </c>
      <c r="E258" s="2" t="s">
        <v>994</v>
      </c>
      <c r="F258" s="2" t="s">
        <v>1119</v>
      </c>
      <c r="G258" s="3" t="s">
        <v>70</v>
      </c>
      <c r="H258" s="2" t="s">
        <v>1120</v>
      </c>
      <c r="I258" s="2" t="s">
        <v>392</v>
      </c>
      <c r="J258" s="2" t="s">
        <v>393</v>
      </c>
      <c r="K258" s="2" t="s">
        <v>394</v>
      </c>
      <c r="L258" s="2" t="s">
        <v>147</v>
      </c>
      <c r="M258" s="2" t="s">
        <v>256</v>
      </c>
      <c r="N258" s="2" t="s">
        <v>77</v>
      </c>
      <c r="O258" s="2"/>
    </row>
    <row r="259" spans="1:15" ht="38.25" x14ac:dyDescent="0.25">
      <c r="A259" s="2" t="s">
        <v>1121</v>
      </c>
      <c r="B259" s="2" t="s">
        <v>16</v>
      </c>
      <c r="C259" s="2" t="s">
        <v>1122</v>
      </c>
      <c r="D259" s="2" t="s">
        <v>1123</v>
      </c>
      <c r="E259" s="2" t="s">
        <v>994</v>
      </c>
      <c r="F259" s="2" t="s">
        <v>1124</v>
      </c>
      <c r="G259" s="3" t="s">
        <v>70</v>
      </c>
      <c r="H259" s="2" t="s">
        <v>1125</v>
      </c>
      <c r="I259" s="2" t="s">
        <v>392</v>
      </c>
      <c r="J259" s="2" t="s">
        <v>393</v>
      </c>
      <c r="K259" s="2" t="s">
        <v>394</v>
      </c>
      <c r="L259" s="2" t="s">
        <v>147</v>
      </c>
      <c r="M259" s="2" t="s">
        <v>256</v>
      </c>
      <c r="N259" s="2" t="s">
        <v>77</v>
      </c>
      <c r="O259" s="2" t="s">
        <v>1126</v>
      </c>
    </row>
    <row r="260" spans="1:15" ht="38.25" x14ac:dyDescent="0.25">
      <c r="A260" s="2" t="s">
        <v>1127</v>
      </c>
      <c r="B260" s="2" t="s">
        <v>16</v>
      </c>
      <c r="C260" s="2" t="s">
        <v>1122</v>
      </c>
      <c r="D260" s="2" t="s">
        <v>1128</v>
      </c>
      <c r="E260" s="2" t="s">
        <v>994</v>
      </c>
      <c r="F260" s="2" t="s">
        <v>1129</v>
      </c>
      <c r="G260" s="3" t="s">
        <v>85</v>
      </c>
      <c r="H260" s="2" t="s">
        <v>1130</v>
      </c>
      <c r="I260" s="2" t="s">
        <v>392</v>
      </c>
      <c r="J260" s="2" t="s">
        <v>393</v>
      </c>
      <c r="K260" s="2" t="s">
        <v>394</v>
      </c>
      <c r="L260" s="2" t="s">
        <v>147</v>
      </c>
      <c r="M260" s="2" t="s">
        <v>256</v>
      </c>
      <c r="N260" s="2" t="s">
        <v>77</v>
      </c>
      <c r="O260" s="2"/>
    </row>
    <row r="261" spans="1:15" ht="38.25" x14ac:dyDescent="0.25">
      <c r="A261" s="2" t="s">
        <v>1131</v>
      </c>
      <c r="B261" s="2" t="s">
        <v>16</v>
      </c>
      <c r="C261" s="2" t="s">
        <v>1132</v>
      </c>
      <c r="D261" s="2" t="s">
        <v>1133</v>
      </c>
      <c r="E261" s="2" t="s">
        <v>994</v>
      </c>
      <c r="F261" s="2" t="s">
        <v>492</v>
      </c>
      <c r="G261" s="3" t="s">
        <v>158</v>
      </c>
      <c r="H261" s="2" t="s">
        <v>1134</v>
      </c>
      <c r="I261" s="2" t="s">
        <v>392</v>
      </c>
      <c r="J261" s="2" t="s">
        <v>393</v>
      </c>
      <c r="K261" s="2" t="s">
        <v>394</v>
      </c>
      <c r="L261" s="2" t="s">
        <v>147</v>
      </c>
      <c r="M261" s="2" t="s">
        <v>256</v>
      </c>
      <c r="N261" s="2" t="s">
        <v>165</v>
      </c>
      <c r="O261" s="2"/>
    </row>
    <row r="262" spans="1:15" ht="76.5" x14ac:dyDescent="0.25">
      <c r="A262" s="2" t="s">
        <v>1135</v>
      </c>
      <c r="B262" s="2" t="s">
        <v>16</v>
      </c>
      <c r="C262" s="2" t="s">
        <v>1136</v>
      </c>
      <c r="D262" s="2" t="s">
        <v>1137</v>
      </c>
      <c r="E262" s="2" t="s">
        <v>994</v>
      </c>
      <c r="F262" s="2" t="s">
        <v>1138</v>
      </c>
      <c r="G262" s="3" t="s">
        <v>21</v>
      </c>
      <c r="H262" s="2" t="s">
        <v>1139</v>
      </c>
      <c r="I262" s="2" t="s">
        <v>392</v>
      </c>
      <c r="J262" s="2" t="s">
        <v>393</v>
      </c>
      <c r="K262" s="2" t="s">
        <v>394</v>
      </c>
      <c r="L262" s="2" t="s">
        <v>147</v>
      </c>
      <c r="M262" s="2" t="s">
        <v>256</v>
      </c>
      <c r="N262" s="2" t="s">
        <v>28</v>
      </c>
      <c r="O262" s="2"/>
    </row>
    <row r="263" spans="1:15" ht="63.75" x14ac:dyDescent="0.25">
      <c r="A263" s="2" t="s">
        <v>1140</v>
      </c>
      <c r="B263" s="2" t="s">
        <v>16</v>
      </c>
      <c r="C263" s="2" t="s">
        <v>1136</v>
      </c>
      <c r="D263" s="2" t="s">
        <v>1141</v>
      </c>
      <c r="E263" s="2" t="s">
        <v>1142</v>
      </c>
      <c r="F263" s="2" t="s">
        <v>1138</v>
      </c>
      <c r="G263" s="3" t="s">
        <v>49</v>
      </c>
      <c r="H263" s="2" t="s">
        <v>1143</v>
      </c>
      <c r="I263" s="2" t="s">
        <v>51</v>
      </c>
      <c r="J263" s="2" t="s">
        <v>52</v>
      </c>
      <c r="K263" s="2" t="s">
        <v>53</v>
      </c>
      <c r="L263" s="2" t="s">
        <v>53</v>
      </c>
      <c r="M263" s="2" t="s">
        <v>61</v>
      </c>
      <c r="N263" s="2" t="s">
        <v>53</v>
      </c>
      <c r="O263" s="2"/>
    </row>
    <row r="264" spans="1:15" ht="38.25" x14ac:dyDescent="0.25">
      <c r="A264" s="2" t="s">
        <v>1144</v>
      </c>
      <c r="B264" s="2" t="s">
        <v>16</v>
      </c>
      <c r="C264" s="2" t="s">
        <v>1145</v>
      </c>
      <c r="D264" s="2" t="s">
        <v>1146</v>
      </c>
      <c r="E264" s="2" t="s">
        <v>994</v>
      </c>
      <c r="F264" s="2" t="s">
        <v>1147</v>
      </c>
      <c r="G264" s="3" t="s">
        <v>21</v>
      </c>
      <c r="H264" s="2" t="s">
        <v>1148</v>
      </c>
      <c r="I264" s="2" t="s">
        <v>392</v>
      </c>
      <c r="J264" s="2" t="s">
        <v>393</v>
      </c>
      <c r="K264" s="2" t="s">
        <v>394</v>
      </c>
      <c r="L264" s="2" t="s">
        <v>147</v>
      </c>
      <c r="M264" s="2" t="s">
        <v>256</v>
      </c>
      <c r="N264" s="2" t="s">
        <v>28</v>
      </c>
      <c r="O264" s="2"/>
    </row>
    <row r="265" spans="1:15" ht="38.25" x14ac:dyDescent="0.25">
      <c r="A265" s="2" t="s">
        <v>1149</v>
      </c>
      <c r="B265" s="2" t="s">
        <v>16</v>
      </c>
      <c r="C265" s="2" t="s">
        <v>1150</v>
      </c>
      <c r="D265" s="2" t="s">
        <v>1151</v>
      </c>
      <c r="E265" s="2" t="s">
        <v>994</v>
      </c>
      <c r="F265" s="2" t="s">
        <v>1152</v>
      </c>
      <c r="G265" s="3" t="s">
        <v>21</v>
      </c>
      <c r="H265" s="2" t="s">
        <v>1153</v>
      </c>
      <c r="I265" s="2" t="s">
        <v>392</v>
      </c>
      <c r="J265" s="2" t="s">
        <v>393</v>
      </c>
      <c r="K265" s="2" t="s">
        <v>394</v>
      </c>
      <c r="L265" s="2" t="s">
        <v>147</v>
      </c>
      <c r="M265" s="2" t="s">
        <v>256</v>
      </c>
      <c r="N265" s="2" t="s">
        <v>28</v>
      </c>
      <c r="O265" s="2"/>
    </row>
    <row r="266" spans="1:15" ht="63.75" x14ac:dyDescent="0.25">
      <c r="A266" s="2" t="s">
        <v>1154</v>
      </c>
      <c r="B266" s="2" t="s">
        <v>16</v>
      </c>
      <c r="C266" s="2" t="s">
        <v>1150</v>
      </c>
      <c r="D266" s="2" t="s">
        <v>1155</v>
      </c>
      <c r="E266" s="2" t="s">
        <v>994</v>
      </c>
      <c r="F266" s="2" t="s">
        <v>1156</v>
      </c>
      <c r="G266" s="3" t="s">
        <v>49</v>
      </c>
      <c r="H266" s="2" t="s">
        <v>1143</v>
      </c>
      <c r="I266" s="2" t="s">
        <v>51</v>
      </c>
      <c r="J266" s="2" t="s">
        <v>52</v>
      </c>
      <c r="K266" s="2" t="s">
        <v>53</v>
      </c>
      <c r="L266" s="2" t="s">
        <v>53</v>
      </c>
      <c r="M266" s="2" t="s">
        <v>61</v>
      </c>
      <c r="N266" s="2" t="s">
        <v>53</v>
      </c>
      <c r="O266" s="2" t="s">
        <v>1157</v>
      </c>
    </row>
    <row r="267" spans="1:15" ht="38.25" x14ac:dyDescent="0.25">
      <c r="A267" s="2" t="s">
        <v>1158</v>
      </c>
      <c r="B267" s="2" t="s">
        <v>16</v>
      </c>
      <c r="C267" s="2" t="s">
        <v>1159</v>
      </c>
      <c r="D267" s="2" t="s">
        <v>1160</v>
      </c>
      <c r="E267" s="2" t="s">
        <v>994</v>
      </c>
      <c r="F267" s="2" t="s">
        <v>1161</v>
      </c>
      <c r="G267" s="3" t="s">
        <v>70</v>
      </c>
      <c r="H267" s="2" t="s">
        <v>1162</v>
      </c>
      <c r="I267" s="2" t="s">
        <v>970</v>
      </c>
      <c r="J267" s="2" t="s">
        <v>971</v>
      </c>
      <c r="K267" s="2" t="s">
        <v>972</v>
      </c>
      <c r="L267" s="2" t="s">
        <v>26</v>
      </c>
      <c r="M267" s="2" t="s">
        <v>973</v>
      </c>
      <c r="N267" s="2" t="s">
        <v>77</v>
      </c>
      <c r="O267" s="2"/>
    </row>
    <row r="268" spans="1:15" ht="51" x14ac:dyDescent="0.25">
      <c r="A268" s="2" t="s">
        <v>1163</v>
      </c>
      <c r="B268" s="2" t="s">
        <v>16</v>
      </c>
      <c r="C268" s="2" t="s">
        <v>1159</v>
      </c>
      <c r="D268" s="2" t="s">
        <v>1164</v>
      </c>
      <c r="E268" s="2" t="s">
        <v>994</v>
      </c>
      <c r="F268" s="2" t="s">
        <v>1161</v>
      </c>
      <c r="G268" s="3" t="s">
        <v>85</v>
      </c>
      <c r="H268" s="2" t="s">
        <v>1165</v>
      </c>
      <c r="I268" s="2" t="s">
        <v>970</v>
      </c>
      <c r="J268" s="2" t="s">
        <v>971</v>
      </c>
      <c r="K268" s="2" t="s">
        <v>972</v>
      </c>
      <c r="L268" s="2" t="s">
        <v>26</v>
      </c>
      <c r="M268" s="2" t="s">
        <v>973</v>
      </c>
      <c r="N268" s="2" t="s">
        <v>77</v>
      </c>
      <c r="O268" s="2"/>
    </row>
    <row r="269" spans="1:15" ht="38.25" x14ac:dyDescent="0.25">
      <c r="A269" s="2" t="s">
        <v>1166</v>
      </c>
      <c r="B269" s="2" t="s">
        <v>16</v>
      </c>
      <c r="C269" s="2" t="s">
        <v>1167</v>
      </c>
      <c r="D269" s="2" t="s">
        <v>1168</v>
      </c>
      <c r="E269" s="2" t="s">
        <v>994</v>
      </c>
      <c r="F269" s="2" t="s">
        <v>1169</v>
      </c>
      <c r="G269" s="3" t="s">
        <v>21</v>
      </c>
      <c r="H269" s="2" t="s">
        <v>1170</v>
      </c>
      <c r="I269" s="2" t="s">
        <v>392</v>
      </c>
      <c r="J269" s="2" t="s">
        <v>393</v>
      </c>
      <c r="K269" s="2" t="s">
        <v>394</v>
      </c>
      <c r="L269" s="2" t="s">
        <v>147</v>
      </c>
      <c r="M269" s="2" t="s">
        <v>256</v>
      </c>
      <c r="N269" s="2" t="s">
        <v>28</v>
      </c>
      <c r="O269" s="2"/>
    </row>
    <row r="270" spans="1:15" ht="63.75" x14ac:dyDescent="0.25">
      <c r="A270" s="2" t="s">
        <v>1171</v>
      </c>
      <c r="B270" s="2" t="s">
        <v>16</v>
      </c>
      <c r="C270" s="2" t="s">
        <v>1167</v>
      </c>
      <c r="D270" s="2" t="s">
        <v>1172</v>
      </c>
      <c r="E270" s="2" t="s">
        <v>994</v>
      </c>
      <c r="F270" s="2" t="s">
        <v>228</v>
      </c>
      <c r="G270" s="3" t="s">
        <v>49</v>
      </c>
      <c r="H270" s="2" t="s">
        <v>1173</v>
      </c>
      <c r="I270" s="2" t="s">
        <v>51</v>
      </c>
      <c r="J270" s="2" t="s">
        <v>52</v>
      </c>
      <c r="K270" s="2" t="s">
        <v>53</v>
      </c>
      <c r="L270" s="2" t="s">
        <v>53</v>
      </c>
      <c r="M270" s="2" t="s">
        <v>230</v>
      </c>
      <c r="N270" s="2" t="s">
        <v>53</v>
      </c>
      <c r="O270" s="2"/>
    </row>
    <row r="271" spans="1:15" ht="51" x14ac:dyDescent="0.25">
      <c r="A271" s="2" t="s">
        <v>1174</v>
      </c>
      <c r="B271" s="2" t="s">
        <v>16</v>
      </c>
      <c r="C271" s="2" t="s">
        <v>1167</v>
      </c>
      <c r="D271" s="2" t="s">
        <v>1175</v>
      </c>
      <c r="E271" s="2" t="s">
        <v>994</v>
      </c>
      <c r="F271" s="2" t="s">
        <v>1176</v>
      </c>
      <c r="G271" s="3" t="s">
        <v>21</v>
      </c>
      <c r="H271" s="2" t="s">
        <v>1177</v>
      </c>
      <c r="I271" s="2" t="s">
        <v>392</v>
      </c>
      <c r="J271" s="2" t="s">
        <v>393</v>
      </c>
      <c r="K271" s="2" t="s">
        <v>394</v>
      </c>
      <c r="L271" s="2" t="s">
        <v>147</v>
      </c>
      <c r="M271" s="2" t="s">
        <v>256</v>
      </c>
      <c r="N271" s="2" t="s">
        <v>28</v>
      </c>
      <c r="O271" s="2"/>
    </row>
    <row r="272" spans="1:15" ht="38.25" x14ac:dyDescent="0.25">
      <c r="A272" s="2" t="s">
        <v>1178</v>
      </c>
      <c r="B272" s="2" t="s">
        <v>16</v>
      </c>
      <c r="C272" s="2" t="s">
        <v>1179</v>
      </c>
      <c r="D272" s="2" t="s">
        <v>1180</v>
      </c>
      <c r="E272" s="2" t="s">
        <v>1181</v>
      </c>
      <c r="F272" s="2" t="s">
        <v>711</v>
      </c>
      <c r="G272" s="3" t="s">
        <v>21</v>
      </c>
      <c r="H272" s="2" t="s">
        <v>1182</v>
      </c>
      <c r="I272" s="2" t="s">
        <v>713</v>
      </c>
      <c r="J272" s="2" t="s">
        <v>714</v>
      </c>
      <c r="K272" s="2" t="s">
        <v>715</v>
      </c>
      <c r="L272" s="2" t="s">
        <v>123</v>
      </c>
      <c r="M272" s="2" t="s">
        <v>716</v>
      </c>
      <c r="N272" s="2" t="s">
        <v>28</v>
      </c>
      <c r="O272" s="2" t="s">
        <v>1183</v>
      </c>
    </row>
    <row r="273" spans="1:15" ht="38.25" x14ac:dyDescent="0.25">
      <c r="A273" s="2" t="s">
        <v>1184</v>
      </c>
      <c r="B273" s="2" t="s">
        <v>16</v>
      </c>
      <c r="C273" s="2" t="s">
        <v>1179</v>
      </c>
      <c r="D273" s="2" t="s">
        <v>1185</v>
      </c>
      <c r="E273" s="2" t="s">
        <v>1181</v>
      </c>
      <c r="F273" s="2" t="s">
        <v>827</v>
      </c>
      <c r="G273" s="3" t="s">
        <v>21</v>
      </c>
      <c r="H273" s="2" t="s">
        <v>1186</v>
      </c>
      <c r="I273" s="2" t="s">
        <v>120</v>
      </c>
      <c r="J273" s="2" t="s">
        <v>121</v>
      </c>
      <c r="K273" s="2" t="s">
        <v>122</v>
      </c>
      <c r="L273" s="2" t="s">
        <v>123</v>
      </c>
      <c r="M273" s="2" t="s">
        <v>124</v>
      </c>
      <c r="N273" s="2" t="s">
        <v>28</v>
      </c>
      <c r="O273" s="2" t="s">
        <v>1183</v>
      </c>
    </row>
    <row r="274" spans="1:15" ht="38.25" x14ac:dyDescent="0.25">
      <c r="A274" s="2" t="s">
        <v>1187</v>
      </c>
      <c r="B274" s="2" t="s">
        <v>16</v>
      </c>
      <c r="C274" s="2" t="s">
        <v>1188</v>
      </c>
      <c r="D274" s="2" t="s">
        <v>1189</v>
      </c>
      <c r="E274" s="2" t="s">
        <v>1190</v>
      </c>
      <c r="F274" s="2" t="s">
        <v>827</v>
      </c>
      <c r="G274" s="3" t="s">
        <v>21</v>
      </c>
      <c r="H274" s="2" t="s">
        <v>1191</v>
      </c>
      <c r="I274" s="2" t="s">
        <v>120</v>
      </c>
      <c r="J274" s="2" t="s">
        <v>121</v>
      </c>
      <c r="K274" s="2" t="s">
        <v>122</v>
      </c>
      <c r="L274" s="2" t="s">
        <v>123</v>
      </c>
      <c r="M274" s="2" t="s">
        <v>124</v>
      </c>
      <c r="N274" s="2" t="s">
        <v>28</v>
      </c>
      <c r="O274" s="2" t="s">
        <v>1183</v>
      </c>
    </row>
    <row r="275" spans="1:15" ht="38.25" x14ac:dyDescent="0.25">
      <c r="A275" s="2" t="s">
        <v>1192</v>
      </c>
      <c r="B275" s="2" t="s">
        <v>16</v>
      </c>
      <c r="C275" s="2" t="s">
        <v>1188</v>
      </c>
      <c r="D275" s="2" t="s">
        <v>1193</v>
      </c>
      <c r="E275" s="2" t="s">
        <v>1181</v>
      </c>
      <c r="F275" s="2" t="s">
        <v>684</v>
      </c>
      <c r="G275" s="3" t="s">
        <v>21</v>
      </c>
      <c r="H275" s="2" t="s">
        <v>1194</v>
      </c>
      <c r="I275" s="2" t="s">
        <v>120</v>
      </c>
      <c r="J275" s="2" t="s">
        <v>121</v>
      </c>
      <c r="K275" s="2" t="s">
        <v>122</v>
      </c>
      <c r="L275" s="2" t="s">
        <v>123</v>
      </c>
      <c r="M275" s="2" t="s">
        <v>124</v>
      </c>
      <c r="N275" s="2" t="s">
        <v>28</v>
      </c>
      <c r="O275" s="2" t="s">
        <v>1183</v>
      </c>
    </row>
    <row r="276" spans="1:15" ht="38.25" x14ac:dyDescent="0.25">
      <c r="A276" s="2" t="s">
        <v>1195</v>
      </c>
      <c r="B276" s="2" t="s">
        <v>16</v>
      </c>
      <c r="C276" s="2" t="s">
        <v>1188</v>
      </c>
      <c r="D276" s="2" t="s">
        <v>1196</v>
      </c>
      <c r="E276" s="2" t="s">
        <v>1181</v>
      </c>
      <c r="F276" s="2" t="s">
        <v>827</v>
      </c>
      <c r="G276" s="3" t="s">
        <v>21</v>
      </c>
      <c r="H276" s="2" t="s">
        <v>1197</v>
      </c>
      <c r="I276" s="2" t="s">
        <v>120</v>
      </c>
      <c r="J276" s="2" t="s">
        <v>121</v>
      </c>
      <c r="K276" s="2" t="s">
        <v>122</v>
      </c>
      <c r="L276" s="2" t="s">
        <v>123</v>
      </c>
      <c r="M276" s="2" t="s">
        <v>124</v>
      </c>
      <c r="N276" s="2" t="s">
        <v>28</v>
      </c>
      <c r="O276" s="2" t="s">
        <v>1183</v>
      </c>
    </row>
    <row r="277" spans="1:15" ht="38.25" x14ac:dyDescent="0.25">
      <c r="A277" s="2" t="s">
        <v>1198</v>
      </c>
      <c r="B277" s="2" t="s">
        <v>16</v>
      </c>
      <c r="C277" s="2" t="s">
        <v>1188</v>
      </c>
      <c r="D277" s="2" t="s">
        <v>1199</v>
      </c>
      <c r="E277" s="2" t="s">
        <v>1200</v>
      </c>
      <c r="F277" s="2" t="s">
        <v>1044</v>
      </c>
      <c r="G277" s="3" t="s">
        <v>21</v>
      </c>
      <c r="H277" s="2" t="s">
        <v>1201</v>
      </c>
      <c r="I277" s="2" t="s">
        <v>109</v>
      </c>
      <c r="J277" s="2" t="s">
        <v>110</v>
      </c>
      <c r="K277" s="2" t="s">
        <v>111</v>
      </c>
      <c r="L277" s="2" t="s">
        <v>112</v>
      </c>
      <c r="M277" s="2" t="s">
        <v>113</v>
      </c>
      <c r="N277" s="2" t="s">
        <v>28</v>
      </c>
      <c r="O277" s="2" t="s">
        <v>1183</v>
      </c>
    </row>
    <row r="278" spans="1:15" ht="38.25" x14ac:dyDescent="0.25">
      <c r="A278" s="2" t="s">
        <v>1202</v>
      </c>
      <c r="B278" s="2" t="s">
        <v>16</v>
      </c>
      <c r="C278" s="2" t="s">
        <v>1203</v>
      </c>
      <c r="D278" s="2" t="s">
        <v>1204</v>
      </c>
      <c r="E278" s="2" t="s">
        <v>1205</v>
      </c>
      <c r="F278" s="2" t="s">
        <v>862</v>
      </c>
      <c r="G278" s="3" t="s">
        <v>21</v>
      </c>
      <c r="H278" s="2" t="s">
        <v>1206</v>
      </c>
      <c r="I278" s="2" t="s">
        <v>634</v>
      </c>
      <c r="J278" s="2" t="s">
        <v>635</v>
      </c>
      <c r="K278" s="2" t="s">
        <v>636</v>
      </c>
      <c r="L278" s="2" t="s">
        <v>637</v>
      </c>
      <c r="M278" s="2" t="s">
        <v>638</v>
      </c>
      <c r="N278" s="2" t="s">
        <v>28</v>
      </c>
      <c r="O278" s="2" t="s">
        <v>1207</v>
      </c>
    </row>
    <row r="279" spans="1:15" ht="38.25" x14ac:dyDescent="0.25">
      <c r="A279" s="2" t="s">
        <v>1208</v>
      </c>
      <c r="B279" s="2" t="s">
        <v>16</v>
      </c>
      <c r="C279" s="2" t="s">
        <v>1203</v>
      </c>
      <c r="D279" s="2" t="s">
        <v>1209</v>
      </c>
      <c r="E279" s="2" t="s">
        <v>187</v>
      </c>
      <c r="F279" s="2" t="s">
        <v>862</v>
      </c>
      <c r="G279" s="3" t="s">
        <v>85</v>
      </c>
      <c r="H279" s="2" t="s">
        <v>1210</v>
      </c>
      <c r="I279" s="2" t="s">
        <v>634</v>
      </c>
      <c r="J279" s="2" t="s">
        <v>635</v>
      </c>
      <c r="K279" s="2" t="s">
        <v>636</v>
      </c>
      <c r="L279" s="2" t="s">
        <v>637</v>
      </c>
      <c r="M279" s="2" t="s">
        <v>638</v>
      </c>
      <c r="N279" s="2" t="s">
        <v>77</v>
      </c>
      <c r="O279" s="2" t="s">
        <v>1207</v>
      </c>
    </row>
    <row r="280" spans="1:15" ht="51" x14ac:dyDescent="0.25">
      <c r="A280" s="2" t="s">
        <v>1211</v>
      </c>
      <c r="B280" s="2" t="s">
        <v>16</v>
      </c>
      <c r="C280" s="2" t="s">
        <v>1212</v>
      </c>
      <c r="D280" s="2" t="s">
        <v>1213</v>
      </c>
      <c r="E280" s="2" t="s">
        <v>68</v>
      </c>
      <c r="F280" s="2" t="s">
        <v>862</v>
      </c>
      <c r="G280" s="3" t="s">
        <v>85</v>
      </c>
      <c r="H280" s="2" t="s">
        <v>1214</v>
      </c>
      <c r="I280" s="2" t="s">
        <v>634</v>
      </c>
      <c r="J280" s="2" t="s">
        <v>635</v>
      </c>
      <c r="K280" s="2" t="s">
        <v>636</v>
      </c>
      <c r="L280" s="2" t="s">
        <v>637</v>
      </c>
      <c r="M280" s="2" t="s">
        <v>638</v>
      </c>
      <c r="N280" s="2" t="s">
        <v>77</v>
      </c>
      <c r="O280" s="2" t="s">
        <v>1215</v>
      </c>
    </row>
    <row r="281" spans="1:15" ht="51" x14ac:dyDescent="0.25">
      <c r="A281" s="2" t="s">
        <v>1216</v>
      </c>
      <c r="B281" s="2" t="s">
        <v>16</v>
      </c>
      <c r="C281" s="2" t="s">
        <v>1212</v>
      </c>
      <c r="D281" s="2" t="s">
        <v>1217</v>
      </c>
      <c r="E281" s="2" t="s">
        <v>117</v>
      </c>
      <c r="F281" s="2" t="s">
        <v>862</v>
      </c>
      <c r="G281" s="3" t="s">
        <v>85</v>
      </c>
      <c r="H281" s="2" t="s">
        <v>1218</v>
      </c>
      <c r="I281" s="2" t="s">
        <v>634</v>
      </c>
      <c r="J281" s="2" t="s">
        <v>635</v>
      </c>
      <c r="K281" s="2" t="s">
        <v>636</v>
      </c>
      <c r="L281" s="2" t="s">
        <v>637</v>
      </c>
      <c r="M281" s="2" t="s">
        <v>638</v>
      </c>
      <c r="N281" s="2" t="s">
        <v>77</v>
      </c>
      <c r="O281" s="2" t="s">
        <v>1215</v>
      </c>
    </row>
    <row r="282" spans="1:15" ht="51" x14ac:dyDescent="0.25">
      <c r="A282" s="2" t="s">
        <v>1219</v>
      </c>
      <c r="B282" s="2" t="s">
        <v>16</v>
      </c>
      <c r="C282" s="2" t="s">
        <v>1212</v>
      </c>
      <c r="D282" s="2" t="s">
        <v>1220</v>
      </c>
      <c r="E282" s="2" t="s">
        <v>1205</v>
      </c>
      <c r="F282" s="2" t="s">
        <v>862</v>
      </c>
      <c r="G282" s="3" t="s">
        <v>49</v>
      </c>
      <c r="H282" s="2" t="s">
        <v>1221</v>
      </c>
      <c r="I282" s="2" t="s">
        <v>51</v>
      </c>
      <c r="J282" s="2" t="s">
        <v>52</v>
      </c>
      <c r="K282" s="2" t="s">
        <v>53</v>
      </c>
      <c r="L282" s="2" t="s">
        <v>53</v>
      </c>
      <c r="M282" s="2" t="s">
        <v>61</v>
      </c>
      <c r="N282" s="2" t="s">
        <v>53</v>
      </c>
      <c r="O282" s="2" t="s">
        <v>1215</v>
      </c>
    </row>
    <row r="283" spans="1:15" ht="38.25" x14ac:dyDescent="0.25">
      <c r="A283" s="2" t="s">
        <v>1222</v>
      </c>
      <c r="B283" s="2" t="s">
        <v>16</v>
      </c>
      <c r="C283" s="2" t="s">
        <v>1212</v>
      </c>
      <c r="D283" s="2" t="s">
        <v>1223</v>
      </c>
      <c r="E283" s="2" t="s">
        <v>117</v>
      </c>
      <c r="F283" s="2" t="s">
        <v>862</v>
      </c>
      <c r="G283" s="3" t="s">
        <v>85</v>
      </c>
      <c r="H283" s="2" t="s">
        <v>1224</v>
      </c>
      <c r="I283" s="2" t="s">
        <v>634</v>
      </c>
      <c r="J283" s="2" t="s">
        <v>635</v>
      </c>
      <c r="K283" s="2" t="s">
        <v>636</v>
      </c>
      <c r="L283" s="2" t="s">
        <v>637</v>
      </c>
      <c r="M283" s="2" t="s">
        <v>638</v>
      </c>
      <c r="N283" s="2" t="s">
        <v>77</v>
      </c>
      <c r="O283" s="2" t="s">
        <v>1207</v>
      </c>
    </row>
    <row r="284" spans="1:15" ht="38.25" x14ac:dyDescent="0.25">
      <c r="A284" s="2" t="s">
        <v>1225</v>
      </c>
      <c r="B284" s="2" t="s">
        <v>1226</v>
      </c>
      <c r="C284" s="2" t="s">
        <v>1227</v>
      </c>
      <c r="D284" s="2" t="s">
        <v>1228</v>
      </c>
      <c r="E284" s="2" t="s">
        <v>270</v>
      </c>
      <c r="F284" s="2" t="s">
        <v>1229</v>
      </c>
      <c r="G284" s="3" t="s">
        <v>85</v>
      </c>
      <c r="H284" s="2" t="s">
        <v>1230</v>
      </c>
      <c r="I284" s="2" t="s">
        <v>1231</v>
      </c>
      <c r="J284" s="2" t="s">
        <v>1232</v>
      </c>
      <c r="K284" s="2" t="s">
        <v>1233</v>
      </c>
      <c r="L284" s="2" t="s">
        <v>147</v>
      </c>
      <c r="M284" s="2" t="s">
        <v>1234</v>
      </c>
      <c r="N284" s="2" t="s">
        <v>77</v>
      </c>
      <c r="O284" s="2"/>
    </row>
    <row r="285" spans="1:15" ht="25.5" x14ac:dyDescent="0.25">
      <c r="A285" s="2" t="s">
        <v>1235</v>
      </c>
      <c r="B285" s="2" t="s">
        <v>1226</v>
      </c>
      <c r="C285" s="2" t="s">
        <v>1227</v>
      </c>
      <c r="D285" s="2" t="s">
        <v>1236</v>
      </c>
      <c r="E285" s="2" t="s">
        <v>653</v>
      </c>
      <c r="F285" s="2" t="s">
        <v>1237</v>
      </c>
      <c r="G285" s="3" t="s">
        <v>49</v>
      </c>
      <c r="H285" s="2" t="s">
        <v>1238</v>
      </c>
      <c r="I285" s="2" t="s">
        <v>51</v>
      </c>
      <c r="J285" s="2" t="s">
        <v>52</v>
      </c>
      <c r="K285" s="2" t="s">
        <v>53</v>
      </c>
      <c r="L285" s="2" t="s">
        <v>53</v>
      </c>
      <c r="M285" s="2" t="s">
        <v>54</v>
      </c>
      <c r="N285" s="2" t="s">
        <v>53</v>
      </c>
      <c r="O285" s="2"/>
    </row>
    <row r="286" spans="1:15" ht="38.25" x14ac:dyDescent="0.25">
      <c r="A286" s="2" t="s">
        <v>1239</v>
      </c>
      <c r="B286" s="2" t="s">
        <v>1226</v>
      </c>
      <c r="C286" s="2" t="s">
        <v>1227</v>
      </c>
      <c r="D286" s="2" t="s">
        <v>1240</v>
      </c>
      <c r="E286" s="2" t="s">
        <v>270</v>
      </c>
      <c r="F286" s="2" t="s">
        <v>1237</v>
      </c>
      <c r="G286" s="3" t="s">
        <v>49</v>
      </c>
      <c r="H286" s="2" t="s">
        <v>1143</v>
      </c>
      <c r="I286" s="2" t="s">
        <v>51</v>
      </c>
      <c r="J286" s="2" t="s">
        <v>52</v>
      </c>
      <c r="K286" s="2" t="s">
        <v>53</v>
      </c>
      <c r="L286" s="2" t="s">
        <v>53</v>
      </c>
      <c r="M286" s="2" t="s">
        <v>61</v>
      </c>
      <c r="N286" s="2" t="s">
        <v>53</v>
      </c>
      <c r="O286" s="2"/>
    </row>
    <row r="287" spans="1:15" ht="51" x14ac:dyDescent="0.25">
      <c r="A287" s="2" t="s">
        <v>1241</v>
      </c>
      <c r="B287" s="2" t="s">
        <v>1226</v>
      </c>
      <c r="C287" s="2" t="s">
        <v>1227</v>
      </c>
      <c r="D287" s="2" t="s">
        <v>1242</v>
      </c>
      <c r="E287" s="2" t="s">
        <v>68</v>
      </c>
      <c r="F287" s="2" t="s">
        <v>1243</v>
      </c>
      <c r="G287" s="3" t="s">
        <v>70</v>
      </c>
      <c r="H287" s="2" t="s">
        <v>1244</v>
      </c>
      <c r="I287" s="2" t="s">
        <v>1245</v>
      </c>
      <c r="J287" s="2" t="s">
        <v>1246</v>
      </c>
      <c r="K287" s="2" t="s">
        <v>1247</v>
      </c>
      <c r="L287" s="2" t="s">
        <v>75</v>
      </c>
      <c r="M287" s="2" t="s">
        <v>256</v>
      </c>
      <c r="N287" s="2" t="s">
        <v>77</v>
      </c>
      <c r="O287" s="2"/>
    </row>
    <row r="288" spans="1:15" ht="38.25" x14ac:dyDescent="0.25">
      <c r="A288" s="2" t="s">
        <v>1248</v>
      </c>
      <c r="B288" s="2" t="s">
        <v>1226</v>
      </c>
      <c r="C288" s="2" t="s">
        <v>1227</v>
      </c>
      <c r="D288" s="2" t="s">
        <v>1249</v>
      </c>
      <c r="E288" s="2" t="s">
        <v>1250</v>
      </c>
      <c r="F288" s="2" t="s">
        <v>1229</v>
      </c>
      <c r="G288" s="3" t="s">
        <v>85</v>
      </c>
      <c r="H288" s="2" t="s">
        <v>1251</v>
      </c>
      <c r="I288" s="2" t="s">
        <v>1231</v>
      </c>
      <c r="J288" s="2" t="s">
        <v>1232</v>
      </c>
      <c r="K288" s="2" t="s">
        <v>1233</v>
      </c>
      <c r="L288" s="2" t="s">
        <v>147</v>
      </c>
      <c r="M288" s="2" t="s">
        <v>1234</v>
      </c>
      <c r="N288" s="2" t="s">
        <v>77</v>
      </c>
      <c r="O288" s="2"/>
    </row>
    <row r="289" spans="1:15" ht="38.25" x14ac:dyDescent="0.25">
      <c r="A289" s="2" t="s">
        <v>1252</v>
      </c>
      <c r="B289" s="2" t="s">
        <v>1226</v>
      </c>
      <c r="C289" s="2" t="s">
        <v>1227</v>
      </c>
      <c r="D289" s="2" t="s">
        <v>1253</v>
      </c>
      <c r="E289" s="2" t="s">
        <v>32</v>
      </c>
      <c r="F289" s="2" t="s">
        <v>1254</v>
      </c>
      <c r="G289" s="3" t="s">
        <v>21</v>
      </c>
      <c r="H289" s="2" t="s">
        <v>1255</v>
      </c>
      <c r="I289" s="2" t="s">
        <v>1256</v>
      </c>
      <c r="J289" s="2" t="s">
        <v>1257</v>
      </c>
      <c r="K289" s="2" t="s">
        <v>1258</v>
      </c>
      <c r="L289" s="2" t="s">
        <v>147</v>
      </c>
      <c r="M289" s="2" t="s">
        <v>1259</v>
      </c>
      <c r="N289" s="2" t="s">
        <v>28</v>
      </c>
      <c r="O289" s="2"/>
    </row>
    <row r="290" spans="1:15" ht="25.5" x14ac:dyDescent="0.25">
      <c r="A290" s="2" t="s">
        <v>1260</v>
      </c>
      <c r="B290" s="2" t="s">
        <v>1226</v>
      </c>
      <c r="C290" s="2" t="s">
        <v>1227</v>
      </c>
      <c r="D290" s="2" t="s">
        <v>1261</v>
      </c>
      <c r="E290" s="2" t="s">
        <v>32</v>
      </c>
      <c r="F290" s="2" t="s">
        <v>142</v>
      </c>
      <c r="G290" s="3" t="s">
        <v>49</v>
      </c>
      <c r="H290" s="2" t="s">
        <v>1262</v>
      </c>
      <c r="I290" s="2" t="s">
        <v>51</v>
      </c>
      <c r="J290" s="2" t="s">
        <v>52</v>
      </c>
      <c r="K290" s="2" t="s">
        <v>53</v>
      </c>
      <c r="L290" s="2" t="s">
        <v>53</v>
      </c>
      <c r="M290" s="2" t="s">
        <v>189</v>
      </c>
      <c r="N290" s="2" t="s">
        <v>53</v>
      </c>
      <c r="O290" s="2"/>
    </row>
    <row r="291" spans="1:15" ht="51" x14ac:dyDescent="0.25">
      <c r="A291" s="2" t="s">
        <v>1263</v>
      </c>
      <c r="B291" s="2" t="s">
        <v>1226</v>
      </c>
      <c r="C291" s="2" t="s">
        <v>1227</v>
      </c>
      <c r="D291" s="2" t="s">
        <v>1264</v>
      </c>
      <c r="E291" s="2" t="s">
        <v>1265</v>
      </c>
      <c r="F291" s="2" t="s">
        <v>1266</v>
      </c>
      <c r="G291" s="3" t="s">
        <v>49</v>
      </c>
      <c r="H291" s="2" t="s">
        <v>1267</v>
      </c>
      <c r="I291" s="2" t="s">
        <v>51</v>
      </c>
      <c r="J291" s="2" t="s">
        <v>52</v>
      </c>
      <c r="K291" s="2" t="s">
        <v>53</v>
      </c>
      <c r="L291" s="2" t="s">
        <v>53</v>
      </c>
      <c r="M291" s="2" t="s">
        <v>230</v>
      </c>
      <c r="N291" s="2" t="s">
        <v>53</v>
      </c>
      <c r="O291" s="2" t="s">
        <v>1268</v>
      </c>
    </row>
    <row r="292" spans="1:15" ht="38.25" x14ac:dyDescent="0.25">
      <c r="A292" s="2" t="s">
        <v>1269</v>
      </c>
      <c r="B292" s="2" t="s">
        <v>1226</v>
      </c>
      <c r="C292" s="2" t="s">
        <v>1270</v>
      </c>
      <c r="D292" s="2" t="s">
        <v>1271</v>
      </c>
      <c r="E292" s="2" t="s">
        <v>263</v>
      </c>
      <c r="F292" s="2" t="s">
        <v>1229</v>
      </c>
      <c r="G292" s="3" t="s">
        <v>85</v>
      </c>
      <c r="H292" s="2" t="s">
        <v>1272</v>
      </c>
      <c r="I292" s="2" t="s">
        <v>1231</v>
      </c>
      <c r="J292" s="2" t="s">
        <v>1232</v>
      </c>
      <c r="K292" s="2" t="s">
        <v>1233</v>
      </c>
      <c r="L292" s="2" t="s">
        <v>147</v>
      </c>
      <c r="M292" s="2" t="s">
        <v>1234</v>
      </c>
      <c r="N292" s="2" t="s">
        <v>77</v>
      </c>
      <c r="O292" s="2"/>
    </row>
    <row r="293" spans="1:15" ht="38.25" x14ac:dyDescent="0.25">
      <c r="A293" s="2" t="s">
        <v>1273</v>
      </c>
      <c r="B293" s="2" t="s">
        <v>1226</v>
      </c>
      <c r="C293" s="2" t="s">
        <v>1270</v>
      </c>
      <c r="D293" s="2" t="s">
        <v>1274</v>
      </c>
      <c r="E293" s="2" t="s">
        <v>942</v>
      </c>
      <c r="F293" s="2" t="s">
        <v>1229</v>
      </c>
      <c r="G293" s="3" t="s">
        <v>49</v>
      </c>
      <c r="H293" s="2" t="s">
        <v>1275</v>
      </c>
      <c r="I293" s="2" t="s">
        <v>51</v>
      </c>
      <c r="J293" s="2" t="s">
        <v>52</v>
      </c>
      <c r="K293" s="2" t="s">
        <v>53</v>
      </c>
      <c r="L293" s="2" t="s">
        <v>53</v>
      </c>
      <c r="M293" s="2" t="s">
        <v>54</v>
      </c>
      <c r="N293" s="2" t="s">
        <v>53</v>
      </c>
      <c r="O293" s="2"/>
    </row>
    <row r="294" spans="1:15" ht="38.25" x14ac:dyDescent="0.25">
      <c r="A294" s="2" t="s">
        <v>1276</v>
      </c>
      <c r="B294" s="2" t="s">
        <v>1226</v>
      </c>
      <c r="C294" s="2" t="s">
        <v>1270</v>
      </c>
      <c r="D294" s="2" t="s">
        <v>1277</v>
      </c>
      <c r="E294" s="2" t="s">
        <v>1278</v>
      </c>
      <c r="F294" s="2" t="s">
        <v>1229</v>
      </c>
      <c r="G294" s="3" t="s">
        <v>49</v>
      </c>
      <c r="H294" s="2" t="s">
        <v>1275</v>
      </c>
      <c r="I294" s="2" t="s">
        <v>51</v>
      </c>
      <c r="J294" s="2" t="s">
        <v>52</v>
      </c>
      <c r="K294" s="2" t="s">
        <v>53</v>
      </c>
      <c r="L294" s="2" t="s">
        <v>53</v>
      </c>
      <c r="M294" s="2" t="s">
        <v>54</v>
      </c>
      <c r="N294" s="2" t="s">
        <v>53</v>
      </c>
      <c r="O294" s="2"/>
    </row>
    <row r="295" spans="1:15" ht="38.25" x14ac:dyDescent="0.25">
      <c r="A295" s="2" t="s">
        <v>1279</v>
      </c>
      <c r="B295" s="2" t="s">
        <v>1226</v>
      </c>
      <c r="C295" s="2" t="s">
        <v>1270</v>
      </c>
      <c r="D295" s="2" t="s">
        <v>1280</v>
      </c>
      <c r="E295" s="2" t="s">
        <v>263</v>
      </c>
      <c r="F295" s="2" t="s">
        <v>1281</v>
      </c>
      <c r="G295" s="3" t="s">
        <v>21</v>
      </c>
      <c r="H295" s="2" t="s">
        <v>1282</v>
      </c>
      <c r="I295" s="2" t="s">
        <v>1231</v>
      </c>
      <c r="J295" s="2" t="s">
        <v>1232</v>
      </c>
      <c r="K295" s="2" t="s">
        <v>1233</v>
      </c>
      <c r="L295" s="2" t="s">
        <v>147</v>
      </c>
      <c r="M295" s="2" t="s">
        <v>1234</v>
      </c>
      <c r="N295" s="2" t="s">
        <v>28</v>
      </c>
      <c r="O295" s="2"/>
    </row>
    <row r="296" spans="1:15" ht="38.25" x14ac:dyDescent="0.25">
      <c r="A296" s="2" t="s">
        <v>1283</v>
      </c>
      <c r="B296" s="2" t="s">
        <v>1226</v>
      </c>
      <c r="C296" s="2" t="s">
        <v>1270</v>
      </c>
      <c r="D296" s="2" t="s">
        <v>1284</v>
      </c>
      <c r="E296" s="2" t="s">
        <v>263</v>
      </c>
      <c r="F296" s="2" t="s">
        <v>1281</v>
      </c>
      <c r="G296" s="3" t="s">
        <v>49</v>
      </c>
      <c r="H296" s="2" t="s">
        <v>1275</v>
      </c>
      <c r="I296" s="2" t="s">
        <v>51</v>
      </c>
      <c r="J296" s="2" t="s">
        <v>52</v>
      </c>
      <c r="K296" s="2" t="s">
        <v>53</v>
      </c>
      <c r="L296" s="2" t="s">
        <v>53</v>
      </c>
      <c r="M296" s="2" t="s">
        <v>54</v>
      </c>
      <c r="N296" s="2" t="s">
        <v>53</v>
      </c>
      <c r="O296" s="2"/>
    </row>
    <row r="297" spans="1:15" ht="38.25" x14ac:dyDescent="0.25">
      <c r="A297" s="2" t="s">
        <v>1285</v>
      </c>
      <c r="B297" s="2" t="s">
        <v>1226</v>
      </c>
      <c r="C297" s="2" t="s">
        <v>1270</v>
      </c>
      <c r="D297" s="2" t="s">
        <v>1286</v>
      </c>
      <c r="E297" s="2" t="s">
        <v>263</v>
      </c>
      <c r="F297" s="2" t="s">
        <v>1287</v>
      </c>
      <c r="G297" s="3" t="s">
        <v>70</v>
      </c>
      <c r="H297" s="2" t="s">
        <v>1288</v>
      </c>
      <c r="I297" s="2" t="s">
        <v>1231</v>
      </c>
      <c r="J297" s="2" t="s">
        <v>1232</v>
      </c>
      <c r="K297" s="2" t="s">
        <v>1233</v>
      </c>
      <c r="L297" s="2" t="s">
        <v>147</v>
      </c>
      <c r="M297" s="2" t="s">
        <v>1234</v>
      </c>
      <c r="N297" s="2" t="s">
        <v>77</v>
      </c>
      <c r="O297" s="2"/>
    </row>
    <row r="298" spans="1:15" ht="25.5" x14ac:dyDescent="0.25">
      <c r="A298" s="2" t="s">
        <v>1289</v>
      </c>
      <c r="B298" s="2" t="s">
        <v>1226</v>
      </c>
      <c r="C298" s="2" t="s">
        <v>1270</v>
      </c>
      <c r="D298" s="2" t="s">
        <v>1290</v>
      </c>
      <c r="E298" s="2" t="s">
        <v>263</v>
      </c>
      <c r="F298" s="2" t="s">
        <v>1287</v>
      </c>
      <c r="G298" s="3" t="s">
        <v>85</v>
      </c>
      <c r="H298" s="2" t="s">
        <v>1291</v>
      </c>
      <c r="I298" s="2" t="s">
        <v>1231</v>
      </c>
      <c r="J298" s="2" t="s">
        <v>1232</v>
      </c>
      <c r="K298" s="2" t="s">
        <v>1233</v>
      </c>
      <c r="L298" s="2" t="s">
        <v>147</v>
      </c>
      <c r="M298" s="2" t="s">
        <v>1234</v>
      </c>
      <c r="N298" s="2" t="s">
        <v>77</v>
      </c>
      <c r="O298" s="2"/>
    </row>
    <row r="299" spans="1:15" ht="25.5" x14ac:dyDescent="0.25">
      <c r="A299" s="2" t="s">
        <v>1292</v>
      </c>
      <c r="B299" s="2" t="s">
        <v>1226</v>
      </c>
      <c r="C299" s="2" t="s">
        <v>1270</v>
      </c>
      <c r="D299" s="2" t="s">
        <v>1293</v>
      </c>
      <c r="E299" s="2" t="s">
        <v>1294</v>
      </c>
      <c r="F299" s="2" t="s">
        <v>1237</v>
      </c>
      <c r="G299" s="3" t="s">
        <v>49</v>
      </c>
      <c r="H299" s="2" t="s">
        <v>1238</v>
      </c>
      <c r="I299" s="2" t="s">
        <v>51</v>
      </c>
      <c r="J299" s="2" t="s">
        <v>52</v>
      </c>
      <c r="K299" s="2" t="s">
        <v>53</v>
      </c>
      <c r="L299" s="2" t="s">
        <v>53</v>
      </c>
      <c r="M299" s="2" t="s">
        <v>54</v>
      </c>
      <c r="N299" s="2" t="s">
        <v>53</v>
      </c>
      <c r="O299" s="2"/>
    </row>
    <row r="300" spans="1:15" ht="25.5" x14ac:dyDescent="0.25">
      <c r="A300" s="2" t="s">
        <v>1295</v>
      </c>
      <c r="B300" s="2" t="s">
        <v>1226</v>
      </c>
      <c r="C300" s="2" t="s">
        <v>1270</v>
      </c>
      <c r="D300" s="2" t="s">
        <v>1296</v>
      </c>
      <c r="E300" s="2" t="s">
        <v>1297</v>
      </c>
      <c r="F300" s="2" t="s">
        <v>1237</v>
      </c>
      <c r="G300" s="3" t="s">
        <v>49</v>
      </c>
      <c r="H300" s="2" t="s">
        <v>1238</v>
      </c>
      <c r="I300" s="2" t="s">
        <v>51</v>
      </c>
      <c r="J300" s="2" t="s">
        <v>52</v>
      </c>
      <c r="K300" s="2" t="s">
        <v>53</v>
      </c>
      <c r="L300" s="2" t="s">
        <v>53</v>
      </c>
      <c r="M300" s="2" t="s">
        <v>54</v>
      </c>
      <c r="N300" s="2" t="s">
        <v>53</v>
      </c>
      <c r="O300" s="2"/>
    </row>
    <row r="301" spans="1:15" ht="51" x14ac:dyDescent="0.25">
      <c r="A301" s="2" t="s">
        <v>1298</v>
      </c>
      <c r="B301" s="2" t="s">
        <v>1226</v>
      </c>
      <c r="C301" s="2" t="s">
        <v>1299</v>
      </c>
      <c r="D301" s="2" t="s">
        <v>1300</v>
      </c>
      <c r="E301" s="2" t="s">
        <v>263</v>
      </c>
      <c r="F301" s="2" t="s">
        <v>1301</v>
      </c>
      <c r="G301" s="3" t="s">
        <v>85</v>
      </c>
      <c r="H301" s="2" t="s">
        <v>1302</v>
      </c>
      <c r="I301" s="2" t="s">
        <v>1303</v>
      </c>
      <c r="J301" s="2" t="s">
        <v>1304</v>
      </c>
      <c r="K301" s="2" t="s">
        <v>1305</v>
      </c>
      <c r="L301" s="2" t="s">
        <v>1306</v>
      </c>
      <c r="M301" s="2" t="s">
        <v>1307</v>
      </c>
      <c r="N301" s="2" t="s">
        <v>77</v>
      </c>
      <c r="O301" s="2"/>
    </row>
    <row r="302" spans="1:15" ht="38.25" x14ac:dyDescent="0.25">
      <c r="A302" s="2" t="s">
        <v>1308</v>
      </c>
      <c r="B302" s="2" t="s">
        <v>1226</v>
      </c>
      <c r="C302" s="2" t="s">
        <v>1299</v>
      </c>
      <c r="D302" s="2" t="s">
        <v>1309</v>
      </c>
      <c r="E302" s="2" t="s">
        <v>942</v>
      </c>
      <c r="F302" s="2" t="s">
        <v>1301</v>
      </c>
      <c r="G302" s="3" t="s">
        <v>49</v>
      </c>
      <c r="H302" s="2" t="s">
        <v>1275</v>
      </c>
      <c r="I302" s="2" t="s">
        <v>51</v>
      </c>
      <c r="J302" s="2" t="s">
        <v>52</v>
      </c>
      <c r="K302" s="2" t="s">
        <v>53</v>
      </c>
      <c r="L302" s="2" t="s">
        <v>53</v>
      </c>
      <c r="M302" s="2" t="s">
        <v>54</v>
      </c>
      <c r="N302" s="2" t="s">
        <v>53</v>
      </c>
      <c r="O302" s="2"/>
    </row>
    <row r="303" spans="1:15" ht="51" x14ac:dyDescent="0.25">
      <c r="A303" s="2" t="s">
        <v>1310</v>
      </c>
      <c r="B303" s="2" t="s">
        <v>1226</v>
      </c>
      <c r="C303" s="2" t="s">
        <v>1299</v>
      </c>
      <c r="D303" s="2" t="s">
        <v>1311</v>
      </c>
      <c r="E303" s="2" t="s">
        <v>1312</v>
      </c>
      <c r="F303" s="2" t="s">
        <v>1301</v>
      </c>
      <c r="G303" s="3" t="s">
        <v>21</v>
      </c>
      <c r="H303" s="2" t="s">
        <v>1313</v>
      </c>
      <c r="I303" s="2" t="s">
        <v>1303</v>
      </c>
      <c r="J303" s="2" t="s">
        <v>1304</v>
      </c>
      <c r="K303" s="2" t="s">
        <v>1305</v>
      </c>
      <c r="L303" s="2" t="s">
        <v>1306</v>
      </c>
      <c r="M303" s="2" t="s">
        <v>1307</v>
      </c>
      <c r="N303" s="2" t="s">
        <v>28</v>
      </c>
      <c r="O303" s="2"/>
    </row>
    <row r="304" spans="1:15" ht="38.25" x14ac:dyDescent="0.25">
      <c r="A304" s="2" t="s">
        <v>1314</v>
      </c>
      <c r="B304" s="2" t="s">
        <v>1226</v>
      </c>
      <c r="C304" s="2" t="s">
        <v>1299</v>
      </c>
      <c r="D304" s="2" t="s">
        <v>1315</v>
      </c>
      <c r="E304" s="2" t="s">
        <v>187</v>
      </c>
      <c r="F304" s="2" t="s">
        <v>1301</v>
      </c>
      <c r="G304" s="3" t="s">
        <v>49</v>
      </c>
      <c r="H304" s="2" t="s">
        <v>1275</v>
      </c>
      <c r="I304" s="2" t="s">
        <v>51</v>
      </c>
      <c r="J304" s="2" t="s">
        <v>52</v>
      </c>
      <c r="K304" s="2" t="s">
        <v>53</v>
      </c>
      <c r="L304" s="2" t="s">
        <v>53</v>
      </c>
      <c r="M304" s="2" t="s">
        <v>54</v>
      </c>
      <c r="N304" s="2" t="s">
        <v>53</v>
      </c>
      <c r="O304" s="2"/>
    </row>
    <row r="305" spans="1:15" ht="51" x14ac:dyDescent="0.25">
      <c r="A305" s="2" t="s">
        <v>1316</v>
      </c>
      <c r="B305" s="2" t="s">
        <v>1226</v>
      </c>
      <c r="C305" s="2" t="s">
        <v>1317</v>
      </c>
      <c r="D305" s="2" t="s">
        <v>1318</v>
      </c>
      <c r="E305" s="2" t="s">
        <v>263</v>
      </c>
      <c r="F305" s="2" t="s">
        <v>1301</v>
      </c>
      <c r="G305" s="3" t="s">
        <v>85</v>
      </c>
      <c r="H305" s="2" t="s">
        <v>1319</v>
      </c>
      <c r="I305" s="2" t="s">
        <v>1303</v>
      </c>
      <c r="J305" s="2" t="s">
        <v>1304</v>
      </c>
      <c r="K305" s="2" t="s">
        <v>1305</v>
      </c>
      <c r="L305" s="2" t="s">
        <v>1306</v>
      </c>
      <c r="M305" s="2" t="s">
        <v>1307</v>
      </c>
      <c r="N305" s="2" t="s">
        <v>77</v>
      </c>
      <c r="O305" s="2"/>
    </row>
    <row r="306" spans="1:15" ht="38.25" x14ac:dyDescent="0.25">
      <c r="A306" s="2" t="s">
        <v>1320</v>
      </c>
      <c r="B306" s="2" t="s">
        <v>1226</v>
      </c>
      <c r="C306" s="2" t="s">
        <v>1317</v>
      </c>
      <c r="D306" s="2" t="s">
        <v>1321</v>
      </c>
      <c r="E306" s="2" t="s">
        <v>1322</v>
      </c>
      <c r="F306" s="2" t="s">
        <v>1301</v>
      </c>
      <c r="G306" s="3" t="s">
        <v>49</v>
      </c>
      <c r="H306" s="2" t="s">
        <v>1275</v>
      </c>
      <c r="I306" s="2" t="s">
        <v>51</v>
      </c>
      <c r="J306" s="2" t="s">
        <v>52</v>
      </c>
      <c r="K306" s="2" t="s">
        <v>53</v>
      </c>
      <c r="L306" s="2" t="s">
        <v>53</v>
      </c>
      <c r="M306" s="2" t="s">
        <v>54</v>
      </c>
      <c r="N306" s="2" t="s">
        <v>53</v>
      </c>
      <c r="O306" s="2"/>
    </row>
    <row r="307" spans="1:15" ht="38.25" x14ac:dyDescent="0.25">
      <c r="A307" s="2" t="s">
        <v>1323</v>
      </c>
      <c r="B307" s="2" t="s">
        <v>1226</v>
      </c>
      <c r="C307" s="2" t="s">
        <v>1317</v>
      </c>
      <c r="D307" s="2" t="s">
        <v>1324</v>
      </c>
      <c r="E307" s="2" t="s">
        <v>1322</v>
      </c>
      <c r="F307" s="2" t="s">
        <v>1301</v>
      </c>
      <c r="G307" s="3" t="s">
        <v>49</v>
      </c>
      <c r="H307" s="2" t="s">
        <v>1275</v>
      </c>
      <c r="I307" s="2" t="s">
        <v>51</v>
      </c>
      <c r="J307" s="2" t="s">
        <v>52</v>
      </c>
      <c r="K307" s="2" t="s">
        <v>53</v>
      </c>
      <c r="L307" s="2" t="s">
        <v>53</v>
      </c>
      <c r="M307" s="2" t="s">
        <v>54</v>
      </c>
      <c r="N307" s="2" t="s">
        <v>53</v>
      </c>
      <c r="O307" s="2"/>
    </row>
    <row r="308" spans="1:15" ht="38.25" x14ac:dyDescent="0.25">
      <c r="A308" s="2" t="s">
        <v>1325</v>
      </c>
      <c r="B308" s="2" t="s">
        <v>1226</v>
      </c>
      <c r="C308" s="2" t="s">
        <v>1326</v>
      </c>
      <c r="D308" s="2" t="s">
        <v>1327</v>
      </c>
      <c r="E308" s="2" t="s">
        <v>263</v>
      </c>
      <c r="F308" s="2" t="s">
        <v>1328</v>
      </c>
      <c r="G308" s="3" t="s">
        <v>85</v>
      </c>
      <c r="H308" s="2" t="s">
        <v>1329</v>
      </c>
      <c r="I308" s="2" t="s">
        <v>1303</v>
      </c>
      <c r="J308" s="2" t="s">
        <v>1304</v>
      </c>
      <c r="K308" s="2" t="s">
        <v>1305</v>
      </c>
      <c r="L308" s="2" t="s">
        <v>1306</v>
      </c>
      <c r="M308" s="2" t="s">
        <v>1307</v>
      </c>
      <c r="N308" s="2" t="s">
        <v>77</v>
      </c>
      <c r="O308" s="2"/>
    </row>
    <row r="309" spans="1:15" ht="51" x14ac:dyDescent="0.25">
      <c r="A309" s="2" t="s">
        <v>1330</v>
      </c>
      <c r="B309" s="2" t="s">
        <v>1226</v>
      </c>
      <c r="C309" s="2" t="s">
        <v>1326</v>
      </c>
      <c r="D309" s="2" t="s">
        <v>1331</v>
      </c>
      <c r="E309" s="2" t="s">
        <v>1312</v>
      </c>
      <c r="F309" s="2" t="s">
        <v>1328</v>
      </c>
      <c r="G309" s="3" t="s">
        <v>21</v>
      </c>
      <c r="H309" s="2" t="s">
        <v>1332</v>
      </c>
      <c r="I309" s="2" t="s">
        <v>1303</v>
      </c>
      <c r="J309" s="2" t="s">
        <v>1304</v>
      </c>
      <c r="K309" s="2" t="s">
        <v>1305</v>
      </c>
      <c r="L309" s="2" t="s">
        <v>1306</v>
      </c>
      <c r="M309" s="2" t="s">
        <v>1307</v>
      </c>
      <c r="N309" s="2" t="s">
        <v>28</v>
      </c>
      <c r="O309" s="2"/>
    </row>
    <row r="310" spans="1:15" ht="38.25" x14ac:dyDescent="0.25">
      <c r="A310" s="2" t="s">
        <v>1333</v>
      </c>
      <c r="B310" s="2" t="s">
        <v>1226</v>
      </c>
      <c r="C310" s="2" t="s">
        <v>1326</v>
      </c>
      <c r="D310" s="2" t="s">
        <v>1334</v>
      </c>
      <c r="E310" s="2" t="s">
        <v>1312</v>
      </c>
      <c r="F310" s="2" t="s">
        <v>1328</v>
      </c>
      <c r="G310" s="3" t="s">
        <v>21</v>
      </c>
      <c r="H310" s="2" t="s">
        <v>1335</v>
      </c>
      <c r="I310" s="2" t="s">
        <v>1303</v>
      </c>
      <c r="J310" s="2" t="s">
        <v>1304</v>
      </c>
      <c r="K310" s="2" t="s">
        <v>1305</v>
      </c>
      <c r="L310" s="2" t="s">
        <v>1306</v>
      </c>
      <c r="M310" s="2" t="s">
        <v>1307</v>
      </c>
      <c r="N310" s="2" t="s">
        <v>28</v>
      </c>
      <c r="O310" s="2"/>
    </row>
    <row r="311" spans="1:15" ht="38.25" x14ac:dyDescent="0.25">
      <c r="A311" s="2" t="s">
        <v>1336</v>
      </c>
      <c r="B311" s="2" t="s">
        <v>1226</v>
      </c>
      <c r="C311" s="2" t="s">
        <v>1326</v>
      </c>
      <c r="D311" s="2" t="s">
        <v>1337</v>
      </c>
      <c r="E311" s="2" t="s">
        <v>1312</v>
      </c>
      <c r="F311" s="2" t="s">
        <v>1338</v>
      </c>
      <c r="G311" s="3" t="s">
        <v>85</v>
      </c>
      <c r="H311" s="2" t="s">
        <v>1339</v>
      </c>
      <c r="I311" s="2" t="s">
        <v>1303</v>
      </c>
      <c r="J311" s="2" t="s">
        <v>1304</v>
      </c>
      <c r="K311" s="2" t="s">
        <v>1305</v>
      </c>
      <c r="L311" s="2" t="s">
        <v>1306</v>
      </c>
      <c r="M311" s="2" t="s">
        <v>1307</v>
      </c>
      <c r="N311" s="2" t="s">
        <v>77</v>
      </c>
      <c r="O311" s="2"/>
    </row>
    <row r="312" spans="1:15" ht="51" x14ac:dyDescent="0.25">
      <c r="A312" s="2" t="s">
        <v>1340</v>
      </c>
      <c r="B312" s="2" t="s">
        <v>1226</v>
      </c>
      <c r="C312" s="2" t="s">
        <v>1326</v>
      </c>
      <c r="D312" s="2" t="s">
        <v>1341</v>
      </c>
      <c r="E312" s="2" t="s">
        <v>942</v>
      </c>
      <c r="F312" s="2" t="s">
        <v>1328</v>
      </c>
      <c r="G312" s="3" t="s">
        <v>21</v>
      </c>
      <c r="H312" s="2" t="s">
        <v>1342</v>
      </c>
      <c r="I312" s="2" t="s">
        <v>1303</v>
      </c>
      <c r="J312" s="2" t="s">
        <v>1304</v>
      </c>
      <c r="K312" s="2" t="s">
        <v>1305</v>
      </c>
      <c r="L312" s="2" t="s">
        <v>1306</v>
      </c>
      <c r="M312" s="2" t="s">
        <v>1307</v>
      </c>
      <c r="N312" s="2" t="s">
        <v>28</v>
      </c>
      <c r="O312" s="2"/>
    </row>
    <row r="313" spans="1:15" ht="51" x14ac:dyDescent="0.25">
      <c r="A313" s="2" t="s">
        <v>1343</v>
      </c>
      <c r="B313" s="2" t="s">
        <v>1226</v>
      </c>
      <c r="C313" s="2" t="s">
        <v>1326</v>
      </c>
      <c r="D313" s="2" t="s">
        <v>1344</v>
      </c>
      <c r="E313" s="2" t="s">
        <v>1312</v>
      </c>
      <c r="F313" s="2" t="s">
        <v>1301</v>
      </c>
      <c r="G313" s="3" t="s">
        <v>21</v>
      </c>
      <c r="H313" s="2" t="s">
        <v>1345</v>
      </c>
      <c r="I313" s="2" t="s">
        <v>1303</v>
      </c>
      <c r="J313" s="2" t="s">
        <v>1304</v>
      </c>
      <c r="K313" s="2" t="s">
        <v>1305</v>
      </c>
      <c r="L313" s="2" t="s">
        <v>1306</v>
      </c>
      <c r="M313" s="2" t="s">
        <v>1307</v>
      </c>
      <c r="N313" s="2" t="s">
        <v>28</v>
      </c>
      <c r="O313" s="2"/>
    </row>
    <row r="314" spans="1:15" ht="38.25" x14ac:dyDescent="0.25">
      <c r="A314" s="2" t="s">
        <v>1346</v>
      </c>
      <c r="B314" s="2" t="s">
        <v>1226</v>
      </c>
      <c r="C314" s="2" t="s">
        <v>1347</v>
      </c>
      <c r="D314" s="2" t="s">
        <v>1348</v>
      </c>
      <c r="E314" s="2" t="s">
        <v>1349</v>
      </c>
      <c r="F314" s="2" t="s">
        <v>1301</v>
      </c>
      <c r="G314" s="3" t="s">
        <v>49</v>
      </c>
      <c r="H314" s="2" t="s">
        <v>1275</v>
      </c>
      <c r="I314" s="2" t="s">
        <v>51</v>
      </c>
      <c r="J314" s="2" t="s">
        <v>52</v>
      </c>
      <c r="K314" s="2" t="s">
        <v>53</v>
      </c>
      <c r="L314" s="2" t="s">
        <v>53</v>
      </c>
      <c r="M314" s="2" t="s">
        <v>54</v>
      </c>
      <c r="N314" s="2" t="s">
        <v>53</v>
      </c>
      <c r="O314" s="2"/>
    </row>
    <row r="315" spans="1:15" ht="38.25" x14ac:dyDescent="0.25">
      <c r="A315" s="2" t="s">
        <v>1350</v>
      </c>
      <c r="B315" s="2" t="s">
        <v>1226</v>
      </c>
      <c r="C315" s="2" t="s">
        <v>1347</v>
      </c>
      <c r="D315" s="2" t="s">
        <v>1351</v>
      </c>
      <c r="E315" s="2" t="s">
        <v>1352</v>
      </c>
      <c r="F315" s="2" t="s">
        <v>1301</v>
      </c>
      <c r="G315" s="3" t="s">
        <v>49</v>
      </c>
      <c r="H315" s="2" t="s">
        <v>1275</v>
      </c>
      <c r="I315" s="2" t="s">
        <v>51</v>
      </c>
      <c r="J315" s="2" t="s">
        <v>52</v>
      </c>
      <c r="K315" s="2" t="s">
        <v>53</v>
      </c>
      <c r="L315" s="2" t="s">
        <v>53</v>
      </c>
      <c r="M315" s="2" t="s">
        <v>54</v>
      </c>
      <c r="N315" s="2" t="s">
        <v>53</v>
      </c>
      <c r="O315" s="2"/>
    </row>
    <row r="316" spans="1:15" ht="38.25" x14ac:dyDescent="0.25">
      <c r="A316" s="2" t="s">
        <v>1353</v>
      </c>
      <c r="B316" s="2" t="s">
        <v>1226</v>
      </c>
      <c r="C316" s="2" t="s">
        <v>1347</v>
      </c>
      <c r="D316" s="2" t="s">
        <v>1354</v>
      </c>
      <c r="E316" s="2" t="s">
        <v>1352</v>
      </c>
      <c r="F316" s="2" t="s">
        <v>1301</v>
      </c>
      <c r="G316" s="3" t="s">
        <v>49</v>
      </c>
      <c r="H316" s="2" t="s">
        <v>1275</v>
      </c>
      <c r="I316" s="2" t="s">
        <v>51</v>
      </c>
      <c r="J316" s="2" t="s">
        <v>52</v>
      </c>
      <c r="K316" s="2" t="s">
        <v>53</v>
      </c>
      <c r="L316" s="2" t="s">
        <v>53</v>
      </c>
      <c r="M316" s="2" t="s">
        <v>54</v>
      </c>
      <c r="N316" s="2" t="s">
        <v>53</v>
      </c>
      <c r="O316" s="2"/>
    </row>
    <row r="317" spans="1:15" ht="63.75" x14ac:dyDescent="0.25">
      <c r="A317" s="2" t="s">
        <v>1355</v>
      </c>
      <c r="B317" s="2" t="s">
        <v>1226</v>
      </c>
      <c r="C317" s="2" t="s">
        <v>1356</v>
      </c>
      <c r="D317" s="2" t="s">
        <v>1357</v>
      </c>
      <c r="E317" s="2" t="s">
        <v>263</v>
      </c>
      <c r="F317" s="2" t="s">
        <v>1301</v>
      </c>
      <c r="G317" s="3" t="s">
        <v>49</v>
      </c>
      <c r="H317" s="2" t="s">
        <v>1275</v>
      </c>
      <c r="I317" s="2" t="s">
        <v>51</v>
      </c>
      <c r="J317" s="2" t="s">
        <v>52</v>
      </c>
      <c r="K317" s="2" t="s">
        <v>53</v>
      </c>
      <c r="L317" s="2" t="s">
        <v>53</v>
      </c>
      <c r="M317" s="2" t="s">
        <v>54</v>
      </c>
      <c r="N317" s="2" t="s">
        <v>53</v>
      </c>
      <c r="O317" s="2"/>
    </row>
    <row r="318" spans="1:15" ht="38.25" x14ac:dyDescent="0.25">
      <c r="A318" s="2" t="s">
        <v>1358</v>
      </c>
      <c r="B318" s="2" t="s">
        <v>1226</v>
      </c>
      <c r="C318" s="2" t="s">
        <v>1359</v>
      </c>
      <c r="D318" s="2" t="s">
        <v>1360</v>
      </c>
      <c r="E318" s="2" t="s">
        <v>117</v>
      </c>
      <c r="F318" s="2" t="s">
        <v>1361</v>
      </c>
      <c r="G318" s="3" t="s">
        <v>49</v>
      </c>
      <c r="H318" s="2" t="s">
        <v>1275</v>
      </c>
      <c r="I318" s="2" t="s">
        <v>51</v>
      </c>
      <c r="J318" s="2" t="s">
        <v>52</v>
      </c>
      <c r="K318" s="2" t="s">
        <v>53</v>
      </c>
      <c r="L318" s="2" t="s">
        <v>53</v>
      </c>
      <c r="M318" s="2" t="s">
        <v>54</v>
      </c>
      <c r="N318" s="2" t="s">
        <v>53</v>
      </c>
      <c r="O318" s="2"/>
    </row>
    <row r="319" spans="1:15" ht="51" x14ac:dyDescent="0.25">
      <c r="A319" s="2" t="s">
        <v>1362</v>
      </c>
      <c r="B319" s="2" t="s">
        <v>1226</v>
      </c>
      <c r="C319" s="2" t="s">
        <v>1359</v>
      </c>
      <c r="D319" s="2" t="s">
        <v>1363</v>
      </c>
      <c r="E319" s="2" t="s">
        <v>263</v>
      </c>
      <c r="F319" s="2" t="s">
        <v>1361</v>
      </c>
      <c r="G319" s="3" t="s">
        <v>49</v>
      </c>
      <c r="H319" s="2" t="s">
        <v>1275</v>
      </c>
      <c r="I319" s="2" t="s">
        <v>51</v>
      </c>
      <c r="J319" s="2" t="s">
        <v>52</v>
      </c>
      <c r="K319" s="2" t="s">
        <v>53</v>
      </c>
      <c r="L319" s="2" t="s">
        <v>53</v>
      </c>
      <c r="M319" s="2" t="s">
        <v>54</v>
      </c>
      <c r="N319" s="2" t="s">
        <v>53</v>
      </c>
      <c r="O319" s="2"/>
    </row>
    <row r="320" spans="1:15" ht="63.75" x14ac:dyDescent="0.25">
      <c r="A320" s="2" t="s">
        <v>1364</v>
      </c>
      <c r="B320" s="2" t="s">
        <v>1226</v>
      </c>
      <c r="C320" s="2" t="s">
        <v>1365</v>
      </c>
      <c r="D320" s="2" t="s">
        <v>1366</v>
      </c>
      <c r="E320" s="2" t="s">
        <v>263</v>
      </c>
      <c r="F320" s="2" t="s">
        <v>1367</v>
      </c>
      <c r="G320" s="3" t="s">
        <v>49</v>
      </c>
      <c r="H320" s="2" t="s">
        <v>1275</v>
      </c>
      <c r="I320" s="2" t="s">
        <v>51</v>
      </c>
      <c r="J320" s="2" t="s">
        <v>52</v>
      </c>
      <c r="K320" s="2" t="s">
        <v>53</v>
      </c>
      <c r="L320" s="2" t="s">
        <v>53</v>
      </c>
      <c r="M320" s="2" t="s">
        <v>54</v>
      </c>
      <c r="N320" s="2" t="s">
        <v>53</v>
      </c>
      <c r="O320" s="2"/>
    </row>
    <row r="321" spans="1:15" ht="38.25" x14ac:dyDescent="0.25">
      <c r="A321" s="2" t="s">
        <v>1368</v>
      </c>
      <c r="B321" s="2" t="s">
        <v>1226</v>
      </c>
      <c r="C321" s="2" t="s">
        <v>1365</v>
      </c>
      <c r="D321" s="2" t="s">
        <v>1369</v>
      </c>
      <c r="E321" s="2" t="s">
        <v>1370</v>
      </c>
      <c r="F321" s="2" t="s">
        <v>1367</v>
      </c>
      <c r="G321" s="3" t="s">
        <v>49</v>
      </c>
      <c r="H321" s="2" t="s">
        <v>1275</v>
      </c>
      <c r="I321" s="2" t="s">
        <v>51</v>
      </c>
      <c r="J321" s="2" t="s">
        <v>52</v>
      </c>
      <c r="K321" s="2" t="s">
        <v>53</v>
      </c>
      <c r="L321" s="2" t="s">
        <v>53</v>
      </c>
      <c r="M321" s="2" t="s">
        <v>54</v>
      </c>
      <c r="N321" s="2" t="s">
        <v>53</v>
      </c>
      <c r="O321" s="2"/>
    </row>
    <row r="322" spans="1:15" ht="51" x14ac:dyDescent="0.25">
      <c r="A322" s="2" t="s">
        <v>1371</v>
      </c>
      <c r="B322" s="2" t="s">
        <v>1226</v>
      </c>
      <c r="C322" s="2" t="s">
        <v>1365</v>
      </c>
      <c r="D322" s="2" t="s">
        <v>1372</v>
      </c>
      <c r="E322" s="2" t="s">
        <v>1373</v>
      </c>
      <c r="F322" s="2" t="s">
        <v>1367</v>
      </c>
      <c r="G322" s="3" t="s">
        <v>49</v>
      </c>
      <c r="H322" s="2" t="s">
        <v>1275</v>
      </c>
      <c r="I322" s="2" t="s">
        <v>51</v>
      </c>
      <c r="J322" s="2" t="s">
        <v>52</v>
      </c>
      <c r="K322" s="2" t="s">
        <v>53</v>
      </c>
      <c r="L322" s="2" t="s">
        <v>53</v>
      </c>
      <c r="M322" s="2" t="s">
        <v>54</v>
      </c>
      <c r="N322" s="2" t="s">
        <v>53</v>
      </c>
      <c r="O322" s="2"/>
    </row>
    <row r="323" spans="1:15" ht="38.25" x14ac:dyDescent="0.25">
      <c r="A323" s="2" t="s">
        <v>1374</v>
      </c>
      <c r="B323" s="2" t="s">
        <v>1226</v>
      </c>
      <c r="C323" s="2" t="s">
        <v>1375</v>
      </c>
      <c r="D323" s="2" t="s">
        <v>1376</v>
      </c>
      <c r="E323" s="2" t="s">
        <v>187</v>
      </c>
      <c r="F323" s="2" t="s">
        <v>1377</v>
      </c>
      <c r="G323" s="3" t="s">
        <v>21</v>
      </c>
      <c r="H323" s="2" t="s">
        <v>1378</v>
      </c>
      <c r="I323" s="2" t="s">
        <v>1379</v>
      </c>
      <c r="J323" s="2" t="s">
        <v>1380</v>
      </c>
      <c r="K323" s="2" t="s">
        <v>1381</v>
      </c>
      <c r="L323" s="2" t="s">
        <v>1382</v>
      </c>
      <c r="M323" s="2" t="s">
        <v>1383</v>
      </c>
      <c r="N323" s="2" t="s">
        <v>28</v>
      </c>
      <c r="O323" s="2"/>
    </row>
    <row r="324" spans="1:15" ht="38.25" x14ac:dyDescent="0.25">
      <c r="A324" s="2" t="s">
        <v>1384</v>
      </c>
      <c r="B324" s="2" t="s">
        <v>1226</v>
      </c>
      <c r="C324" s="2" t="s">
        <v>1385</v>
      </c>
      <c r="D324" s="2" t="s">
        <v>1386</v>
      </c>
      <c r="E324" s="2" t="s">
        <v>263</v>
      </c>
      <c r="F324" s="2" t="s">
        <v>1387</v>
      </c>
      <c r="G324" s="3" t="s">
        <v>49</v>
      </c>
      <c r="H324" s="2" t="s">
        <v>1275</v>
      </c>
      <c r="I324" s="2" t="s">
        <v>51</v>
      </c>
      <c r="J324" s="2" t="s">
        <v>52</v>
      </c>
      <c r="K324" s="2" t="s">
        <v>53</v>
      </c>
      <c r="L324" s="2" t="s">
        <v>53</v>
      </c>
      <c r="M324" s="2" t="s">
        <v>54</v>
      </c>
      <c r="N324" s="2" t="s">
        <v>53</v>
      </c>
      <c r="O324" s="2"/>
    </row>
    <row r="325" spans="1:15" ht="38.25" x14ac:dyDescent="0.25">
      <c r="A325" s="2" t="s">
        <v>1388</v>
      </c>
      <c r="B325" s="2" t="s">
        <v>1226</v>
      </c>
      <c r="C325" s="2" t="s">
        <v>1385</v>
      </c>
      <c r="D325" s="2" t="s">
        <v>1389</v>
      </c>
      <c r="E325" s="2" t="s">
        <v>263</v>
      </c>
      <c r="F325" s="2" t="s">
        <v>1387</v>
      </c>
      <c r="G325" s="3" t="s">
        <v>21</v>
      </c>
      <c r="H325" s="2" t="s">
        <v>1390</v>
      </c>
      <c r="I325" s="2" t="s">
        <v>1391</v>
      </c>
      <c r="J325" s="2" t="s">
        <v>1392</v>
      </c>
      <c r="K325" s="2" t="s">
        <v>1393</v>
      </c>
      <c r="L325" s="2" t="s">
        <v>147</v>
      </c>
      <c r="M325" s="2" t="s">
        <v>1394</v>
      </c>
      <c r="N325" s="2" t="s">
        <v>28</v>
      </c>
      <c r="O325" s="2"/>
    </row>
    <row r="326" spans="1:15" ht="38.25" x14ac:dyDescent="0.25">
      <c r="A326" s="2" t="s">
        <v>1395</v>
      </c>
      <c r="B326" s="2" t="s">
        <v>1226</v>
      </c>
      <c r="C326" s="2" t="s">
        <v>1385</v>
      </c>
      <c r="D326" s="2" t="s">
        <v>1396</v>
      </c>
      <c r="E326" s="2" t="s">
        <v>263</v>
      </c>
      <c r="F326" s="2" t="s">
        <v>1387</v>
      </c>
      <c r="G326" s="3" t="s">
        <v>49</v>
      </c>
      <c r="H326" s="2" t="s">
        <v>1275</v>
      </c>
      <c r="I326" s="2" t="s">
        <v>51</v>
      </c>
      <c r="J326" s="2" t="s">
        <v>52</v>
      </c>
      <c r="K326" s="2" t="s">
        <v>53</v>
      </c>
      <c r="L326" s="2" t="s">
        <v>53</v>
      </c>
      <c r="M326" s="2" t="s">
        <v>54</v>
      </c>
      <c r="N326" s="2" t="s">
        <v>53</v>
      </c>
      <c r="O326" s="2"/>
    </row>
    <row r="327" spans="1:15" ht="63.75" x14ac:dyDescent="0.25">
      <c r="A327" s="2" t="s">
        <v>1397</v>
      </c>
      <c r="B327" s="2" t="s">
        <v>1226</v>
      </c>
      <c r="C327" s="2" t="s">
        <v>1398</v>
      </c>
      <c r="D327" s="2" t="s">
        <v>1399</v>
      </c>
      <c r="E327" s="2" t="s">
        <v>263</v>
      </c>
      <c r="F327" s="2" t="s">
        <v>1361</v>
      </c>
      <c r="G327" s="3" t="s">
        <v>85</v>
      </c>
      <c r="H327" s="2" t="s">
        <v>1400</v>
      </c>
      <c r="I327" s="2" t="s">
        <v>1303</v>
      </c>
      <c r="J327" s="2" t="s">
        <v>1304</v>
      </c>
      <c r="K327" s="2" t="s">
        <v>1305</v>
      </c>
      <c r="L327" s="2" t="s">
        <v>1306</v>
      </c>
      <c r="M327" s="2" t="s">
        <v>1307</v>
      </c>
      <c r="N327" s="2" t="s">
        <v>77</v>
      </c>
      <c r="O327" s="2"/>
    </row>
    <row r="328" spans="1:15" ht="38.25" x14ac:dyDescent="0.25">
      <c r="A328" s="2" t="s">
        <v>1401</v>
      </c>
      <c r="B328" s="2" t="s">
        <v>1226</v>
      </c>
      <c r="C328" s="2" t="s">
        <v>1398</v>
      </c>
      <c r="D328" s="2" t="s">
        <v>1402</v>
      </c>
      <c r="E328" s="2" t="s">
        <v>68</v>
      </c>
      <c r="F328" s="2" t="s">
        <v>1361</v>
      </c>
      <c r="G328" s="3" t="s">
        <v>49</v>
      </c>
      <c r="H328" s="2" t="s">
        <v>1275</v>
      </c>
      <c r="I328" s="2" t="s">
        <v>51</v>
      </c>
      <c r="J328" s="2" t="s">
        <v>52</v>
      </c>
      <c r="K328" s="2" t="s">
        <v>53</v>
      </c>
      <c r="L328" s="2" t="s">
        <v>53</v>
      </c>
      <c r="M328" s="2" t="s">
        <v>54</v>
      </c>
      <c r="N328" s="2" t="s">
        <v>53</v>
      </c>
      <c r="O328" s="2"/>
    </row>
    <row r="329" spans="1:15" ht="38.25" x14ac:dyDescent="0.25">
      <c r="A329" s="2" t="s">
        <v>1403</v>
      </c>
      <c r="B329" s="2" t="s">
        <v>1226</v>
      </c>
      <c r="C329" s="2" t="s">
        <v>1398</v>
      </c>
      <c r="D329" s="2" t="s">
        <v>1404</v>
      </c>
      <c r="E329" s="2" t="s">
        <v>263</v>
      </c>
      <c r="F329" s="2" t="s">
        <v>1361</v>
      </c>
      <c r="G329" s="3" t="s">
        <v>49</v>
      </c>
      <c r="H329" s="2" t="s">
        <v>1275</v>
      </c>
      <c r="I329" s="2" t="s">
        <v>51</v>
      </c>
      <c r="J329" s="2" t="s">
        <v>52</v>
      </c>
      <c r="K329" s="2" t="s">
        <v>53</v>
      </c>
      <c r="L329" s="2" t="s">
        <v>53</v>
      </c>
      <c r="M329" s="2" t="s">
        <v>54</v>
      </c>
      <c r="N329" s="2" t="s">
        <v>53</v>
      </c>
      <c r="O329" s="2"/>
    </row>
    <row r="330" spans="1:15" ht="38.25" x14ac:dyDescent="0.25">
      <c r="A330" s="2" t="s">
        <v>1405</v>
      </c>
      <c r="B330" s="2" t="s">
        <v>1226</v>
      </c>
      <c r="C330" s="2" t="s">
        <v>1398</v>
      </c>
      <c r="D330" s="2" t="s">
        <v>1406</v>
      </c>
      <c r="E330" s="2" t="s">
        <v>942</v>
      </c>
      <c r="F330" s="2" t="s">
        <v>1367</v>
      </c>
      <c r="G330" s="3" t="s">
        <v>49</v>
      </c>
      <c r="H330" s="2" t="s">
        <v>1275</v>
      </c>
      <c r="I330" s="2" t="s">
        <v>51</v>
      </c>
      <c r="J330" s="2" t="s">
        <v>52</v>
      </c>
      <c r="K330" s="2" t="s">
        <v>53</v>
      </c>
      <c r="L330" s="2" t="s">
        <v>53</v>
      </c>
      <c r="M330" s="2" t="s">
        <v>54</v>
      </c>
      <c r="N330" s="2" t="s">
        <v>53</v>
      </c>
      <c r="O330" s="2"/>
    </row>
    <row r="331" spans="1:15" ht="38.25" x14ac:dyDescent="0.25">
      <c r="A331" s="2" t="s">
        <v>1407</v>
      </c>
      <c r="B331" s="2" t="s">
        <v>1226</v>
      </c>
      <c r="C331" s="2" t="s">
        <v>1398</v>
      </c>
      <c r="D331" s="2" t="s">
        <v>1408</v>
      </c>
      <c r="E331" s="2" t="s">
        <v>624</v>
      </c>
      <c r="F331" s="2" t="s">
        <v>1367</v>
      </c>
      <c r="G331" s="3" t="s">
        <v>49</v>
      </c>
      <c r="H331" s="2" t="s">
        <v>1275</v>
      </c>
      <c r="I331" s="2" t="s">
        <v>51</v>
      </c>
      <c r="J331" s="2" t="s">
        <v>52</v>
      </c>
      <c r="K331" s="2" t="s">
        <v>53</v>
      </c>
      <c r="L331" s="2" t="s">
        <v>53</v>
      </c>
      <c r="M331" s="2" t="s">
        <v>54</v>
      </c>
      <c r="N331" s="2" t="s">
        <v>53</v>
      </c>
      <c r="O331" s="2"/>
    </row>
    <row r="332" spans="1:15" ht="38.25" x14ac:dyDescent="0.25">
      <c r="A332" s="2" t="s">
        <v>1409</v>
      </c>
      <c r="B332" s="2" t="s">
        <v>1226</v>
      </c>
      <c r="C332" s="2" t="s">
        <v>1398</v>
      </c>
      <c r="D332" s="2" t="s">
        <v>1410</v>
      </c>
      <c r="E332" s="2" t="s">
        <v>263</v>
      </c>
      <c r="F332" s="2" t="s">
        <v>1361</v>
      </c>
      <c r="G332" s="3" t="s">
        <v>49</v>
      </c>
      <c r="H332" s="2" t="s">
        <v>1275</v>
      </c>
      <c r="I332" s="2" t="s">
        <v>51</v>
      </c>
      <c r="J332" s="2" t="s">
        <v>52</v>
      </c>
      <c r="K332" s="2" t="s">
        <v>53</v>
      </c>
      <c r="L332" s="2" t="s">
        <v>53</v>
      </c>
      <c r="M332" s="2" t="s">
        <v>54</v>
      </c>
      <c r="N332" s="2" t="s">
        <v>53</v>
      </c>
      <c r="O332" s="2"/>
    </row>
    <row r="333" spans="1:15" ht="38.25" x14ac:dyDescent="0.25">
      <c r="A333" s="2" t="s">
        <v>1411</v>
      </c>
      <c r="B333" s="2" t="s">
        <v>1226</v>
      </c>
      <c r="C333" s="2" t="s">
        <v>1398</v>
      </c>
      <c r="D333" s="2" t="s">
        <v>1412</v>
      </c>
      <c r="E333" s="2" t="s">
        <v>263</v>
      </c>
      <c r="F333" s="2" t="s">
        <v>1367</v>
      </c>
      <c r="G333" s="3" t="s">
        <v>49</v>
      </c>
      <c r="H333" s="2" t="s">
        <v>1275</v>
      </c>
      <c r="I333" s="2" t="s">
        <v>51</v>
      </c>
      <c r="J333" s="2" t="s">
        <v>52</v>
      </c>
      <c r="K333" s="2" t="s">
        <v>53</v>
      </c>
      <c r="L333" s="2" t="s">
        <v>53</v>
      </c>
      <c r="M333" s="2" t="s">
        <v>54</v>
      </c>
      <c r="N333" s="2" t="s">
        <v>53</v>
      </c>
      <c r="O333" s="2"/>
    </row>
    <row r="334" spans="1:15" ht="51" x14ac:dyDescent="0.25">
      <c r="A334" s="2" t="s">
        <v>1413</v>
      </c>
      <c r="B334" s="2" t="s">
        <v>1226</v>
      </c>
      <c r="C334" s="2" t="s">
        <v>1398</v>
      </c>
      <c r="D334" s="2" t="s">
        <v>1414</v>
      </c>
      <c r="E334" s="2" t="s">
        <v>263</v>
      </c>
      <c r="F334" s="2" t="s">
        <v>1415</v>
      </c>
      <c r="G334" s="3" t="s">
        <v>85</v>
      </c>
      <c r="H334" s="2" t="s">
        <v>1416</v>
      </c>
      <c r="I334" s="2" t="s">
        <v>1303</v>
      </c>
      <c r="J334" s="2" t="s">
        <v>1304</v>
      </c>
      <c r="K334" s="2" t="s">
        <v>1305</v>
      </c>
      <c r="L334" s="2" t="s">
        <v>1306</v>
      </c>
      <c r="M334" s="2" t="s">
        <v>1307</v>
      </c>
      <c r="N334" s="2" t="s">
        <v>77</v>
      </c>
      <c r="O334" s="2"/>
    </row>
    <row r="335" spans="1:15" ht="38.25" x14ac:dyDescent="0.25">
      <c r="A335" s="2" t="s">
        <v>1417</v>
      </c>
      <c r="B335" s="2" t="s">
        <v>1226</v>
      </c>
      <c r="C335" s="2" t="s">
        <v>1398</v>
      </c>
      <c r="D335" s="2" t="s">
        <v>1418</v>
      </c>
      <c r="E335" s="2" t="s">
        <v>309</v>
      </c>
      <c r="F335" s="2" t="s">
        <v>1387</v>
      </c>
      <c r="G335" s="3" t="s">
        <v>49</v>
      </c>
      <c r="H335" s="2" t="s">
        <v>1275</v>
      </c>
      <c r="I335" s="2" t="s">
        <v>51</v>
      </c>
      <c r="J335" s="2" t="s">
        <v>52</v>
      </c>
      <c r="K335" s="2" t="s">
        <v>53</v>
      </c>
      <c r="L335" s="2" t="s">
        <v>53</v>
      </c>
      <c r="M335" s="2" t="s">
        <v>54</v>
      </c>
      <c r="N335" s="2" t="s">
        <v>53</v>
      </c>
      <c r="O335" s="2"/>
    </row>
    <row r="336" spans="1:15" ht="38.25" x14ac:dyDescent="0.25">
      <c r="A336" s="2" t="s">
        <v>1419</v>
      </c>
      <c r="B336" s="2" t="s">
        <v>1226</v>
      </c>
      <c r="C336" s="2" t="s">
        <v>1420</v>
      </c>
      <c r="D336" s="2" t="s">
        <v>1421</v>
      </c>
      <c r="E336" s="2" t="s">
        <v>263</v>
      </c>
      <c r="F336" s="2" t="s">
        <v>1422</v>
      </c>
      <c r="G336" s="3" t="s">
        <v>49</v>
      </c>
      <c r="H336" s="2" t="s">
        <v>1275</v>
      </c>
      <c r="I336" s="2" t="s">
        <v>51</v>
      </c>
      <c r="J336" s="2" t="s">
        <v>52</v>
      </c>
      <c r="K336" s="2" t="s">
        <v>53</v>
      </c>
      <c r="L336" s="2" t="s">
        <v>53</v>
      </c>
      <c r="M336" s="2" t="s">
        <v>54</v>
      </c>
      <c r="N336" s="2" t="s">
        <v>53</v>
      </c>
      <c r="O336" s="2" t="s">
        <v>1423</v>
      </c>
    </row>
    <row r="337" spans="1:15" ht="38.25" x14ac:dyDescent="0.25">
      <c r="A337" s="2" t="s">
        <v>1424</v>
      </c>
      <c r="B337" s="2" t="s">
        <v>1226</v>
      </c>
      <c r="C337" s="2" t="s">
        <v>1420</v>
      </c>
      <c r="D337" s="2" t="s">
        <v>1425</v>
      </c>
      <c r="E337" s="2" t="s">
        <v>263</v>
      </c>
      <c r="F337" s="2" t="s">
        <v>1422</v>
      </c>
      <c r="G337" s="3" t="s">
        <v>49</v>
      </c>
      <c r="H337" s="2" t="s">
        <v>1275</v>
      </c>
      <c r="I337" s="2" t="s">
        <v>51</v>
      </c>
      <c r="J337" s="2" t="s">
        <v>52</v>
      </c>
      <c r="K337" s="2" t="s">
        <v>53</v>
      </c>
      <c r="L337" s="2" t="s">
        <v>53</v>
      </c>
      <c r="M337" s="2" t="s">
        <v>54</v>
      </c>
      <c r="N337" s="2" t="s">
        <v>53</v>
      </c>
      <c r="O337" s="2" t="s">
        <v>1423</v>
      </c>
    </row>
    <row r="338" spans="1:15" ht="38.25" x14ac:dyDescent="0.25">
      <c r="A338" s="2" t="s">
        <v>1426</v>
      </c>
      <c r="B338" s="2" t="s">
        <v>1226</v>
      </c>
      <c r="C338" s="2" t="s">
        <v>1420</v>
      </c>
      <c r="D338" s="2" t="s">
        <v>1427</v>
      </c>
      <c r="E338" s="2" t="s">
        <v>263</v>
      </c>
      <c r="F338" s="2" t="s">
        <v>1422</v>
      </c>
      <c r="G338" s="3" t="s">
        <v>49</v>
      </c>
      <c r="H338" s="2" t="s">
        <v>1275</v>
      </c>
      <c r="I338" s="2" t="s">
        <v>51</v>
      </c>
      <c r="J338" s="2" t="s">
        <v>52</v>
      </c>
      <c r="K338" s="2" t="s">
        <v>53</v>
      </c>
      <c r="L338" s="2" t="s">
        <v>53</v>
      </c>
      <c r="M338" s="2" t="s">
        <v>54</v>
      </c>
      <c r="N338" s="2" t="s">
        <v>53</v>
      </c>
      <c r="O338" s="2" t="s">
        <v>1423</v>
      </c>
    </row>
    <row r="339" spans="1:15" ht="38.25" x14ac:dyDescent="0.25">
      <c r="A339" s="2" t="s">
        <v>1428</v>
      </c>
      <c r="B339" s="2" t="s">
        <v>1226</v>
      </c>
      <c r="C339" s="2" t="s">
        <v>1420</v>
      </c>
      <c r="D339" s="2" t="s">
        <v>1429</v>
      </c>
      <c r="E339" s="2" t="s">
        <v>1430</v>
      </c>
      <c r="F339" s="2" t="s">
        <v>1422</v>
      </c>
      <c r="G339" s="3" t="s">
        <v>49</v>
      </c>
      <c r="H339" s="2" t="s">
        <v>1275</v>
      </c>
      <c r="I339" s="2" t="s">
        <v>51</v>
      </c>
      <c r="J339" s="2" t="s">
        <v>52</v>
      </c>
      <c r="K339" s="2" t="s">
        <v>53</v>
      </c>
      <c r="L339" s="2" t="s">
        <v>53</v>
      </c>
      <c r="M339" s="2" t="s">
        <v>54</v>
      </c>
      <c r="N339" s="2" t="s">
        <v>53</v>
      </c>
      <c r="O339" s="2" t="s">
        <v>1423</v>
      </c>
    </row>
    <row r="340" spans="1:15" ht="38.25" x14ac:dyDescent="0.25">
      <c r="A340" s="2" t="s">
        <v>1431</v>
      </c>
      <c r="B340" s="2" t="s">
        <v>1226</v>
      </c>
      <c r="C340" s="2" t="s">
        <v>1432</v>
      </c>
      <c r="D340" s="2" t="s">
        <v>1433</v>
      </c>
      <c r="E340" s="2" t="s">
        <v>263</v>
      </c>
      <c r="F340" s="2" t="s">
        <v>1434</v>
      </c>
      <c r="G340" s="3" t="s">
        <v>21</v>
      </c>
      <c r="H340" s="2" t="s">
        <v>1435</v>
      </c>
      <c r="I340" s="2" t="s">
        <v>1436</v>
      </c>
      <c r="J340" s="2" t="s">
        <v>1437</v>
      </c>
      <c r="K340" s="2" t="s">
        <v>1438</v>
      </c>
      <c r="L340" s="2" t="s">
        <v>147</v>
      </c>
      <c r="M340" s="2" t="s">
        <v>1307</v>
      </c>
      <c r="N340" s="2" t="s">
        <v>28</v>
      </c>
      <c r="O340" s="2" t="s">
        <v>1423</v>
      </c>
    </row>
    <row r="341" spans="1:15" ht="51" x14ac:dyDescent="0.25">
      <c r="A341" s="2" t="s">
        <v>1439</v>
      </c>
      <c r="B341" s="2" t="s">
        <v>1226</v>
      </c>
      <c r="C341" s="2" t="s">
        <v>1432</v>
      </c>
      <c r="D341" s="2" t="s">
        <v>1440</v>
      </c>
      <c r="E341" s="2" t="s">
        <v>263</v>
      </c>
      <c r="F341" s="2" t="s">
        <v>1434</v>
      </c>
      <c r="G341" s="3" t="s">
        <v>49</v>
      </c>
      <c r="H341" s="2" t="s">
        <v>1275</v>
      </c>
      <c r="I341" s="2" t="s">
        <v>51</v>
      </c>
      <c r="J341" s="2" t="s">
        <v>52</v>
      </c>
      <c r="K341" s="2" t="s">
        <v>53</v>
      </c>
      <c r="L341" s="2" t="s">
        <v>53</v>
      </c>
      <c r="M341" s="2" t="s">
        <v>54</v>
      </c>
      <c r="N341" s="2" t="s">
        <v>53</v>
      </c>
      <c r="O341" s="2" t="s">
        <v>1423</v>
      </c>
    </row>
    <row r="342" spans="1:15" ht="51" x14ac:dyDescent="0.25">
      <c r="A342" s="2" t="s">
        <v>1441</v>
      </c>
      <c r="B342" s="2" t="s">
        <v>1226</v>
      </c>
      <c r="C342" s="2" t="s">
        <v>1432</v>
      </c>
      <c r="D342" s="2" t="s">
        <v>1442</v>
      </c>
      <c r="E342" s="2" t="s">
        <v>309</v>
      </c>
      <c r="F342" s="2" t="s">
        <v>1434</v>
      </c>
      <c r="G342" s="3" t="s">
        <v>49</v>
      </c>
      <c r="H342" s="2" t="s">
        <v>1275</v>
      </c>
      <c r="I342" s="2" t="s">
        <v>51</v>
      </c>
      <c r="J342" s="2" t="s">
        <v>52</v>
      </c>
      <c r="K342" s="2" t="s">
        <v>53</v>
      </c>
      <c r="L342" s="2" t="s">
        <v>53</v>
      </c>
      <c r="M342" s="2" t="s">
        <v>54</v>
      </c>
      <c r="N342" s="2" t="s">
        <v>53</v>
      </c>
      <c r="O342" s="2" t="s">
        <v>1423</v>
      </c>
    </row>
    <row r="343" spans="1:15" ht="38.25" x14ac:dyDescent="0.25">
      <c r="A343" s="2" t="s">
        <v>1443</v>
      </c>
      <c r="B343" s="2" t="s">
        <v>1226</v>
      </c>
      <c r="C343" s="2" t="s">
        <v>1432</v>
      </c>
      <c r="D343" s="2" t="s">
        <v>1444</v>
      </c>
      <c r="E343" s="2" t="s">
        <v>263</v>
      </c>
      <c r="F343" s="2" t="s">
        <v>1434</v>
      </c>
      <c r="G343" s="3" t="s">
        <v>21</v>
      </c>
      <c r="H343" s="2" t="s">
        <v>1445</v>
      </c>
      <c r="I343" s="2" t="s">
        <v>1436</v>
      </c>
      <c r="J343" s="2" t="s">
        <v>1437</v>
      </c>
      <c r="K343" s="2" t="s">
        <v>1438</v>
      </c>
      <c r="L343" s="2" t="s">
        <v>147</v>
      </c>
      <c r="M343" s="2" t="s">
        <v>1307</v>
      </c>
      <c r="N343" s="2" t="s">
        <v>28</v>
      </c>
      <c r="O343" s="2" t="s">
        <v>1423</v>
      </c>
    </row>
    <row r="344" spans="1:15" ht="38.25" x14ac:dyDescent="0.25">
      <c r="A344" s="2" t="s">
        <v>1446</v>
      </c>
      <c r="B344" s="2" t="s">
        <v>1226</v>
      </c>
      <c r="C344" s="2" t="s">
        <v>1432</v>
      </c>
      <c r="D344" s="2" t="s">
        <v>1447</v>
      </c>
      <c r="E344" s="2" t="s">
        <v>263</v>
      </c>
      <c r="F344" s="2" t="s">
        <v>1434</v>
      </c>
      <c r="G344" s="3" t="s">
        <v>49</v>
      </c>
      <c r="H344" s="2" t="s">
        <v>1275</v>
      </c>
      <c r="I344" s="2" t="s">
        <v>51</v>
      </c>
      <c r="J344" s="2" t="s">
        <v>52</v>
      </c>
      <c r="K344" s="2" t="s">
        <v>53</v>
      </c>
      <c r="L344" s="2" t="s">
        <v>53</v>
      </c>
      <c r="M344" s="2" t="s">
        <v>54</v>
      </c>
      <c r="N344" s="2" t="s">
        <v>53</v>
      </c>
      <c r="O344" s="2" t="s">
        <v>1423</v>
      </c>
    </row>
    <row r="345" spans="1:15" ht="51" x14ac:dyDescent="0.25">
      <c r="A345" s="2" t="s">
        <v>1448</v>
      </c>
      <c r="B345" s="2" t="s">
        <v>1226</v>
      </c>
      <c r="C345" s="2" t="s">
        <v>1432</v>
      </c>
      <c r="D345" s="2" t="s">
        <v>1449</v>
      </c>
      <c r="E345" s="2" t="s">
        <v>68</v>
      </c>
      <c r="F345" s="2" t="s">
        <v>1434</v>
      </c>
      <c r="G345" s="3" t="s">
        <v>49</v>
      </c>
      <c r="H345" s="2" t="s">
        <v>1275</v>
      </c>
      <c r="I345" s="2" t="s">
        <v>51</v>
      </c>
      <c r="J345" s="2" t="s">
        <v>52</v>
      </c>
      <c r="K345" s="2" t="s">
        <v>53</v>
      </c>
      <c r="L345" s="2" t="s">
        <v>53</v>
      </c>
      <c r="M345" s="2" t="s">
        <v>54</v>
      </c>
      <c r="N345" s="2" t="s">
        <v>53</v>
      </c>
      <c r="O345" s="2" t="s">
        <v>1423</v>
      </c>
    </row>
    <row r="346" spans="1:15" ht="51" x14ac:dyDescent="0.25">
      <c r="A346" s="2" t="s">
        <v>1450</v>
      </c>
      <c r="B346" s="2" t="s">
        <v>1226</v>
      </c>
      <c r="C346" s="2" t="s">
        <v>1432</v>
      </c>
      <c r="D346" s="2" t="s">
        <v>1451</v>
      </c>
      <c r="E346" s="2" t="s">
        <v>263</v>
      </c>
      <c r="F346" s="2" t="s">
        <v>1434</v>
      </c>
      <c r="G346" s="3" t="s">
        <v>21</v>
      </c>
      <c r="H346" s="2" t="s">
        <v>1452</v>
      </c>
      <c r="I346" s="2" t="s">
        <v>1436</v>
      </c>
      <c r="J346" s="2" t="s">
        <v>1437</v>
      </c>
      <c r="K346" s="2" t="s">
        <v>1438</v>
      </c>
      <c r="L346" s="2" t="s">
        <v>147</v>
      </c>
      <c r="M346" s="2" t="s">
        <v>1307</v>
      </c>
      <c r="N346" s="2" t="s">
        <v>28</v>
      </c>
      <c r="O346" s="2" t="s">
        <v>1423</v>
      </c>
    </row>
    <row r="347" spans="1:15" ht="38.25" x14ac:dyDescent="0.25">
      <c r="A347" s="2" t="s">
        <v>1453</v>
      </c>
      <c r="B347" s="2" t="s">
        <v>1226</v>
      </c>
      <c r="C347" s="2" t="s">
        <v>1432</v>
      </c>
      <c r="D347" s="2" t="s">
        <v>1454</v>
      </c>
      <c r="E347" s="2" t="s">
        <v>1294</v>
      </c>
      <c r="F347" s="2" t="s">
        <v>1434</v>
      </c>
      <c r="G347" s="3" t="s">
        <v>21</v>
      </c>
      <c r="H347" s="2" t="s">
        <v>1455</v>
      </c>
      <c r="I347" s="2" t="s">
        <v>1436</v>
      </c>
      <c r="J347" s="2" t="s">
        <v>1437</v>
      </c>
      <c r="K347" s="2" t="s">
        <v>1438</v>
      </c>
      <c r="L347" s="2" t="s">
        <v>147</v>
      </c>
      <c r="M347" s="2" t="s">
        <v>1307</v>
      </c>
      <c r="N347" s="2" t="s">
        <v>28</v>
      </c>
      <c r="O347" s="2" t="s">
        <v>1423</v>
      </c>
    </row>
    <row r="348" spans="1:15" ht="51" x14ac:dyDescent="0.25">
      <c r="A348" s="2" t="s">
        <v>1456</v>
      </c>
      <c r="B348" s="2" t="s">
        <v>1226</v>
      </c>
      <c r="C348" s="2" t="s">
        <v>1432</v>
      </c>
      <c r="D348" s="2" t="s">
        <v>1457</v>
      </c>
      <c r="E348" s="2" t="s">
        <v>1312</v>
      </c>
      <c r="F348" s="2" t="s">
        <v>1434</v>
      </c>
      <c r="G348" s="3" t="s">
        <v>85</v>
      </c>
      <c r="H348" s="2" t="s">
        <v>1458</v>
      </c>
      <c r="I348" s="2" t="s">
        <v>1436</v>
      </c>
      <c r="J348" s="2" t="s">
        <v>1437</v>
      </c>
      <c r="K348" s="2" t="s">
        <v>1438</v>
      </c>
      <c r="L348" s="2" t="s">
        <v>147</v>
      </c>
      <c r="M348" s="2" t="s">
        <v>1307</v>
      </c>
      <c r="N348" s="2" t="s">
        <v>77</v>
      </c>
      <c r="O348" s="2" t="s">
        <v>1423</v>
      </c>
    </row>
    <row r="349" spans="1:15" ht="51" x14ac:dyDescent="0.25">
      <c r="A349" s="2" t="s">
        <v>1459</v>
      </c>
      <c r="B349" s="2" t="s">
        <v>1226</v>
      </c>
      <c r="C349" s="2" t="s">
        <v>1432</v>
      </c>
      <c r="D349" s="2" t="s">
        <v>1460</v>
      </c>
      <c r="E349" s="2" t="s">
        <v>263</v>
      </c>
      <c r="F349" s="2" t="s">
        <v>1434</v>
      </c>
      <c r="G349" s="3" t="s">
        <v>49</v>
      </c>
      <c r="H349" s="2" t="s">
        <v>1275</v>
      </c>
      <c r="I349" s="2" t="s">
        <v>51</v>
      </c>
      <c r="J349" s="2" t="s">
        <v>52</v>
      </c>
      <c r="K349" s="2" t="s">
        <v>53</v>
      </c>
      <c r="L349" s="2" t="s">
        <v>53</v>
      </c>
      <c r="M349" s="2" t="s">
        <v>54</v>
      </c>
      <c r="N349" s="2" t="s">
        <v>53</v>
      </c>
      <c r="O349" s="2" t="s">
        <v>1423</v>
      </c>
    </row>
    <row r="350" spans="1:15" ht="38.25" x14ac:dyDescent="0.25">
      <c r="A350" s="2" t="s">
        <v>1461</v>
      </c>
      <c r="B350" s="2" t="s">
        <v>1226</v>
      </c>
      <c r="C350" s="2" t="s">
        <v>1432</v>
      </c>
      <c r="D350" s="2" t="s">
        <v>1462</v>
      </c>
      <c r="E350" s="2" t="s">
        <v>263</v>
      </c>
      <c r="F350" s="2" t="s">
        <v>1434</v>
      </c>
      <c r="G350" s="3" t="s">
        <v>49</v>
      </c>
      <c r="H350" s="2" t="s">
        <v>1275</v>
      </c>
      <c r="I350" s="2" t="s">
        <v>51</v>
      </c>
      <c r="J350" s="2" t="s">
        <v>52</v>
      </c>
      <c r="K350" s="2" t="s">
        <v>53</v>
      </c>
      <c r="L350" s="2" t="s">
        <v>53</v>
      </c>
      <c r="M350" s="2" t="s">
        <v>54</v>
      </c>
      <c r="N350" s="2" t="s">
        <v>53</v>
      </c>
      <c r="O350" s="2" t="s">
        <v>1423</v>
      </c>
    </row>
    <row r="351" spans="1:15" ht="38.25" x14ac:dyDescent="0.25">
      <c r="A351" s="2" t="s">
        <v>1463</v>
      </c>
      <c r="B351" s="2" t="s">
        <v>1226</v>
      </c>
      <c r="C351" s="2" t="s">
        <v>1432</v>
      </c>
      <c r="D351" s="2" t="s">
        <v>1464</v>
      </c>
      <c r="E351" s="2" t="s">
        <v>263</v>
      </c>
      <c r="F351" s="2" t="s">
        <v>1434</v>
      </c>
      <c r="G351" s="3" t="s">
        <v>49</v>
      </c>
      <c r="H351" s="2" t="s">
        <v>1275</v>
      </c>
      <c r="I351" s="2" t="s">
        <v>51</v>
      </c>
      <c r="J351" s="2" t="s">
        <v>52</v>
      </c>
      <c r="K351" s="2" t="s">
        <v>53</v>
      </c>
      <c r="L351" s="2" t="s">
        <v>53</v>
      </c>
      <c r="M351" s="2" t="s">
        <v>54</v>
      </c>
      <c r="N351" s="2" t="s">
        <v>53</v>
      </c>
      <c r="O351" s="2" t="s">
        <v>1423</v>
      </c>
    </row>
    <row r="352" spans="1:15" ht="63.75" x14ac:dyDescent="0.25">
      <c r="A352" s="2" t="s">
        <v>1465</v>
      </c>
      <c r="B352" s="2" t="s">
        <v>1226</v>
      </c>
      <c r="C352" s="2" t="s">
        <v>1432</v>
      </c>
      <c r="D352" s="2" t="s">
        <v>1466</v>
      </c>
      <c r="E352" s="2" t="s">
        <v>263</v>
      </c>
      <c r="F352" s="2" t="s">
        <v>1434</v>
      </c>
      <c r="G352" s="3" t="s">
        <v>85</v>
      </c>
      <c r="H352" s="2" t="s">
        <v>1467</v>
      </c>
      <c r="I352" s="2" t="s">
        <v>1436</v>
      </c>
      <c r="J352" s="2" t="s">
        <v>1437</v>
      </c>
      <c r="K352" s="2" t="s">
        <v>1438</v>
      </c>
      <c r="L352" s="2" t="s">
        <v>147</v>
      </c>
      <c r="M352" s="2" t="s">
        <v>1307</v>
      </c>
      <c r="N352" s="2" t="s">
        <v>77</v>
      </c>
      <c r="O352" s="2" t="s">
        <v>1423</v>
      </c>
    </row>
    <row r="353" spans="1:15" ht="38.25" x14ac:dyDescent="0.25">
      <c r="A353" s="2" t="s">
        <v>1468</v>
      </c>
      <c r="B353" s="2" t="s">
        <v>1226</v>
      </c>
      <c r="C353" s="2" t="s">
        <v>1432</v>
      </c>
      <c r="D353" s="2" t="s">
        <v>1469</v>
      </c>
      <c r="E353" s="2" t="s">
        <v>263</v>
      </c>
      <c r="F353" s="2" t="s">
        <v>1434</v>
      </c>
      <c r="G353" s="3" t="s">
        <v>49</v>
      </c>
      <c r="H353" s="2" t="s">
        <v>1275</v>
      </c>
      <c r="I353" s="2" t="s">
        <v>51</v>
      </c>
      <c r="J353" s="2" t="s">
        <v>52</v>
      </c>
      <c r="K353" s="2" t="s">
        <v>53</v>
      </c>
      <c r="L353" s="2" t="s">
        <v>53</v>
      </c>
      <c r="M353" s="2" t="s">
        <v>54</v>
      </c>
      <c r="N353" s="2" t="s">
        <v>53</v>
      </c>
      <c r="O353" s="2" t="s">
        <v>1423</v>
      </c>
    </row>
    <row r="354" spans="1:15" ht="51" x14ac:dyDescent="0.25">
      <c r="A354" s="2" t="s">
        <v>1470</v>
      </c>
      <c r="B354" s="2" t="s">
        <v>1226</v>
      </c>
      <c r="C354" s="2" t="s">
        <v>1432</v>
      </c>
      <c r="D354" s="2" t="s">
        <v>1471</v>
      </c>
      <c r="E354" s="2" t="s">
        <v>263</v>
      </c>
      <c r="F354" s="2" t="s">
        <v>1377</v>
      </c>
      <c r="G354" s="3" t="s">
        <v>85</v>
      </c>
      <c r="H354" s="2" t="s">
        <v>1472</v>
      </c>
      <c r="I354" s="2" t="s">
        <v>1379</v>
      </c>
      <c r="J354" s="2" t="s">
        <v>1380</v>
      </c>
      <c r="K354" s="2" t="s">
        <v>1381</v>
      </c>
      <c r="L354" s="2" t="s">
        <v>1382</v>
      </c>
      <c r="M354" s="2" t="s">
        <v>1383</v>
      </c>
      <c r="N354" s="2" t="s">
        <v>77</v>
      </c>
      <c r="O354" s="2" t="s">
        <v>1423</v>
      </c>
    </row>
    <row r="355" spans="1:15" ht="51" x14ac:dyDescent="0.25">
      <c r="A355" s="2" t="s">
        <v>1473</v>
      </c>
      <c r="B355" s="2" t="s">
        <v>1226</v>
      </c>
      <c r="C355" s="2" t="s">
        <v>1432</v>
      </c>
      <c r="D355" s="2" t="s">
        <v>1474</v>
      </c>
      <c r="E355" s="2" t="s">
        <v>263</v>
      </c>
      <c r="F355" s="2" t="s">
        <v>1434</v>
      </c>
      <c r="G355" s="3" t="s">
        <v>49</v>
      </c>
      <c r="H355" s="2" t="s">
        <v>1275</v>
      </c>
      <c r="I355" s="2" t="s">
        <v>51</v>
      </c>
      <c r="J355" s="2" t="s">
        <v>52</v>
      </c>
      <c r="K355" s="2" t="s">
        <v>53</v>
      </c>
      <c r="L355" s="2" t="s">
        <v>53</v>
      </c>
      <c r="M355" s="2" t="s">
        <v>54</v>
      </c>
      <c r="N355" s="2" t="s">
        <v>53</v>
      </c>
      <c r="O355" s="2" t="s">
        <v>1423</v>
      </c>
    </row>
    <row r="356" spans="1:15" ht="51" x14ac:dyDescent="0.25">
      <c r="A356" s="2" t="s">
        <v>1475</v>
      </c>
      <c r="B356" s="2" t="s">
        <v>1226</v>
      </c>
      <c r="C356" s="2" t="s">
        <v>1432</v>
      </c>
      <c r="D356" s="2" t="s">
        <v>1476</v>
      </c>
      <c r="E356" s="2" t="s">
        <v>263</v>
      </c>
      <c r="F356" s="2" t="s">
        <v>1434</v>
      </c>
      <c r="G356" s="3" t="s">
        <v>49</v>
      </c>
      <c r="H356" s="2" t="s">
        <v>1275</v>
      </c>
      <c r="I356" s="2" t="s">
        <v>51</v>
      </c>
      <c r="J356" s="2" t="s">
        <v>52</v>
      </c>
      <c r="K356" s="2" t="s">
        <v>53</v>
      </c>
      <c r="L356" s="2" t="s">
        <v>53</v>
      </c>
      <c r="M356" s="2" t="s">
        <v>54</v>
      </c>
      <c r="N356" s="2" t="s">
        <v>53</v>
      </c>
      <c r="O356" s="2" t="s">
        <v>1423</v>
      </c>
    </row>
    <row r="357" spans="1:15" ht="51" x14ac:dyDescent="0.25">
      <c r="A357" s="2" t="s">
        <v>1477</v>
      </c>
      <c r="B357" s="2" t="s">
        <v>1226</v>
      </c>
      <c r="C357" s="2" t="s">
        <v>1432</v>
      </c>
      <c r="D357" s="2" t="s">
        <v>1478</v>
      </c>
      <c r="E357" s="2" t="s">
        <v>263</v>
      </c>
      <c r="F357" s="2" t="s">
        <v>1434</v>
      </c>
      <c r="G357" s="3" t="s">
        <v>49</v>
      </c>
      <c r="H357" s="2" t="s">
        <v>1275</v>
      </c>
      <c r="I357" s="2" t="s">
        <v>51</v>
      </c>
      <c r="J357" s="2" t="s">
        <v>52</v>
      </c>
      <c r="K357" s="2" t="s">
        <v>53</v>
      </c>
      <c r="L357" s="2" t="s">
        <v>53</v>
      </c>
      <c r="M357" s="2" t="s">
        <v>54</v>
      </c>
      <c r="N357" s="2" t="s">
        <v>53</v>
      </c>
      <c r="O357" s="2" t="s">
        <v>1423</v>
      </c>
    </row>
    <row r="358" spans="1:15" ht="63.75" x14ac:dyDescent="0.25">
      <c r="A358" s="2" t="s">
        <v>1479</v>
      </c>
      <c r="B358" s="2" t="s">
        <v>1226</v>
      </c>
      <c r="C358" s="2" t="s">
        <v>1432</v>
      </c>
      <c r="D358" s="2" t="s">
        <v>1480</v>
      </c>
      <c r="E358" s="2" t="s">
        <v>263</v>
      </c>
      <c r="F358" s="2" t="s">
        <v>1434</v>
      </c>
      <c r="G358" s="3" t="s">
        <v>49</v>
      </c>
      <c r="H358" s="2" t="s">
        <v>1275</v>
      </c>
      <c r="I358" s="2" t="s">
        <v>51</v>
      </c>
      <c r="J358" s="2" t="s">
        <v>52</v>
      </c>
      <c r="K358" s="2" t="s">
        <v>53</v>
      </c>
      <c r="L358" s="2" t="s">
        <v>53</v>
      </c>
      <c r="M358" s="2" t="s">
        <v>54</v>
      </c>
      <c r="N358" s="2" t="s">
        <v>53</v>
      </c>
      <c r="O358" s="2" t="s">
        <v>1423</v>
      </c>
    </row>
    <row r="359" spans="1:15" ht="38.25" x14ac:dyDescent="0.25">
      <c r="A359" s="2" t="s">
        <v>1481</v>
      </c>
      <c r="B359" s="2" t="s">
        <v>1226</v>
      </c>
      <c r="C359" s="2" t="s">
        <v>1432</v>
      </c>
      <c r="D359" s="2" t="s">
        <v>1482</v>
      </c>
      <c r="E359" s="2" t="s">
        <v>263</v>
      </c>
      <c r="F359" s="2" t="s">
        <v>1434</v>
      </c>
      <c r="G359" s="3" t="s">
        <v>49</v>
      </c>
      <c r="H359" s="2" t="s">
        <v>1275</v>
      </c>
      <c r="I359" s="2" t="s">
        <v>51</v>
      </c>
      <c r="J359" s="2" t="s">
        <v>52</v>
      </c>
      <c r="K359" s="2" t="s">
        <v>53</v>
      </c>
      <c r="L359" s="2" t="s">
        <v>53</v>
      </c>
      <c r="M359" s="2" t="s">
        <v>54</v>
      </c>
      <c r="N359" s="2" t="s">
        <v>53</v>
      </c>
      <c r="O359" s="2" t="s">
        <v>1423</v>
      </c>
    </row>
    <row r="360" spans="1:15" ht="38.25" x14ac:dyDescent="0.25">
      <c r="A360" s="2" t="s">
        <v>1483</v>
      </c>
      <c r="B360" s="2" t="s">
        <v>1226</v>
      </c>
      <c r="C360" s="2" t="s">
        <v>1484</v>
      </c>
      <c r="D360" s="2" t="s">
        <v>1485</v>
      </c>
      <c r="E360" s="2" t="s">
        <v>1486</v>
      </c>
      <c r="F360" s="2" t="s">
        <v>1422</v>
      </c>
      <c r="G360" s="3" t="s">
        <v>49</v>
      </c>
      <c r="H360" s="2" t="s">
        <v>1275</v>
      </c>
      <c r="I360" s="2" t="s">
        <v>51</v>
      </c>
      <c r="J360" s="2" t="s">
        <v>52</v>
      </c>
      <c r="K360" s="2" t="s">
        <v>53</v>
      </c>
      <c r="L360" s="2" t="s">
        <v>53</v>
      </c>
      <c r="M360" s="2" t="s">
        <v>54</v>
      </c>
      <c r="N360" s="2" t="s">
        <v>53</v>
      </c>
      <c r="O360" s="2" t="s">
        <v>1423</v>
      </c>
    </row>
    <row r="361" spans="1:15" ht="76.5" x14ac:dyDescent="0.25">
      <c r="A361" s="2" t="s">
        <v>1487</v>
      </c>
      <c r="B361" s="2" t="s">
        <v>1226</v>
      </c>
      <c r="C361" s="2" t="s">
        <v>1488</v>
      </c>
      <c r="D361" s="2" t="s">
        <v>1489</v>
      </c>
      <c r="E361" s="2" t="s">
        <v>1486</v>
      </c>
      <c r="F361" s="2" t="s">
        <v>1434</v>
      </c>
      <c r="G361" s="3" t="s">
        <v>21</v>
      </c>
      <c r="H361" s="2" t="s">
        <v>1490</v>
      </c>
      <c r="I361" s="2" t="s">
        <v>1436</v>
      </c>
      <c r="J361" s="2" t="s">
        <v>1437</v>
      </c>
      <c r="K361" s="2" t="s">
        <v>1438</v>
      </c>
      <c r="L361" s="2" t="s">
        <v>147</v>
      </c>
      <c r="M361" s="2" t="s">
        <v>1307</v>
      </c>
      <c r="N361" s="2" t="s">
        <v>28</v>
      </c>
      <c r="O361" s="2" t="s">
        <v>1423</v>
      </c>
    </row>
    <row r="362" spans="1:15" ht="63.75" x14ac:dyDescent="0.25">
      <c r="A362" s="2" t="s">
        <v>1491</v>
      </c>
      <c r="B362" s="2" t="s">
        <v>1226</v>
      </c>
      <c r="C362" s="2" t="s">
        <v>1488</v>
      </c>
      <c r="D362" s="2" t="s">
        <v>1492</v>
      </c>
      <c r="E362" s="2" t="s">
        <v>1486</v>
      </c>
      <c r="F362" s="2" t="s">
        <v>1434</v>
      </c>
      <c r="G362" s="3" t="s">
        <v>49</v>
      </c>
      <c r="H362" s="2" t="s">
        <v>1275</v>
      </c>
      <c r="I362" s="2" t="s">
        <v>51</v>
      </c>
      <c r="J362" s="2" t="s">
        <v>52</v>
      </c>
      <c r="K362" s="2" t="s">
        <v>53</v>
      </c>
      <c r="L362" s="2" t="s">
        <v>53</v>
      </c>
      <c r="M362" s="2" t="s">
        <v>54</v>
      </c>
      <c r="N362" s="2" t="s">
        <v>53</v>
      </c>
      <c r="O362" s="2" t="s">
        <v>1423</v>
      </c>
    </row>
    <row r="363" spans="1:15" ht="63.75" x14ac:dyDescent="0.25">
      <c r="A363" s="2" t="s">
        <v>1493</v>
      </c>
      <c r="B363" s="2" t="s">
        <v>1226</v>
      </c>
      <c r="C363" s="2" t="s">
        <v>1488</v>
      </c>
      <c r="D363" s="2" t="s">
        <v>1494</v>
      </c>
      <c r="E363" s="2" t="s">
        <v>1486</v>
      </c>
      <c r="F363" s="2" t="s">
        <v>1434</v>
      </c>
      <c r="G363" s="3" t="s">
        <v>21</v>
      </c>
      <c r="H363" s="2" t="s">
        <v>1495</v>
      </c>
      <c r="I363" s="2" t="s">
        <v>1436</v>
      </c>
      <c r="J363" s="2" t="s">
        <v>1437</v>
      </c>
      <c r="K363" s="2" t="s">
        <v>1438</v>
      </c>
      <c r="L363" s="2" t="s">
        <v>147</v>
      </c>
      <c r="M363" s="2" t="s">
        <v>1307</v>
      </c>
      <c r="N363" s="2" t="s">
        <v>28</v>
      </c>
      <c r="O363" s="2" t="s">
        <v>1423</v>
      </c>
    </row>
    <row r="364" spans="1:15" ht="63.75" x14ac:dyDescent="0.25">
      <c r="A364" s="2" t="s">
        <v>1496</v>
      </c>
      <c r="B364" s="2" t="s">
        <v>1226</v>
      </c>
      <c r="C364" s="2" t="s">
        <v>1488</v>
      </c>
      <c r="D364" s="2" t="s">
        <v>1497</v>
      </c>
      <c r="E364" s="2" t="s">
        <v>1486</v>
      </c>
      <c r="F364" s="2" t="s">
        <v>1377</v>
      </c>
      <c r="G364" s="3" t="s">
        <v>85</v>
      </c>
      <c r="H364" s="2" t="s">
        <v>1498</v>
      </c>
      <c r="I364" s="2" t="s">
        <v>1379</v>
      </c>
      <c r="J364" s="2" t="s">
        <v>1380</v>
      </c>
      <c r="K364" s="2" t="s">
        <v>1381</v>
      </c>
      <c r="L364" s="2" t="s">
        <v>1382</v>
      </c>
      <c r="M364" s="2" t="s">
        <v>1383</v>
      </c>
      <c r="N364" s="2" t="s">
        <v>77</v>
      </c>
      <c r="O364" s="2" t="s">
        <v>1423</v>
      </c>
    </row>
    <row r="365" spans="1:15" ht="51" x14ac:dyDescent="0.25">
      <c r="A365" s="2" t="s">
        <v>1499</v>
      </c>
      <c r="B365" s="2" t="s">
        <v>1226</v>
      </c>
      <c r="C365" s="2" t="s">
        <v>1500</v>
      </c>
      <c r="D365" s="2" t="s">
        <v>1501</v>
      </c>
      <c r="E365" s="2" t="s">
        <v>942</v>
      </c>
      <c r="F365" s="2" t="s">
        <v>1377</v>
      </c>
      <c r="G365" s="3" t="s">
        <v>21</v>
      </c>
      <c r="H365" s="2" t="s">
        <v>1502</v>
      </c>
      <c r="I365" s="2" t="s">
        <v>1379</v>
      </c>
      <c r="J365" s="2" t="s">
        <v>1380</v>
      </c>
      <c r="K365" s="2" t="s">
        <v>1381</v>
      </c>
      <c r="L365" s="2" t="s">
        <v>1382</v>
      </c>
      <c r="M365" s="2" t="s">
        <v>1383</v>
      </c>
      <c r="N365" s="2" t="s">
        <v>28</v>
      </c>
      <c r="O365" s="2" t="s">
        <v>1423</v>
      </c>
    </row>
    <row r="366" spans="1:15" ht="76.5" x14ac:dyDescent="0.25">
      <c r="A366" s="2" t="s">
        <v>1503</v>
      </c>
      <c r="B366" s="2" t="s">
        <v>1226</v>
      </c>
      <c r="C366" s="2" t="s">
        <v>1500</v>
      </c>
      <c r="D366" s="2" t="s">
        <v>1504</v>
      </c>
      <c r="E366" s="2" t="s">
        <v>942</v>
      </c>
      <c r="F366" s="2" t="s">
        <v>1434</v>
      </c>
      <c r="G366" s="3" t="s">
        <v>49</v>
      </c>
      <c r="H366" s="2" t="s">
        <v>1275</v>
      </c>
      <c r="I366" s="2" t="s">
        <v>51</v>
      </c>
      <c r="J366" s="2" t="s">
        <v>52</v>
      </c>
      <c r="K366" s="2" t="s">
        <v>53</v>
      </c>
      <c r="L366" s="2" t="s">
        <v>53</v>
      </c>
      <c r="M366" s="2" t="s">
        <v>54</v>
      </c>
      <c r="N366" s="2" t="s">
        <v>53</v>
      </c>
      <c r="O366" s="2" t="s">
        <v>1423</v>
      </c>
    </row>
    <row r="367" spans="1:15" ht="51" x14ac:dyDescent="0.25">
      <c r="A367" s="2" t="s">
        <v>1505</v>
      </c>
      <c r="B367" s="2" t="s">
        <v>1226</v>
      </c>
      <c r="C367" s="2" t="s">
        <v>1500</v>
      </c>
      <c r="D367" s="2" t="s">
        <v>1506</v>
      </c>
      <c r="E367" s="2" t="s">
        <v>942</v>
      </c>
      <c r="F367" s="2" t="s">
        <v>1434</v>
      </c>
      <c r="G367" s="3" t="s">
        <v>49</v>
      </c>
      <c r="H367" s="2" t="s">
        <v>1275</v>
      </c>
      <c r="I367" s="2" t="s">
        <v>51</v>
      </c>
      <c r="J367" s="2" t="s">
        <v>52</v>
      </c>
      <c r="K367" s="2" t="s">
        <v>53</v>
      </c>
      <c r="L367" s="2" t="s">
        <v>53</v>
      </c>
      <c r="M367" s="2" t="s">
        <v>54</v>
      </c>
      <c r="N367" s="2" t="s">
        <v>53</v>
      </c>
      <c r="O367" s="2" t="s">
        <v>1423</v>
      </c>
    </row>
    <row r="368" spans="1:15" ht="38.25" x14ac:dyDescent="0.25">
      <c r="A368" s="2" t="s">
        <v>1507</v>
      </c>
      <c r="B368" s="2" t="s">
        <v>1226</v>
      </c>
      <c r="C368" s="2" t="s">
        <v>1508</v>
      </c>
      <c r="D368" s="2" t="s">
        <v>1509</v>
      </c>
      <c r="E368" s="2" t="s">
        <v>263</v>
      </c>
      <c r="F368" s="2" t="s">
        <v>1377</v>
      </c>
      <c r="G368" s="3" t="s">
        <v>70</v>
      </c>
      <c r="H368" s="2" t="s">
        <v>1510</v>
      </c>
      <c r="I368" s="2" t="s">
        <v>1379</v>
      </c>
      <c r="J368" s="2" t="s">
        <v>1380</v>
      </c>
      <c r="K368" s="2" t="s">
        <v>1381</v>
      </c>
      <c r="L368" s="2" t="s">
        <v>1382</v>
      </c>
      <c r="M368" s="2" t="s">
        <v>1383</v>
      </c>
      <c r="N368" s="2" t="s">
        <v>77</v>
      </c>
      <c r="O368" s="2"/>
    </row>
    <row r="369" spans="1:15" ht="38.25" x14ac:dyDescent="0.25">
      <c r="A369" s="2" t="s">
        <v>1511</v>
      </c>
      <c r="B369" s="2" t="s">
        <v>1226</v>
      </c>
      <c r="C369" s="2" t="s">
        <v>1508</v>
      </c>
      <c r="D369" s="2" t="s">
        <v>1512</v>
      </c>
      <c r="E369" s="2" t="s">
        <v>1294</v>
      </c>
      <c r="F369" s="2" t="s">
        <v>1377</v>
      </c>
      <c r="G369" s="3" t="s">
        <v>85</v>
      </c>
      <c r="H369" s="2" t="s">
        <v>1513</v>
      </c>
      <c r="I369" s="2" t="s">
        <v>1379</v>
      </c>
      <c r="J369" s="2" t="s">
        <v>1380</v>
      </c>
      <c r="K369" s="2" t="s">
        <v>1381</v>
      </c>
      <c r="L369" s="2" t="s">
        <v>1382</v>
      </c>
      <c r="M369" s="2" t="s">
        <v>1383</v>
      </c>
      <c r="N369" s="2" t="s">
        <v>77</v>
      </c>
      <c r="O369" s="2"/>
    </row>
    <row r="370" spans="1:15" ht="51" x14ac:dyDescent="0.25">
      <c r="A370" s="2" t="s">
        <v>1514</v>
      </c>
      <c r="B370" s="2" t="s">
        <v>1226</v>
      </c>
      <c r="C370" s="2" t="s">
        <v>1508</v>
      </c>
      <c r="D370" s="2" t="s">
        <v>1515</v>
      </c>
      <c r="E370" s="2" t="s">
        <v>263</v>
      </c>
      <c r="F370" s="2" t="s">
        <v>1377</v>
      </c>
      <c r="G370" s="3" t="s">
        <v>85</v>
      </c>
      <c r="H370" s="2" t="s">
        <v>1516</v>
      </c>
      <c r="I370" s="2" t="s">
        <v>1379</v>
      </c>
      <c r="J370" s="2" t="s">
        <v>1380</v>
      </c>
      <c r="K370" s="2" t="s">
        <v>1381</v>
      </c>
      <c r="L370" s="2" t="s">
        <v>1382</v>
      </c>
      <c r="M370" s="2" t="s">
        <v>1383</v>
      </c>
      <c r="N370" s="2" t="s">
        <v>77</v>
      </c>
      <c r="O370" s="2"/>
    </row>
    <row r="371" spans="1:15" ht="76.5" x14ac:dyDescent="0.25">
      <c r="A371" s="2" t="s">
        <v>1517</v>
      </c>
      <c r="B371" s="2" t="s">
        <v>1226</v>
      </c>
      <c r="C371" s="2" t="s">
        <v>1508</v>
      </c>
      <c r="D371" s="2" t="s">
        <v>1518</v>
      </c>
      <c r="E371" s="2" t="s">
        <v>263</v>
      </c>
      <c r="F371" s="2" t="s">
        <v>1377</v>
      </c>
      <c r="G371" s="3" t="s">
        <v>85</v>
      </c>
      <c r="H371" s="2" t="s">
        <v>1519</v>
      </c>
      <c r="I371" s="2" t="s">
        <v>1379</v>
      </c>
      <c r="J371" s="2" t="s">
        <v>1380</v>
      </c>
      <c r="K371" s="2" t="s">
        <v>1381</v>
      </c>
      <c r="L371" s="2" t="s">
        <v>1382</v>
      </c>
      <c r="M371" s="2" t="s">
        <v>1383</v>
      </c>
      <c r="N371" s="2" t="s">
        <v>77</v>
      </c>
      <c r="O371" s="2"/>
    </row>
    <row r="372" spans="1:15" ht="38.25" x14ac:dyDescent="0.25">
      <c r="A372" s="2" t="s">
        <v>1520</v>
      </c>
      <c r="B372" s="2" t="s">
        <v>1226</v>
      </c>
      <c r="C372" s="2" t="s">
        <v>1508</v>
      </c>
      <c r="D372" s="2" t="s">
        <v>1521</v>
      </c>
      <c r="E372" s="2" t="s">
        <v>263</v>
      </c>
      <c r="F372" s="2" t="s">
        <v>1377</v>
      </c>
      <c r="G372" s="3" t="s">
        <v>21</v>
      </c>
      <c r="H372" s="2" t="s">
        <v>1522</v>
      </c>
      <c r="I372" s="2" t="s">
        <v>1379</v>
      </c>
      <c r="J372" s="2" t="s">
        <v>1380</v>
      </c>
      <c r="K372" s="2" t="s">
        <v>1381</v>
      </c>
      <c r="L372" s="2" t="s">
        <v>1382</v>
      </c>
      <c r="M372" s="2" t="s">
        <v>1383</v>
      </c>
      <c r="N372" s="2" t="s">
        <v>28</v>
      </c>
      <c r="O372" s="2"/>
    </row>
    <row r="373" spans="1:15" ht="38.25" x14ac:dyDescent="0.25">
      <c r="A373" s="2" t="s">
        <v>1523</v>
      </c>
      <c r="B373" s="2" t="s">
        <v>1226</v>
      </c>
      <c r="C373" s="2" t="s">
        <v>1508</v>
      </c>
      <c r="D373" s="2" t="s">
        <v>1524</v>
      </c>
      <c r="E373" s="2" t="s">
        <v>1294</v>
      </c>
      <c r="F373" s="2" t="s">
        <v>1377</v>
      </c>
      <c r="G373" s="3" t="s">
        <v>21</v>
      </c>
      <c r="H373" s="2" t="s">
        <v>1525</v>
      </c>
      <c r="I373" s="2" t="s">
        <v>1379</v>
      </c>
      <c r="J373" s="2" t="s">
        <v>1380</v>
      </c>
      <c r="K373" s="2" t="s">
        <v>1381</v>
      </c>
      <c r="L373" s="2" t="s">
        <v>1382</v>
      </c>
      <c r="M373" s="2" t="s">
        <v>1383</v>
      </c>
      <c r="N373" s="2" t="s">
        <v>28</v>
      </c>
      <c r="O373" s="2"/>
    </row>
    <row r="374" spans="1:15" ht="38.25" x14ac:dyDescent="0.25">
      <c r="A374" s="2" t="s">
        <v>1526</v>
      </c>
      <c r="B374" s="2" t="s">
        <v>1226</v>
      </c>
      <c r="C374" s="2" t="s">
        <v>1508</v>
      </c>
      <c r="D374" s="2" t="s">
        <v>1527</v>
      </c>
      <c r="E374" s="2" t="s">
        <v>263</v>
      </c>
      <c r="F374" s="2" t="s">
        <v>1377</v>
      </c>
      <c r="G374" s="3" t="s">
        <v>21</v>
      </c>
      <c r="H374" s="2" t="s">
        <v>1525</v>
      </c>
      <c r="I374" s="2" t="s">
        <v>1379</v>
      </c>
      <c r="J374" s="2" t="s">
        <v>1380</v>
      </c>
      <c r="K374" s="2" t="s">
        <v>1381</v>
      </c>
      <c r="L374" s="2" t="s">
        <v>1382</v>
      </c>
      <c r="M374" s="2" t="s">
        <v>1383</v>
      </c>
      <c r="N374" s="2" t="s">
        <v>28</v>
      </c>
      <c r="O374" s="2"/>
    </row>
    <row r="375" spans="1:15" ht="38.25" x14ac:dyDescent="0.25">
      <c r="A375" s="2" t="s">
        <v>1528</v>
      </c>
      <c r="B375" s="2" t="s">
        <v>1226</v>
      </c>
      <c r="C375" s="2" t="s">
        <v>1508</v>
      </c>
      <c r="D375" s="2" t="s">
        <v>1529</v>
      </c>
      <c r="E375" s="2" t="s">
        <v>263</v>
      </c>
      <c r="F375" s="2" t="s">
        <v>1377</v>
      </c>
      <c r="G375" s="3" t="s">
        <v>85</v>
      </c>
      <c r="H375" s="2" t="s">
        <v>1530</v>
      </c>
      <c r="I375" s="2" t="s">
        <v>1379</v>
      </c>
      <c r="J375" s="2" t="s">
        <v>1380</v>
      </c>
      <c r="K375" s="2" t="s">
        <v>1381</v>
      </c>
      <c r="L375" s="2" t="s">
        <v>1382</v>
      </c>
      <c r="M375" s="2" t="s">
        <v>1383</v>
      </c>
      <c r="N375" s="2" t="s">
        <v>77</v>
      </c>
      <c r="O375" s="2"/>
    </row>
    <row r="376" spans="1:15" ht="38.25" x14ac:dyDescent="0.25">
      <c r="A376" s="2" t="s">
        <v>1531</v>
      </c>
      <c r="B376" s="2" t="s">
        <v>1226</v>
      </c>
      <c r="C376" s="2" t="s">
        <v>1508</v>
      </c>
      <c r="D376" s="2" t="s">
        <v>1532</v>
      </c>
      <c r="E376" s="2" t="s">
        <v>263</v>
      </c>
      <c r="F376" s="2" t="s">
        <v>1377</v>
      </c>
      <c r="G376" s="3" t="s">
        <v>21</v>
      </c>
      <c r="H376" s="2" t="s">
        <v>1533</v>
      </c>
      <c r="I376" s="2" t="s">
        <v>1379</v>
      </c>
      <c r="J376" s="2" t="s">
        <v>1380</v>
      </c>
      <c r="K376" s="2" t="s">
        <v>1381</v>
      </c>
      <c r="L376" s="2" t="s">
        <v>1382</v>
      </c>
      <c r="M376" s="2" t="s">
        <v>1383</v>
      </c>
      <c r="N376" s="2" t="s">
        <v>28</v>
      </c>
      <c r="O376" s="2"/>
    </row>
    <row r="377" spans="1:15" ht="38.25" x14ac:dyDescent="0.25">
      <c r="A377" s="2" t="s">
        <v>1534</v>
      </c>
      <c r="B377" s="2" t="s">
        <v>1226</v>
      </c>
      <c r="C377" s="2" t="s">
        <v>1508</v>
      </c>
      <c r="D377" s="2" t="s">
        <v>1535</v>
      </c>
      <c r="E377" s="2" t="s">
        <v>263</v>
      </c>
      <c r="F377" s="2" t="s">
        <v>1377</v>
      </c>
      <c r="G377" s="3" t="s">
        <v>21</v>
      </c>
      <c r="H377" s="2" t="s">
        <v>1533</v>
      </c>
      <c r="I377" s="2" t="s">
        <v>1379</v>
      </c>
      <c r="J377" s="2" t="s">
        <v>1380</v>
      </c>
      <c r="K377" s="2" t="s">
        <v>1381</v>
      </c>
      <c r="L377" s="2" t="s">
        <v>1382</v>
      </c>
      <c r="M377" s="2" t="s">
        <v>1383</v>
      </c>
      <c r="N377" s="2" t="s">
        <v>28</v>
      </c>
      <c r="O377" s="2"/>
    </row>
    <row r="378" spans="1:15" ht="38.25" x14ac:dyDescent="0.25">
      <c r="A378" s="2" t="s">
        <v>1536</v>
      </c>
      <c r="B378" s="2" t="s">
        <v>1226</v>
      </c>
      <c r="C378" s="2" t="s">
        <v>1508</v>
      </c>
      <c r="D378" s="2" t="s">
        <v>1537</v>
      </c>
      <c r="E378" s="2" t="s">
        <v>263</v>
      </c>
      <c r="F378" s="2" t="s">
        <v>1377</v>
      </c>
      <c r="G378" s="3" t="s">
        <v>21</v>
      </c>
      <c r="H378" s="2" t="s">
        <v>1525</v>
      </c>
      <c r="I378" s="2" t="s">
        <v>1379</v>
      </c>
      <c r="J378" s="2" t="s">
        <v>1380</v>
      </c>
      <c r="K378" s="2" t="s">
        <v>1381</v>
      </c>
      <c r="L378" s="2" t="s">
        <v>1382</v>
      </c>
      <c r="M378" s="2" t="s">
        <v>1383</v>
      </c>
      <c r="N378" s="2" t="s">
        <v>28</v>
      </c>
      <c r="O378" s="2"/>
    </row>
    <row r="379" spans="1:15" ht="38.25" x14ac:dyDescent="0.25">
      <c r="A379" s="2" t="s">
        <v>1538</v>
      </c>
      <c r="B379" s="2" t="s">
        <v>1226</v>
      </c>
      <c r="C379" s="2" t="s">
        <v>1508</v>
      </c>
      <c r="D379" s="2" t="s">
        <v>1539</v>
      </c>
      <c r="E379" s="2" t="s">
        <v>1312</v>
      </c>
      <c r="F379" s="2" t="s">
        <v>1377</v>
      </c>
      <c r="G379" s="3" t="s">
        <v>21</v>
      </c>
      <c r="H379" s="2" t="s">
        <v>1525</v>
      </c>
      <c r="I379" s="2" t="s">
        <v>1379</v>
      </c>
      <c r="J379" s="2" t="s">
        <v>1380</v>
      </c>
      <c r="K379" s="2" t="s">
        <v>1381</v>
      </c>
      <c r="L379" s="2" t="s">
        <v>1382</v>
      </c>
      <c r="M379" s="2" t="s">
        <v>1383</v>
      </c>
      <c r="N379" s="2" t="s">
        <v>28</v>
      </c>
      <c r="O379" s="2"/>
    </row>
    <row r="380" spans="1:15" ht="38.25" x14ac:dyDescent="0.25">
      <c r="A380" s="2" t="s">
        <v>1540</v>
      </c>
      <c r="B380" s="2" t="s">
        <v>1226</v>
      </c>
      <c r="C380" s="2" t="s">
        <v>1541</v>
      </c>
      <c r="D380" s="2" t="s">
        <v>1542</v>
      </c>
      <c r="E380" s="2" t="s">
        <v>263</v>
      </c>
      <c r="F380" s="2" t="s">
        <v>1543</v>
      </c>
      <c r="G380" s="3" t="s">
        <v>49</v>
      </c>
      <c r="H380" s="2" t="s">
        <v>1275</v>
      </c>
      <c r="I380" s="2" t="s">
        <v>51</v>
      </c>
      <c r="J380" s="2" t="s">
        <v>52</v>
      </c>
      <c r="K380" s="2" t="s">
        <v>53</v>
      </c>
      <c r="L380" s="2" t="s">
        <v>53</v>
      </c>
      <c r="M380" s="2" t="s">
        <v>54</v>
      </c>
      <c r="N380" s="2" t="s">
        <v>53</v>
      </c>
      <c r="O380" s="2"/>
    </row>
    <row r="381" spans="1:15" ht="38.25" x14ac:dyDescent="0.25">
      <c r="A381" s="2" t="s">
        <v>1544</v>
      </c>
      <c r="B381" s="2" t="s">
        <v>1226</v>
      </c>
      <c r="C381" s="2" t="s">
        <v>1541</v>
      </c>
      <c r="D381" s="2" t="s">
        <v>1545</v>
      </c>
      <c r="E381" s="2" t="s">
        <v>1294</v>
      </c>
      <c r="F381" s="2" t="s">
        <v>1543</v>
      </c>
      <c r="G381" s="3" t="s">
        <v>49</v>
      </c>
      <c r="H381" s="2" t="s">
        <v>1275</v>
      </c>
      <c r="I381" s="2" t="s">
        <v>51</v>
      </c>
      <c r="J381" s="2" t="s">
        <v>52</v>
      </c>
      <c r="K381" s="2" t="s">
        <v>53</v>
      </c>
      <c r="L381" s="2" t="s">
        <v>53</v>
      </c>
      <c r="M381" s="2" t="s">
        <v>54</v>
      </c>
      <c r="N381" s="2" t="s">
        <v>53</v>
      </c>
      <c r="O381" s="2"/>
    </row>
    <row r="382" spans="1:15" ht="51" x14ac:dyDescent="0.25">
      <c r="A382" s="2" t="s">
        <v>1546</v>
      </c>
      <c r="B382" s="2" t="s">
        <v>1226</v>
      </c>
      <c r="C382" s="2" t="s">
        <v>1541</v>
      </c>
      <c r="D382" s="2" t="s">
        <v>1547</v>
      </c>
      <c r="E382" s="2" t="s">
        <v>942</v>
      </c>
      <c r="F382" s="2" t="s">
        <v>1543</v>
      </c>
      <c r="G382" s="3" t="s">
        <v>49</v>
      </c>
      <c r="H382" s="2" t="s">
        <v>1275</v>
      </c>
      <c r="I382" s="2" t="s">
        <v>51</v>
      </c>
      <c r="J382" s="2" t="s">
        <v>52</v>
      </c>
      <c r="K382" s="2" t="s">
        <v>53</v>
      </c>
      <c r="L382" s="2" t="s">
        <v>53</v>
      </c>
      <c r="M382" s="2" t="s">
        <v>54</v>
      </c>
      <c r="N382" s="2" t="s">
        <v>53</v>
      </c>
      <c r="O382" s="2"/>
    </row>
    <row r="383" spans="1:15" ht="51" x14ac:dyDescent="0.25">
      <c r="A383" s="2" t="s">
        <v>1548</v>
      </c>
      <c r="B383" s="2" t="s">
        <v>1226</v>
      </c>
      <c r="C383" s="2" t="s">
        <v>1541</v>
      </c>
      <c r="D383" s="2" t="s">
        <v>1549</v>
      </c>
      <c r="E383" s="2" t="s">
        <v>1550</v>
      </c>
      <c r="F383" s="2" t="s">
        <v>1543</v>
      </c>
      <c r="G383" s="3" t="s">
        <v>49</v>
      </c>
      <c r="H383" s="2" t="s">
        <v>1275</v>
      </c>
      <c r="I383" s="2" t="s">
        <v>51</v>
      </c>
      <c r="J383" s="2" t="s">
        <v>52</v>
      </c>
      <c r="K383" s="2" t="s">
        <v>53</v>
      </c>
      <c r="L383" s="2" t="s">
        <v>53</v>
      </c>
      <c r="M383" s="2" t="s">
        <v>54</v>
      </c>
      <c r="N383" s="2" t="s">
        <v>53</v>
      </c>
      <c r="O383" s="2"/>
    </row>
    <row r="384" spans="1:15" ht="38.25" x14ac:dyDescent="0.25">
      <c r="A384" s="2" t="s">
        <v>1551</v>
      </c>
      <c r="B384" s="2" t="s">
        <v>1226</v>
      </c>
      <c r="C384" s="2" t="s">
        <v>1541</v>
      </c>
      <c r="D384" s="2" t="s">
        <v>1552</v>
      </c>
      <c r="E384" s="2" t="s">
        <v>1312</v>
      </c>
      <c r="F384" s="2" t="s">
        <v>1553</v>
      </c>
      <c r="G384" s="3" t="s">
        <v>21</v>
      </c>
      <c r="H384" s="2" t="s">
        <v>1554</v>
      </c>
      <c r="I384" s="2" t="s">
        <v>1391</v>
      </c>
      <c r="J384" s="2" t="s">
        <v>1392</v>
      </c>
      <c r="K384" s="2" t="s">
        <v>1393</v>
      </c>
      <c r="L384" s="2" t="s">
        <v>147</v>
      </c>
      <c r="M384" s="2" t="s">
        <v>1394</v>
      </c>
      <c r="N384" s="2" t="s">
        <v>28</v>
      </c>
      <c r="O384" s="2"/>
    </row>
    <row r="385" spans="1:15" ht="38.25" x14ac:dyDescent="0.25">
      <c r="A385" s="2" t="s">
        <v>1555</v>
      </c>
      <c r="B385" s="2" t="s">
        <v>1226</v>
      </c>
      <c r="C385" s="2" t="s">
        <v>1556</v>
      </c>
      <c r="D385" s="2" t="s">
        <v>1557</v>
      </c>
      <c r="E385" s="2" t="s">
        <v>491</v>
      </c>
      <c r="F385" s="2" t="s">
        <v>1301</v>
      </c>
      <c r="G385" s="3" t="s">
        <v>21</v>
      </c>
      <c r="H385" s="2" t="s">
        <v>1558</v>
      </c>
      <c r="I385" s="2" t="s">
        <v>1303</v>
      </c>
      <c r="J385" s="2" t="s">
        <v>1304</v>
      </c>
      <c r="K385" s="2" t="s">
        <v>1305</v>
      </c>
      <c r="L385" s="2" t="s">
        <v>1306</v>
      </c>
      <c r="M385" s="2" t="s">
        <v>1307</v>
      </c>
      <c r="N385" s="2" t="s">
        <v>28</v>
      </c>
      <c r="O385" s="2" t="s">
        <v>1559</v>
      </c>
    </row>
    <row r="386" spans="1:15" ht="38.25" x14ac:dyDescent="0.25">
      <c r="A386" s="2" t="s">
        <v>1560</v>
      </c>
      <c r="B386" s="2" t="s">
        <v>1226</v>
      </c>
      <c r="C386" s="2" t="s">
        <v>1561</v>
      </c>
      <c r="D386" s="2" t="s">
        <v>1562</v>
      </c>
      <c r="E386" s="2" t="s">
        <v>1563</v>
      </c>
      <c r="F386" s="2" t="s">
        <v>1301</v>
      </c>
      <c r="G386" s="3" t="s">
        <v>49</v>
      </c>
      <c r="H386" s="2" t="s">
        <v>1275</v>
      </c>
      <c r="I386" s="2" t="s">
        <v>51</v>
      </c>
      <c r="J386" s="2" t="s">
        <v>52</v>
      </c>
      <c r="K386" s="2" t="s">
        <v>53</v>
      </c>
      <c r="L386" s="2" t="s">
        <v>53</v>
      </c>
      <c r="M386" s="2" t="s">
        <v>54</v>
      </c>
      <c r="N386" s="2" t="s">
        <v>53</v>
      </c>
      <c r="O386" s="2" t="s">
        <v>1559</v>
      </c>
    </row>
    <row r="387" spans="1:15" ht="38.25" x14ac:dyDescent="0.25">
      <c r="A387" s="2" t="s">
        <v>1564</v>
      </c>
      <c r="B387" s="2" t="s">
        <v>1226</v>
      </c>
      <c r="C387" s="2" t="s">
        <v>1565</v>
      </c>
      <c r="D387" s="2" t="s">
        <v>1566</v>
      </c>
      <c r="E387" s="2" t="s">
        <v>491</v>
      </c>
      <c r="F387" s="2" t="s">
        <v>1328</v>
      </c>
      <c r="G387" s="3" t="s">
        <v>85</v>
      </c>
      <c r="H387" s="2" t="s">
        <v>1567</v>
      </c>
      <c r="I387" s="2" t="s">
        <v>1436</v>
      </c>
      <c r="J387" s="2" t="s">
        <v>1437</v>
      </c>
      <c r="K387" s="2" t="s">
        <v>1438</v>
      </c>
      <c r="L387" s="2" t="s">
        <v>147</v>
      </c>
      <c r="M387" s="2" t="s">
        <v>1307</v>
      </c>
      <c r="N387" s="2" t="s">
        <v>77</v>
      </c>
      <c r="O387" s="2" t="s">
        <v>1559</v>
      </c>
    </row>
    <row r="388" spans="1:15" ht="38.25" x14ac:dyDescent="0.25">
      <c r="A388" s="2" t="s">
        <v>1568</v>
      </c>
      <c r="B388" s="2" t="s">
        <v>1226</v>
      </c>
      <c r="C388" s="2" t="s">
        <v>1565</v>
      </c>
      <c r="D388" s="2" t="s">
        <v>1569</v>
      </c>
      <c r="E388" s="2" t="s">
        <v>653</v>
      </c>
      <c r="F388" s="2" t="s">
        <v>1328</v>
      </c>
      <c r="G388" s="3" t="s">
        <v>21</v>
      </c>
      <c r="H388" s="2" t="s">
        <v>1570</v>
      </c>
      <c r="I388" s="2" t="s">
        <v>1436</v>
      </c>
      <c r="J388" s="2" t="s">
        <v>1437</v>
      </c>
      <c r="K388" s="2" t="s">
        <v>1438</v>
      </c>
      <c r="L388" s="2" t="s">
        <v>147</v>
      </c>
      <c r="M388" s="2" t="s">
        <v>1307</v>
      </c>
      <c r="N388" s="2" t="s">
        <v>28</v>
      </c>
      <c r="O388" s="2" t="s">
        <v>1559</v>
      </c>
    </row>
    <row r="389" spans="1:15" ht="38.25" x14ac:dyDescent="0.25">
      <c r="A389" s="2" t="s">
        <v>1571</v>
      </c>
      <c r="B389" s="2" t="s">
        <v>1226</v>
      </c>
      <c r="C389" s="2" t="s">
        <v>1572</v>
      </c>
      <c r="D389" s="2" t="s">
        <v>1573</v>
      </c>
      <c r="E389" s="2" t="s">
        <v>187</v>
      </c>
      <c r="F389" s="2" t="s">
        <v>1434</v>
      </c>
      <c r="G389" s="3" t="s">
        <v>49</v>
      </c>
      <c r="H389" s="2" t="s">
        <v>1275</v>
      </c>
      <c r="I389" s="2" t="s">
        <v>51</v>
      </c>
      <c r="J389" s="2" t="s">
        <v>52</v>
      </c>
      <c r="K389" s="2" t="s">
        <v>53</v>
      </c>
      <c r="L389" s="2" t="s">
        <v>53</v>
      </c>
      <c r="M389" s="2" t="s">
        <v>54</v>
      </c>
      <c r="N389" s="2" t="s">
        <v>53</v>
      </c>
      <c r="O389" s="2" t="s">
        <v>1559</v>
      </c>
    </row>
    <row r="390" spans="1:15" ht="38.25" x14ac:dyDescent="0.25">
      <c r="A390" s="2" t="s">
        <v>1574</v>
      </c>
      <c r="B390" s="2" t="s">
        <v>1226</v>
      </c>
      <c r="C390" s="2" t="s">
        <v>1572</v>
      </c>
      <c r="D390" s="2" t="s">
        <v>1575</v>
      </c>
      <c r="E390" s="2" t="s">
        <v>187</v>
      </c>
      <c r="F390" s="2" t="s">
        <v>1434</v>
      </c>
      <c r="G390" s="3" t="s">
        <v>49</v>
      </c>
      <c r="H390" s="2" t="s">
        <v>1275</v>
      </c>
      <c r="I390" s="2" t="s">
        <v>51</v>
      </c>
      <c r="J390" s="2" t="s">
        <v>52</v>
      </c>
      <c r="K390" s="2" t="s">
        <v>53</v>
      </c>
      <c r="L390" s="2" t="s">
        <v>53</v>
      </c>
      <c r="M390" s="2" t="s">
        <v>54</v>
      </c>
      <c r="N390" s="2" t="s">
        <v>53</v>
      </c>
      <c r="O390" s="2" t="s">
        <v>1559</v>
      </c>
    </row>
    <row r="391" spans="1:15" ht="38.25" x14ac:dyDescent="0.25">
      <c r="A391" s="2" t="s">
        <v>1576</v>
      </c>
      <c r="B391" s="2" t="s">
        <v>1226</v>
      </c>
      <c r="C391" s="2" t="s">
        <v>1577</v>
      </c>
      <c r="D391" s="2" t="s">
        <v>1578</v>
      </c>
      <c r="E391" s="2" t="s">
        <v>270</v>
      </c>
      <c r="F391" s="2" t="s">
        <v>1377</v>
      </c>
      <c r="G391" s="3" t="s">
        <v>21</v>
      </c>
      <c r="H391" s="2" t="s">
        <v>1579</v>
      </c>
      <c r="I391" s="2" t="s">
        <v>1379</v>
      </c>
      <c r="J391" s="2" t="s">
        <v>1380</v>
      </c>
      <c r="K391" s="2" t="s">
        <v>1381</v>
      </c>
      <c r="L391" s="2" t="s">
        <v>1382</v>
      </c>
      <c r="M391" s="2" t="s">
        <v>1383</v>
      </c>
      <c r="N391" s="2" t="s">
        <v>28</v>
      </c>
      <c r="O391" s="2" t="s">
        <v>1559</v>
      </c>
    </row>
    <row r="392" spans="1:15" ht="38.25" x14ac:dyDescent="0.25">
      <c r="A392" s="2" t="s">
        <v>1580</v>
      </c>
      <c r="B392" s="2" t="s">
        <v>1226</v>
      </c>
      <c r="C392" s="2" t="s">
        <v>1577</v>
      </c>
      <c r="D392" s="2" t="s">
        <v>1581</v>
      </c>
      <c r="E392" s="2" t="s">
        <v>68</v>
      </c>
      <c r="F392" s="2" t="s">
        <v>1377</v>
      </c>
      <c r="G392" s="3" t="s">
        <v>21</v>
      </c>
      <c r="H392" s="2" t="s">
        <v>1582</v>
      </c>
      <c r="I392" s="2" t="s">
        <v>1379</v>
      </c>
      <c r="J392" s="2" t="s">
        <v>1380</v>
      </c>
      <c r="K392" s="2" t="s">
        <v>1381</v>
      </c>
      <c r="L392" s="2" t="s">
        <v>1382</v>
      </c>
      <c r="M392" s="2" t="s">
        <v>1383</v>
      </c>
      <c r="N392" s="2" t="s">
        <v>28</v>
      </c>
      <c r="O392" s="2" t="s">
        <v>1559</v>
      </c>
    </row>
    <row r="393" spans="1:15" ht="38.25" x14ac:dyDescent="0.25">
      <c r="A393" s="2" t="s">
        <v>1583</v>
      </c>
      <c r="B393" s="2" t="s">
        <v>1226</v>
      </c>
      <c r="C393" s="2" t="s">
        <v>1577</v>
      </c>
      <c r="D393" s="2" t="s">
        <v>1584</v>
      </c>
      <c r="E393" s="2" t="s">
        <v>270</v>
      </c>
      <c r="F393" s="2" t="s">
        <v>1377</v>
      </c>
      <c r="G393" s="3" t="s">
        <v>49</v>
      </c>
      <c r="H393" s="2" t="s">
        <v>1238</v>
      </c>
      <c r="I393" s="2" t="s">
        <v>51</v>
      </c>
      <c r="J393" s="2" t="s">
        <v>52</v>
      </c>
      <c r="K393" s="2" t="s">
        <v>53</v>
      </c>
      <c r="L393" s="2" t="s">
        <v>53</v>
      </c>
      <c r="M393" s="2" t="s">
        <v>54</v>
      </c>
      <c r="N393" s="2" t="s">
        <v>53</v>
      </c>
      <c r="O393" s="2" t="s">
        <v>1559</v>
      </c>
    </row>
    <row r="394" spans="1:15" ht="38.25" x14ac:dyDescent="0.25">
      <c r="A394" s="2" t="s">
        <v>1585</v>
      </c>
      <c r="B394" s="2" t="s">
        <v>1226</v>
      </c>
      <c r="C394" s="2" t="s">
        <v>1586</v>
      </c>
      <c r="D394" s="2" t="s">
        <v>1587</v>
      </c>
      <c r="E394" s="2" t="s">
        <v>1588</v>
      </c>
      <c r="F394" s="2" t="s">
        <v>1237</v>
      </c>
      <c r="G394" s="3" t="s">
        <v>49</v>
      </c>
      <c r="H394" s="2" t="s">
        <v>1238</v>
      </c>
      <c r="I394" s="2" t="s">
        <v>51</v>
      </c>
      <c r="J394" s="2" t="s">
        <v>52</v>
      </c>
      <c r="K394" s="2" t="s">
        <v>53</v>
      </c>
      <c r="L394" s="2" t="s">
        <v>53</v>
      </c>
      <c r="M394" s="2" t="s">
        <v>54</v>
      </c>
      <c r="N394" s="2" t="s">
        <v>53</v>
      </c>
      <c r="O394" s="2" t="s">
        <v>1559</v>
      </c>
    </row>
    <row r="395" spans="1:15" ht="38.25" x14ac:dyDescent="0.25">
      <c r="A395" s="2" t="s">
        <v>1589</v>
      </c>
      <c r="B395" s="2" t="s">
        <v>1226</v>
      </c>
      <c r="C395" s="2" t="s">
        <v>1586</v>
      </c>
      <c r="D395" s="2" t="s">
        <v>1590</v>
      </c>
      <c r="E395" s="2" t="s">
        <v>1591</v>
      </c>
      <c r="F395" s="2" t="s">
        <v>1237</v>
      </c>
      <c r="G395" s="3" t="s">
        <v>49</v>
      </c>
      <c r="H395" s="2" t="s">
        <v>1143</v>
      </c>
      <c r="I395" s="2" t="s">
        <v>51</v>
      </c>
      <c r="J395" s="2" t="s">
        <v>52</v>
      </c>
      <c r="K395" s="2" t="s">
        <v>53</v>
      </c>
      <c r="L395" s="2" t="s">
        <v>53</v>
      </c>
      <c r="M395" s="2" t="s">
        <v>61</v>
      </c>
      <c r="N395" s="2" t="s">
        <v>53</v>
      </c>
      <c r="O395" s="2" t="s">
        <v>1559</v>
      </c>
    </row>
    <row r="396" spans="1:15" ht="38.25" x14ac:dyDescent="0.25">
      <c r="A396" s="2" t="s">
        <v>1592</v>
      </c>
      <c r="B396" s="2" t="s">
        <v>1226</v>
      </c>
      <c r="C396" s="2" t="s">
        <v>1593</v>
      </c>
      <c r="D396" s="2" t="s">
        <v>1594</v>
      </c>
      <c r="E396" s="2" t="s">
        <v>270</v>
      </c>
      <c r="F396" s="2" t="s">
        <v>1595</v>
      </c>
      <c r="G396" s="3" t="s">
        <v>49</v>
      </c>
      <c r="H396" s="2" t="s">
        <v>1275</v>
      </c>
      <c r="I396" s="2" t="s">
        <v>51</v>
      </c>
      <c r="J396" s="2" t="s">
        <v>52</v>
      </c>
      <c r="K396" s="2" t="s">
        <v>53</v>
      </c>
      <c r="L396" s="2" t="s">
        <v>53</v>
      </c>
      <c r="M396" s="2" t="s">
        <v>54</v>
      </c>
      <c r="N396" s="2" t="s">
        <v>53</v>
      </c>
      <c r="O396" s="2" t="s">
        <v>1559</v>
      </c>
    </row>
    <row r="397" spans="1:15" ht="38.25" x14ac:dyDescent="0.25">
      <c r="A397" s="2" t="s">
        <v>1596</v>
      </c>
      <c r="B397" s="2" t="s">
        <v>1226</v>
      </c>
      <c r="C397" s="2" t="s">
        <v>1597</v>
      </c>
      <c r="D397" s="2" t="s">
        <v>1598</v>
      </c>
      <c r="E397" s="2" t="s">
        <v>624</v>
      </c>
      <c r="F397" s="2" t="s">
        <v>1367</v>
      </c>
      <c r="G397" s="3" t="s">
        <v>49</v>
      </c>
      <c r="H397" s="2" t="s">
        <v>1275</v>
      </c>
      <c r="I397" s="2" t="s">
        <v>51</v>
      </c>
      <c r="J397" s="2" t="s">
        <v>52</v>
      </c>
      <c r="K397" s="2" t="s">
        <v>53</v>
      </c>
      <c r="L397" s="2" t="s">
        <v>53</v>
      </c>
      <c r="M397" s="2" t="s">
        <v>54</v>
      </c>
      <c r="N397" s="2" t="s">
        <v>53</v>
      </c>
      <c r="O397" s="2" t="s">
        <v>1559</v>
      </c>
    </row>
    <row r="398" spans="1:15" ht="38.25" x14ac:dyDescent="0.25">
      <c r="A398" s="2" t="s">
        <v>1599</v>
      </c>
      <c r="B398" s="2" t="s">
        <v>1226</v>
      </c>
      <c r="C398" s="2" t="s">
        <v>1600</v>
      </c>
      <c r="D398" s="2" t="s">
        <v>1601</v>
      </c>
      <c r="E398" s="2" t="s">
        <v>1602</v>
      </c>
      <c r="F398" s="2" t="s">
        <v>1387</v>
      </c>
      <c r="G398" s="3" t="s">
        <v>49</v>
      </c>
      <c r="H398" s="2" t="s">
        <v>1275</v>
      </c>
      <c r="I398" s="2" t="s">
        <v>51</v>
      </c>
      <c r="J398" s="2" t="s">
        <v>52</v>
      </c>
      <c r="K398" s="2" t="s">
        <v>53</v>
      </c>
      <c r="L398" s="2" t="s">
        <v>53</v>
      </c>
      <c r="M398" s="2" t="s">
        <v>54</v>
      </c>
      <c r="N398" s="2" t="s">
        <v>53</v>
      </c>
      <c r="O398" s="2" t="s">
        <v>1559</v>
      </c>
    </row>
    <row r="399" spans="1:15" ht="38.25" x14ac:dyDescent="0.25">
      <c r="A399" s="2" t="s">
        <v>1603</v>
      </c>
      <c r="B399" s="2" t="s">
        <v>1226</v>
      </c>
      <c r="C399" s="2" t="s">
        <v>1600</v>
      </c>
      <c r="D399" s="2" t="s">
        <v>1604</v>
      </c>
      <c r="E399" s="2" t="s">
        <v>309</v>
      </c>
      <c r="F399" s="2" t="s">
        <v>1387</v>
      </c>
      <c r="G399" s="3" t="s">
        <v>49</v>
      </c>
      <c r="H399" s="2" t="s">
        <v>1275</v>
      </c>
      <c r="I399" s="2" t="s">
        <v>51</v>
      </c>
      <c r="J399" s="2" t="s">
        <v>52</v>
      </c>
      <c r="K399" s="2" t="s">
        <v>53</v>
      </c>
      <c r="L399" s="2" t="s">
        <v>53</v>
      </c>
      <c r="M399" s="2" t="s">
        <v>54</v>
      </c>
      <c r="N399" s="2" t="s">
        <v>53</v>
      </c>
      <c r="O399" s="2" t="s">
        <v>1559</v>
      </c>
    </row>
    <row r="400" spans="1:15" ht="38.25" x14ac:dyDescent="0.25">
      <c r="A400" s="2" t="s">
        <v>1605</v>
      </c>
      <c r="B400" s="2" t="s">
        <v>1226</v>
      </c>
      <c r="C400" s="2" t="s">
        <v>1600</v>
      </c>
      <c r="D400" s="2" t="s">
        <v>1606</v>
      </c>
      <c r="E400" s="2" t="s">
        <v>117</v>
      </c>
      <c r="F400" s="2" t="s">
        <v>1387</v>
      </c>
      <c r="G400" s="3" t="s">
        <v>49</v>
      </c>
      <c r="H400" s="2" t="s">
        <v>1275</v>
      </c>
      <c r="I400" s="2" t="s">
        <v>51</v>
      </c>
      <c r="J400" s="2" t="s">
        <v>52</v>
      </c>
      <c r="K400" s="2" t="s">
        <v>53</v>
      </c>
      <c r="L400" s="2" t="s">
        <v>53</v>
      </c>
      <c r="M400" s="2" t="s">
        <v>54</v>
      </c>
      <c r="N400" s="2" t="s">
        <v>53</v>
      </c>
      <c r="O400" s="2" t="s">
        <v>1559</v>
      </c>
    </row>
    <row r="401" spans="1:15" ht="38.25" x14ac:dyDescent="0.25">
      <c r="A401" s="2" t="s">
        <v>1607</v>
      </c>
      <c r="B401" s="2" t="s">
        <v>1226</v>
      </c>
      <c r="C401" s="2" t="s">
        <v>1600</v>
      </c>
      <c r="D401" s="2" t="s">
        <v>1608</v>
      </c>
      <c r="E401" s="2" t="s">
        <v>117</v>
      </c>
      <c r="F401" s="2" t="s">
        <v>1387</v>
      </c>
      <c r="G401" s="3" t="s">
        <v>49</v>
      </c>
      <c r="H401" s="2" t="s">
        <v>1275</v>
      </c>
      <c r="I401" s="2" t="s">
        <v>51</v>
      </c>
      <c r="J401" s="2" t="s">
        <v>52</v>
      </c>
      <c r="K401" s="2" t="s">
        <v>53</v>
      </c>
      <c r="L401" s="2" t="s">
        <v>53</v>
      </c>
      <c r="M401" s="2" t="s">
        <v>54</v>
      </c>
      <c r="N401" s="2" t="s">
        <v>53</v>
      </c>
      <c r="O401" s="2" t="s">
        <v>1559</v>
      </c>
    </row>
    <row r="402" spans="1:15" ht="38.25" x14ac:dyDescent="0.25">
      <c r="A402" s="2" t="s">
        <v>1609</v>
      </c>
      <c r="B402" s="2" t="s">
        <v>1226</v>
      </c>
      <c r="C402" s="2" t="s">
        <v>1610</v>
      </c>
      <c r="D402" s="2" t="s">
        <v>1611</v>
      </c>
      <c r="E402" s="2" t="s">
        <v>1612</v>
      </c>
      <c r="F402" s="2" t="s">
        <v>1361</v>
      </c>
      <c r="G402" s="3" t="s">
        <v>49</v>
      </c>
      <c r="H402" s="2" t="s">
        <v>1275</v>
      </c>
      <c r="I402" s="2" t="s">
        <v>51</v>
      </c>
      <c r="J402" s="2" t="s">
        <v>52</v>
      </c>
      <c r="K402" s="2" t="s">
        <v>53</v>
      </c>
      <c r="L402" s="2" t="s">
        <v>53</v>
      </c>
      <c r="M402" s="2" t="s">
        <v>54</v>
      </c>
      <c r="N402" s="2" t="s">
        <v>53</v>
      </c>
      <c r="O402" s="2" t="s">
        <v>1559</v>
      </c>
    </row>
    <row r="403" spans="1:15" ht="38.25" x14ac:dyDescent="0.25">
      <c r="A403" s="2" t="s">
        <v>1613</v>
      </c>
      <c r="B403" s="2" t="s">
        <v>1226</v>
      </c>
      <c r="C403" s="2" t="s">
        <v>1614</v>
      </c>
      <c r="D403" s="2" t="s">
        <v>1615</v>
      </c>
      <c r="E403" s="2" t="s">
        <v>1616</v>
      </c>
      <c r="F403" s="2" t="s">
        <v>1361</v>
      </c>
      <c r="G403" s="3" t="s">
        <v>49</v>
      </c>
      <c r="H403" s="2" t="s">
        <v>1275</v>
      </c>
      <c r="I403" s="2" t="s">
        <v>51</v>
      </c>
      <c r="J403" s="2" t="s">
        <v>52</v>
      </c>
      <c r="K403" s="2" t="s">
        <v>53</v>
      </c>
      <c r="L403" s="2" t="s">
        <v>53</v>
      </c>
      <c r="M403" s="2" t="s">
        <v>54</v>
      </c>
      <c r="N403" s="2" t="s">
        <v>53</v>
      </c>
      <c r="O403" s="2" t="s">
        <v>1559</v>
      </c>
    </row>
    <row r="404" spans="1:15" ht="38.25" x14ac:dyDescent="0.25">
      <c r="A404" s="2" t="s">
        <v>1617</v>
      </c>
      <c r="B404" s="2" t="s">
        <v>1226</v>
      </c>
      <c r="C404" s="2" t="s">
        <v>1614</v>
      </c>
      <c r="D404" s="2" t="s">
        <v>1618</v>
      </c>
      <c r="E404" s="2" t="s">
        <v>1619</v>
      </c>
      <c r="F404" s="2" t="s">
        <v>1361</v>
      </c>
      <c r="G404" s="3" t="s">
        <v>49</v>
      </c>
      <c r="H404" s="2" t="s">
        <v>1275</v>
      </c>
      <c r="I404" s="2" t="s">
        <v>51</v>
      </c>
      <c r="J404" s="2" t="s">
        <v>52</v>
      </c>
      <c r="K404" s="2" t="s">
        <v>53</v>
      </c>
      <c r="L404" s="2" t="s">
        <v>53</v>
      </c>
      <c r="M404" s="2" t="s">
        <v>54</v>
      </c>
      <c r="N404" s="2" t="s">
        <v>53</v>
      </c>
      <c r="O404" s="2" t="s">
        <v>1559</v>
      </c>
    </row>
    <row r="405" spans="1:15" ht="38.25" x14ac:dyDescent="0.25">
      <c r="A405" s="2" t="s">
        <v>1620</v>
      </c>
      <c r="B405" s="2" t="s">
        <v>1226</v>
      </c>
      <c r="C405" s="2" t="s">
        <v>1614</v>
      </c>
      <c r="D405" s="2" t="s">
        <v>1621</v>
      </c>
      <c r="E405" s="2" t="s">
        <v>1622</v>
      </c>
      <c r="F405" s="2" t="s">
        <v>1361</v>
      </c>
      <c r="G405" s="3" t="s">
        <v>49</v>
      </c>
      <c r="H405" s="2" t="s">
        <v>1275</v>
      </c>
      <c r="I405" s="2" t="s">
        <v>51</v>
      </c>
      <c r="J405" s="2" t="s">
        <v>52</v>
      </c>
      <c r="K405" s="2" t="s">
        <v>53</v>
      </c>
      <c r="L405" s="2" t="s">
        <v>53</v>
      </c>
      <c r="M405" s="2" t="s">
        <v>54</v>
      </c>
      <c r="N405" s="2" t="s">
        <v>53</v>
      </c>
      <c r="O405" s="2" t="s">
        <v>1559</v>
      </c>
    </row>
    <row r="406" spans="1:15" ht="38.25" x14ac:dyDescent="0.25">
      <c r="A406" s="2" t="s">
        <v>1623</v>
      </c>
      <c r="B406" s="2" t="s">
        <v>1226</v>
      </c>
      <c r="C406" s="2" t="s">
        <v>1624</v>
      </c>
      <c r="D406" s="2" t="s">
        <v>1625</v>
      </c>
      <c r="E406" s="2" t="s">
        <v>1616</v>
      </c>
      <c r="F406" s="2" t="s">
        <v>1361</v>
      </c>
      <c r="G406" s="3" t="s">
        <v>49</v>
      </c>
      <c r="H406" s="2" t="s">
        <v>1275</v>
      </c>
      <c r="I406" s="2" t="s">
        <v>51</v>
      </c>
      <c r="J406" s="2" t="s">
        <v>52</v>
      </c>
      <c r="K406" s="2" t="s">
        <v>53</v>
      </c>
      <c r="L406" s="2" t="s">
        <v>53</v>
      </c>
      <c r="M406" s="2" t="s">
        <v>54</v>
      </c>
      <c r="N406" s="2" t="s">
        <v>53</v>
      </c>
      <c r="O406" s="2" t="s">
        <v>1559</v>
      </c>
    </row>
    <row r="407" spans="1:15" ht="38.25" x14ac:dyDescent="0.25">
      <c r="A407" s="2" t="s">
        <v>1626</v>
      </c>
      <c r="B407" s="2" t="s">
        <v>1226</v>
      </c>
      <c r="C407" s="2" t="s">
        <v>1624</v>
      </c>
      <c r="D407" s="2" t="s">
        <v>1618</v>
      </c>
      <c r="E407" s="2" t="s">
        <v>1619</v>
      </c>
      <c r="F407" s="2" t="s">
        <v>1361</v>
      </c>
      <c r="G407" s="3" t="s">
        <v>49</v>
      </c>
      <c r="H407" s="2" t="s">
        <v>1275</v>
      </c>
      <c r="I407" s="2" t="s">
        <v>51</v>
      </c>
      <c r="J407" s="2" t="s">
        <v>52</v>
      </c>
      <c r="K407" s="2" t="s">
        <v>53</v>
      </c>
      <c r="L407" s="2" t="s">
        <v>53</v>
      </c>
      <c r="M407" s="2" t="s">
        <v>54</v>
      </c>
      <c r="N407" s="2" t="s">
        <v>53</v>
      </c>
      <c r="O407" s="2" t="s">
        <v>1559</v>
      </c>
    </row>
    <row r="408" spans="1:15" ht="38.25" x14ac:dyDescent="0.25">
      <c r="A408" s="2" t="s">
        <v>1627</v>
      </c>
      <c r="B408" s="2" t="s">
        <v>1226</v>
      </c>
      <c r="C408" s="2" t="s">
        <v>1628</v>
      </c>
      <c r="D408" s="2" t="s">
        <v>1629</v>
      </c>
      <c r="E408" s="2" t="s">
        <v>1619</v>
      </c>
      <c r="F408" s="2" t="s">
        <v>1630</v>
      </c>
      <c r="G408" s="3" t="s">
        <v>21</v>
      </c>
      <c r="H408" s="2" t="s">
        <v>1631</v>
      </c>
      <c r="I408" s="2" t="s">
        <v>1231</v>
      </c>
      <c r="J408" s="2" t="s">
        <v>1232</v>
      </c>
      <c r="K408" s="2" t="s">
        <v>1233</v>
      </c>
      <c r="L408" s="2" t="s">
        <v>147</v>
      </c>
      <c r="M408" s="2" t="s">
        <v>1234</v>
      </c>
      <c r="N408" s="2" t="s">
        <v>28</v>
      </c>
      <c r="O408" s="2" t="s">
        <v>1559</v>
      </c>
    </row>
    <row r="409" spans="1:15" ht="38.25" x14ac:dyDescent="0.25">
      <c r="A409" s="2" t="s">
        <v>1632</v>
      </c>
      <c r="B409" s="2" t="s">
        <v>1226</v>
      </c>
      <c r="C409" s="2" t="s">
        <v>1633</v>
      </c>
      <c r="D409" s="2" t="s">
        <v>1634</v>
      </c>
      <c r="E409" s="2" t="s">
        <v>117</v>
      </c>
      <c r="F409" s="2" t="s">
        <v>1635</v>
      </c>
      <c r="G409" s="3" t="s">
        <v>85</v>
      </c>
      <c r="H409" s="2" t="s">
        <v>1636</v>
      </c>
      <c r="I409" s="2" t="s">
        <v>1637</v>
      </c>
      <c r="J409" s="2" t="s">
        <v>1638</v>
      </c>
      <c r="K409" s="2" t="s">
        <v>1639</v>
      </c>
      <c r="L409" s="2" t="s">
        <v>147</v>
      </c>
      <c r="M409" s="2" t="s">
        <v>1307</v>
      </c>
      <c r="N409" s="2" t="s">
        <v>77</v>
      </c>
      <c r="O409" s="2" t="s">
        <v>1559</v>
      </c>
    </row>
    <row r="410" spans="1:15" ht="38.25" x14ac:dyDescent="0.25">
      <c r="A410" s="2" t="s">
        <v>1640</v>
      </c>
      <c r="B410" s="2" t="s">
        <v>1226</v>
      </c>
      <c r="C410" s="2" t="s">
        <v>1633</v>
      </c>
      <c r="D410" s="2" t="s">
        <v>1641</v>
      </c>
      <c r="E410" s="2" t="s">
        <v>187</v>
      </c>
      <c r="F410" s="2" t="s">
        <v>1301</v>
      </c>
      <c r="G410" s="3" t="s">
        <v>21</v>
      </c>
      <c r="H410" s="2" t="s">
        <v>1642</v>
      </c>
      <c r="I410" s="2" t="s">
        <v>1637</v>
      </c>
      <c r="J410" s="2" t="s">
        <v>1638</v>
      </c>
      <c r="K410" s="2" t="s">
        <v>1639</v>
      </c>
      <c r="L410" s="2" t="s">
        <v>147</v>
      </c>
      <c r="M410" s="2" t="s">
        <v>1307</v>
      </c>
      <c r="N410" s="2" t="s">
        <v>28</v>
      </c>
      <c r="O410" s="2" t="s">
        <v>1559</v>
      </c>
    </row>
    <row r="411" spans="1:15" ht="38.25" x14ac:dyDescent="0.25">
      <c r="A411" s="2" t="s">
        <v>1643</v>
      </c>
      <c r="B411" s="2" t="s">
        <v>1226</v>
      </c>
      <c r="C411" s="2" t="s">
        <v>1633</v>
      </c>
      <c r="D411" s="2" t="s">
        <v>1644</v>
      </c>
      <c r="E411" s="2" t="s">
        <v>187</v>
      </c>
      <c r="F411" s="2" t="s">
        <v>1301</v>
      </c>
      <c r="G411" s="3" t="s">
        <v>21</v>
      </c>
      <c r="H411" s="2" t="s">
        <v>1645</v>
      </c>
      <c r="I411" s="2" t="s">
        <v>1637</v>
      </c>
      <c r="J411" s="2" t="s">
        <v>1638</v>
      </c>
      <c r="K411" s="2" t="s">
        <v>1639</v>
      </c>
      <c r="L411" s="2" t="s">
        <v>147</v>
      </c>
      <c r="M411" s="2" t="s">
        <v>1307</v>
      </c>
      <c r="N411" s="2" t="s">
        <v>28</v>
      </c>
      <c r="O411" s="2" t="s">
        <v>1559</v>
      </c>
    </row>
    <row r="412" spans="1:15" ht="51" x14ac:dyDescent="0.25">
      <c r="A412" s="2" t="s">
        <v>1646</v>
      </c>
      <c r="B412" s="2" t="s">
        <v>1647</v>
      </c>
      <c r="C412" s="2" t="s">
        <v>1227</v>
      </c>
      <c r="D412" s="2" t="s">
        <v>1648</v>
      </c>
      <c r="E412" s="2" t="s">
        <v>106</v>
      </c>
      <c r="F412" s="2" t="s">
        <v>1254</v>
      </c>
      <c r="G412" s="3" t="s">
        <v>85</v>
      </c>
      <c r="H412" s="2" t="s">
        <v>1255</v>
      </c>
      <c r="I412" s="2" t="s">
        <v>1256</v>
      </c>
      <c r="J412" s="2" t="s">
        <v>1257</v>
      </c>
      <c r="K412" s="2" t="s">
        <v>1258</v>
      </c>
      <c r="L412" s="2" t="s">
        <v>147</v>
      </c>
      <c r="M412" s="2" t="s">
        <v>1259</v>
      </c>
      <c r="N412" s="2" t="s">
        <v>77</v>
      </c>
      <c r="O412" s="2"/>
    </row>
    <row r="413" spans="1:15" ht="38.25" x14ac:dyDescent="0.25">
      <c r="A413" s="2" t="s">
        <v>1649</v>
      </c>
      <c r="B413" s="2" t="s">
        <v>1647</v>
      </c>
      <c r="C413" s="2" t="s">
        <v>1227</v>
      </c>
      <c r="D413" s="2" t="s">
        <v>1650</v>
      </c>
      <c r="E413" s="2" t="s">
        <v>270</v>
      </c>
      <c r="F413" s="2" t="s">
        <v>1651</v>
      </c>
      <c r="G413" s="3" t="s">
        <v>49</v>
      </c>
      <c r="H413" s="2" t="s">
        <v>1652</v>
      </c>
      <c r="I413" s="2" t="s">
        <v>51</v>
      </c>
      <c r="J413" s="2" t="s">
        <v>52</v>
      </c>
      <c r="K413" s="2" t="s">
        <v>53</v>
      </c>
      <c r="L413" s="2" t="s">
        <v>53</v>
      </c>
      <c r="M413" s="2" t="s">
        <v>61</v>
      </c>
      <c r="N413" s="2" t="s">
        <v>53</v>
      </c>
      <c r="O413" s="2"/>
    </row>
    <row r="414" spans="1:15" ht="38.25" x14ac:dyDescent="0.25">
      <c r="A414" s="2" t="s">
        <v>1653</v>
      </c>
      <c r="B414" s="2" t="s">
        <v>1647</v>
      </c>
      <c r="C414" s="2" t="s">
        <v>1227</v>
      </c>
      <c r="D414" s="2" t="s">
        <v>1654</v>
      </c>
      <c r="E414" s="2" t="s">
        <v>653</v>
      </c>
      <c r="F414" s="2" t="s">
        <v>1651</v>
      </c>
      <c r="G414" s="3" t="s">
        <v>49</v>
      </c>
      <c r="H414" s="2" t="s">
        <v>1652</v>
      </c>
      <c r="I414" s="2" t="s">
        <v>51</v>
      </c>
      <c r="J414" s="2" t="s">
        <v>52</v>
      </c>
      <c r="K414" s="2" t="s">
        <v>53</v>
      </c>
      <c r="L414" s="2" t="s">
        <v>53</v>
      </c>
      <c r="M414" s="2" t="s">
        <v>61</v>
      </c>
      <c r="N414" s="2" t="s">
        <v>53</v>
      </c>
      <c r="O414" s="2"/>
    </row>
    <row r="415" spans="1:15" ht="51" x14ac:dyDescent="0.25">
      <c r="A415" s="2" t="s">
        <v>1655</v>
      </c>
      <c r="B415" s="2" t="s">
        <v>1647</v>
      </c>
      <c r="C415" s="2" t="s">
        <v>1227</v>
      </c>
      <c r="D415" s="2" t="s">
        <v>1656</v>
      </c>
      <c r="E415" s="2" t="s">
        <v>270</v>
      </c>
      <c r="F415" s="2" t="s">
        <v>1657</v>
      </c>
      <c r="G415" s="3" t="s">
        <v>21</v>
      </c>
      <c r="H415" s="2" t="s">
        <v>1658</v>
      </c>
      <c r="I415" s="2" t="s">
        <v>1659</v>
      </c>
      <c r="J415" s="2" t="s">
        <v>1660</v>
      </c>
      <c r="K415" s="2" t="s">
        <v>1661</v>
      </c>
      <c r="L415" s="2" t="s">
        <v>147</v>
      </c>
      <c r="M415" s="2" t="s">
        <v>1662</v>
      </c>
      <c r="N415" s="2" t="s">
        <v>28</v>
      </c>
      <c r="O415" s="2"/>
    </row>
    <row r="416" spans="1:15" ht="38.25" x14ac:dyDescent="0.25">
      <c r="A416" s="2" t="s">
        <v>1663</v>
      </c>
      <c r="B416" s="2" t="s">
        <v>1647</v>
      </c>
      <c r="C416" s="2" t="s">
        <v>1227</v>
      </c>
      <c r="D416" s="2" t="s">
        <v>1664</v>
      </c>
      <c r="E416" s="2" t="s">
        <v>270</v>
      </c>
      <c r="F416" s="2" t="s">
        <v>1651</v>
      </c>
      <c r="G416" s="3" t="s">
        <v>49</v>
      </c>
      <c r="H416" s="2" t="s">
        <v>1652</v>
      </c>
      <c r="I416" s="2" t="s">
        <v>51</v>
      </c>
      <c r="J416" s="2" t="s">
        <v>52</v>
      </c>
      <c r="K416" s="2" t="s">
        <v>53</v>
      </c>
      <c r="L416" s="2" t="s">
        <v>53</v>
      </c>
      <c r="M416" s="2" t="s">
        <v>61</v>
      </c>
      <c r="N416" s="2" t="s">
        <v>53</v>
      </c>
      <c r="O416" s="2"/>
    </row>
    <row r="417" spans="1:15" ht="38.25" x14ac:dyDescent="0.25">
      <c r="A417" s="2" t="s">
        <v>1665</v>
      </c>
      <c r="B417" s="2" t="s">
        <v>1647</v>
      </c>
      <c r="C417" s="2" t="s">
        <v>1227</v>
      </c>
      <c r="D417" s="2" t="s">
        <v>1666</v>
      </c>
      <c r="E417" s="2" t="s">
        <v>270</v>
      </c>
      <c r="F417" s="2" t="s">
        <v>1651</v>
      </c>
      <c r="G417" s="3" t="s">
        <v>49</v>
      </c>
      <c r="H417" s="2" t="s">
        <v>1652</v>
      </c>
      <c r="I417" s="2" t="s">
        <v>51</v>
      </c>
      <c r="J417" s="2" t="s">
        <v>52</v>
      </c>
      <c r="K417" s="2" t="s">
        <v>53</v>
      </c>
      <c r="L417" s="2" t="s">
        <v>53</v>
      </c>
      <c r="M417" s="2" t="s">
        <v>61</v>
      </c>
      <c r="N417" s="2" t="s">
        <v>53</v>
      </c>
      <c r="O417" s="2"/>
    </row>
    <row r="418" spans="1:15" ht="25.5" x14ac:dyDescent="0.25">
      <c r="A418" s="2" t="s">
        <v>1667</v>
      </c>
      <c r="B418" s="2" t="s">
        <v>1647</v>
      </c>
      <c r="C418" s="2" t="s">
        <v>1227</v>
      </c>
      <c r="D418" s="2" t="s">
        <v>1668</v>
      </c>
      <c r="E418" s="2" t="s">
        <v>1669</v>
      </c>
      <c r="F418" s="2" t="s">
        <v>1657</v>
      </c>
      <c r="G418" s="3" t="s">
        <v>49</v>
      </c>
      <c r="H418" s="2" t="s">
        <v>1670</v>
      </c>
      <c r="I418" s="2" t="s">
        <v>51</v>
      </c>
      <c r="J418" s="2" t="s">
        <v>52</v>
      </c>
      <c r="K418" s="2" t="s">
        <v>53</v>
      </c>
      <c r="L418" s="2" t="s">
        <v>53</v>
      </c>
      <c r="M418" s="2" t="s">
        <v>61</v>
      </c>
      <c r="N418" s="2" t="s">
        <v>53</v>
      </c>
      <c r="O418" s="2"/>
    </row>
    <row r="419" spans="1:15" ht="38.25" x14ac:dyDescent="0.25">
      <c r="A419" s="2" t="s">
        <v>1671</v>
      </c>
      <c r="B419" s="2" t="s">
        <v>1647</v>
      </c>
      <c r="C419" s="2" t="s">
        <v>1672</v>
      </c>
      <c r="D419" s="2" t="s">
        <v>1673</v>
      </c>
      <c r="E419" s="2" t="s">
        <v>1674</v>
      </c>
      <c r="F419" s="2" t="s">
        <v>1675</v>
      </c>
      <c r="G419" s="3" t="s">
        <v>49</v>
      </c>
      <c r="H419" s="2" t="s">
        <v>1143</v>
      </c>
      <c r="I419" s="2" t="s">
        <v>51</v>
      </c>
      <c r="J419" s="2" t="s">
        <v>52</v>
      </c>
      <c r="K419" s="2" t="s">
        <v>53</v>
      </c>
      <c r="L419" s="2" t="s">
        <v>53</v>
      </c>
      <c r="M419" s="2" t="s">
        <v>61</v>
      </c>
      <c r="N419" s="2" t="s">
        <v>53</v>
      </c>
      <c r="O419" s="2"/>
    </row>
    <row r="420" spans="1:15" ht="63.75" x14ac:dyDescent="0.25">
      <c r="A420" s="2" t="s">
        <v>1676</v>
      </c>
      <c r="B420" s="2" t="s">
        <v>1647</v>
      </c>
      <c r="C420" s="2" t="s">
        <v>1677</v>
      </c>
      <c r="D420" s="2" t="s">
        <v>1678</v>
      </c>
      <c r="E420" s="2" t="s">
        <v>263</v>
      </c>
      <c r="F420" s="2" t="s">
        <v>1679</v>
      </c>
      <c r="G420" s="3" t="s">
        <v>49</v>
      </c>
      <c r="H420" s="2" t="s">
        <v>265</v>
      </c>
      <c r="I420" s="2" t="s">
        <v>51</v>
      </c>
      <c r="J420" s="2" t="s">
        <v>52</v>
      </c>
      <c r="K420" s="2" t="s">
        <v>53</v>
      </c>
      <c r="L420" s="2" t="s">
        <v>53</v>
      </c>
      <c r="M420" s="2" t="s">
        <v>61</v>
      </c>
      <c r="N420" s="2" t="s">
        <v>53</v>
      </c>
      <c r="O420" s="2"/>
    </row>
    <row r="421" spans="1:15" ht="25.5" x14ac:dyDescent="0.25">
      <c r="A421" s="2" t="s">
        <v>1680</v>
      </c>
      <c r="B421" s="2" t="s">
        <v>1647</v>
      </c>
      <c r="C421" s="2" t="s">
        <v>1677</v>
      </c>
      <c r="D421" s="2" t="s">
        <v>1681</v>
      </c>
      <c r="E421" s="2" t="s">
        <v>263</v>
      </c>
      <c r="F421" s="2" t="s">
        <v>1679</v>
      </c>
      <c r="G421" s="3" t="s">
        <v>49</v>
      </c>
      <c r="H421" s="2" t="s">
        <v>265</v>
      </c>
      <c r="I421" s="2" t="s">
        <v>51</v>
      </c>
      <c r="J421" s="2" t="s">
        <v>52</v>
      </c>
      <c r="K421" s="2" t="s">
        <v>53</v>
      </c>
      <c r="L421" s="2" t="s">
        <v>53</v>
      </c>
      <c r="M421" s="2" t="s">
        <v>61</v>
      </c>
      <c r="N421" s="2" t="s">
        <v>53</v>
      </c>
      <c r="O421" s="2"/>
    </row>
    <row r="422" spans="1:15" ht="38.25" x14ac:dyDescent="0.25">
      <c r="A422" s="2" t="s">
        <v>1682</v>
      </c>
      <c r="B422" s="2" t="s">
        <v>1647</v>
      </c>
      <c r="C422" s="2" t="s">
        <v>1677</v>
      </c>
      <c r="D422" s="2" t="s">
        <v>1683</v>
      </c>
      <c r="E422" s="2" t="s">
        <v>263</v>
      </c>
      <c r="F422" s="2" t="s">
        <v>1679</v>
      </c>
      <c r="G422" s="3" t="s">
        <v>49</v>
      </c>
      <c r="H422" s="2" t="s">
        <v>265</v>
      </c>
      <c r="I422" s="2" t="s">
        <v>51</v>
      </c>
      <c r="J422" s="2" t="s">
        <v>52</v>
      </c>
      <c r="K422" s="2" t="s">
        <v>53</v>
      </c>
      <c r="L422" s="2" t="s">
        <v>53</v>
      </c>
      <c r="M422" s="2" t="s">
        <v>61</v>
      </c>
      <c r="N422" s="2" t="s">
        <v>53</v>
      </c>
      <c r="O422" s="2"/>
    </row>
    <row r="423" spans="1:15" ht="25.5" x14ac:dyDescent="0.25">
      <c r="A423" s="2" t="s">
        <v>1684</v>
      </c>
      <c r="B423" s="2" t="s">
        <v>1647</v>
      </c>
      <c r="C423" s="2" t="s">
        <v>1677</v>
      </c>
      <c r="D423" s="2" t="s">
        <v>1685</v>
      </c>
      <c r="E423" s="2" t="s">
        <v>1312</v>
      </c>
      <c r="F423" s="2" t="s">
        <v>1679</v>
      </c>
      <c r="G423" s="3" t="s">
        <v>49</v>
      </c>
      <c r="H423" s="2" t="s">
        <v>265</v>
      </c>
      <c r="I423" s="2" t="s">
        <v>51</v>
      </c>
      <c r="J423" s="2" t="s">
        <v>52</v>
      </c>
      <c r="K423" s="2" t="s">
        <v>53</v>
      </c>
      <c r="L423" s="2" t="s">
        <v>53</v>
      </c>
      <c r="M423" s="2" t="s">
        <v>61</v>
      </c>
      <c r="N423" s="2" t="s">
        <v>53</v>
      </c>
      <c r="O423" s="2"/>
    </row>
    <row r="424" spans="1:15" ht="38.25" x14ac:dyDescent="0.25">
      <c r="A424" s="2" t="s">
        <v>1686</v>
      </c>
      <c r="B424" s="2" t="s">
        <v>1647</v>
      </c>
      <c r="C424" s="2" t="s">
        <v>1687</v>
      </c>
      <c r="D424" s="2" t="s">
        <v>1688</v>
      </c>
      <c r="E424" s="2" t="s">
        <v>1312</v>
      </c>
      <c r="F424" s="2" t="s">
        <v>1689</v>
      </c>
      <c r="G424" s="3" t="s">
        <v>49</v>
      </c>
      <c r="H424" s="2" t="s">
        <v>1690</v>
      </c>
      <c r="I424" s="2" t="s">
        <v>51</v>
      </c>
      <c r="J424" s="2" t="s">
        <v>52</v>
      </c>
      <c r="K424" s="2" t="s">
        <v>53</v>
      </c>
      <c r="L424" s="2" t="s">
        <v>53</v>
      </c>
      <c r="M424" s="2" t="s">
        <v>61</v>
      </c>
      <c r="N424" s="2" t="s">
        <v>53</v>
      </c>
      <c r="O424" s="2"/>
    </row>
    <row r="425" spans="1:15" ht="38.25" x14ac:dyDescent="0.25">
      <c r="A425" s="2" t="s">
        <v>1691</v>
      </c>
      <c r="B425" s="2" t="s">
        <v>1647</v>
      </c>
      <c r="C425" s="2" t="s">
        <v>1687</v>
      </c>
      <c r="D425" s="2" t="s">
        <v>1692</v>
      </c>
      <c r="E425" s="2" t="s">
        <v>1294</v>
      </c>
      <c r="F425" s="2" t="s">
        <v>1689</v>
      </c>
      <c r="G425" s="3" t="s">
        <v>49</v>
      </c>
      <c r="H425" s="2" t="s">
        <v>1690</v>
      </c>
      <c r="I425" s="2" t="s">
        <v>51</v>
      </c>
      <c r="J425" s="2" t="s">
        <v>52</v>
      </c>
      <c r="K425" s="2" t="s">
        <v>53</v>
      </c>
      <c r="L425" s="2" t="s">
        <v>53</v>
      </c>
      <c r="M425" s="2" t="s">
        <v>61</v>
      </c>
      <c r="N425" s="2" t="s">
        <v>53</v>
      </c>
      <c r="O425" s="2"/>
    </row>
    <row r="426" spans="1:15" ht="38.25" x14ac:dyDescent="0.25">
      <c r="A426" s="2" t="s">
        <v>1693</v>
      </c>
      <c r="B426" s="2" t="s">
        <v>1647</v>
      </c>
      <c r="C426" s="2" t="s">
        <v>1687</v>
      </c>
      <c r="D426" s="2" t="s">
        <v>1694</v>
      </c>
      <c r="E426" s="2" t="s">
        <v>263</v>
      </c>
      <c r="F426" s="2" t="s">
        <v>1689</v>
      </c>
      <c r="G426" s="3" t="s">
        <v>49</v>
      </c>
      <c r="H426" s="2" t="s">
        <v>1690</v>
      </c>
      <c r="I426" s="2" t="s">
        <v>51</v>
      </c>
      <c r="J426" s="2" t="s">
        <v>52</v>
      </c>
      <c r="K426" s="2" t="s">
        <v>53</v>
      </c>
      <c r="L426" s="2" t="s">
        <v>53</v>
      </c>
      <c r="M426" s="2" t="s">
        <v>61</v>
      </c>
      <c r="N426" s="2" t="s">
        <v>53</v>
      </c>
      <c r="O426" s="2"/>
    </row>
    <row r="427" spans="1:15" ht="38.25" x14ac:dyDescent="0.25">
      <c r="A427" s="2" t="s">
        <v>1695</v>
      </c>
      <c r="B427" s="2" t="s">
        <v>1647</v>
      </c>
      <c r="C427" s="2" t="s">
        <v>1687</v>
      </c>
      <c r="D427" s="2" t="s">
        <v>1696</v>
      </c>
      <c r="E427" s="2" t="s">
        <v>1373</v>
      </c>
      <c r="F427" s="2" t="s">
        <v>1689</v>
      </c>
      <c r="G427" s="3" t="s">
        <v>49</v>
      </c>
      <c r="H427" s="2" t="s">
        <v>1690</v>
      </c>
      <c r="I427" s="2" t="s">
        <v>51</v>
      </c>
      <c r="J427" s="2" t="s">
        <v>52</v>
      </c>
      <c r="K427" s="2" t="s">
        <v>53</v>
      </c>
      <c r="L427" s="2" t="s">
        <v>53</v>
      </c>
      <c r="M427" s="2" t="s">
        <v>61</v>
      </c>
      <c r="N427" s="2" t="s">
        <v>53</v>
      </c>
      <c r="O427" s="2"/>
    </row>
    <row r="428" spans="1:15" ht="25.5" x14ac:dyDescent="0.25">
      <c r="A428" s="2" t="s">
        <v>1697</v>
      </c>
      <c r="B428" s="2" t="s">
        <v>1647</v>
      </c>
      <c r="C428" s="2" t="s">
        <v>1698</v>
      </c>
      <c r="D428" s="2" t="s">
        <v>1699</v>
      </c>
      <c r="E428" s="2" t="s">
        <v>263</v>
      </c>
      <c r="F428" s="2" t="s">
        <v>1700</v>
      </c>
      <c r="G428" s="3" t="s">
        <v>49</v>
      </c>
      <c r="H428" s="2" t="s">
        <v>1143</v>
      </c>
      <c r="I428" s="2" t="s">
        <v>51</v>
      </c>
      <c r="J428" s="2" t="s">
        <v>52</v>
      </c>
      <c r="K428" s="2" t="s">
        <v>53</v>
      </c>
      <c r="L428" s="2" t="s">
        <v>53</v>
      </c>
      <c r="M428" s="2" t="s">
        <v>61</v>
      </c>
      <c r="N428" s="2" t="s">
        <v>53</v>
      </c>
      <c r="O428" s="2"/>
    </row>
    <row r="429" spans="1:15" ht="25.5" x14ac:dyDescent="0.25">
      <c r="A429" s="2" t="s">
        <v>1701</v>
      </c>
      <c r="B429" s="2" t="s">
        <v>1647</v>
      </c>
      <c r="C429" s="2" t="s">
        <v>1698</v>
      </c>
      <c r="D429" s="2" t="s">
        <v>1702</v>
      </c>
      <c r="E429" s="2" t="s">
        <v>263</v>
      </c>
      <c r="F429" s="2" t="s">
        <v>1703</v>
      </c>
      <c r="G429" s="3" t="s">
        <v>49</v>
      </c>
      <c r="H429" s="2" t="s">
        <v>1143</v>
      </c>
      <c r="I429" s="2" t="s">
        <v>51</v>
      </c>
      <c r="J429" s="2" t="s">
        <v>52</v>
      </c>
      <c r="K429" s="2" t="s">
        <v>53</v>
      </c>
      <c r="L429" s="2" t="s">
        <v>53</v>
      </c>
      <c r="M429" s="2" t="s">
        <v>61</v>
      </c>
      <c r="N429" s="2" t="s">
        <v>53</v>
      </c>
      <c r="O429" s="2"/>
    </row>
    <row r="430" spans="1:15" ht="51" x14ac:dyDescent="0.25">
      <c r="A430" s="2" t="s">
        <v>1704</v>
      </c>
      <c r="B430" s="2" t="s">
        <v>1647</v>
      </c>
      <c r="C430" s="2" t="s">
        <v>1698</v>
      </c>
      <c r="D430" s="2" t="s">
        <v>1705</v>
      </c>
      <c r="E430" s="2" t="s">
        <v>1706</v>
      </c>
      <c r="F430" s="2" t="s">
        <v>1700</v>
      </c>
      <c r="G430" s="3" t="s">
        <v>49</v>
      </c>
      <c r="H430" s="2" t="s">
        <v>1143</v>
      </c>
      <c r="I430" s="2" t="s">
        <v>51</v>
      </c>
      <c r="J430" s="2" t="s">
        <v>52</v>
      </c>
      <c r="K430" s="2" t="s">
        <v>53</v>
      </c>
      <c r="L430" s="2" t="s">
        <v>53</v>
      </c>
      <c r="M430" s="2" t="s">
        <v>61</v>
      </c>
      <c r="N430" s="2" t="s">
        <v>53</v>
      </c>
      <c r="O430" s="2"/>
    </row>
    <row r="431" spans="1:15" ht="25.5" x14ac:dyDescent="0.25">
      <c r="A431" s="2" t="s">
        <v>1707</v>
      </c>
      <c r="B431" s="2" t="s">
        <v>1647</v>
      </c>
      <c r="C431" s="2" t="s">
        <v>1708</v>
      </c>
      <c r="D431" s="2" t="s">
        <v>1709</v>
      </c>
      <c r="E431" s="2" t="s">
        <v>270</v>
      </c>
      <c r="F431" s="2" t="s">
        <v>1710</v>
      </c>
      <c r="G431" s="3" t="s">
        <v>49</v>
      </c>
      <c r="H431" s="2" t="s">
        <v>1670</v>
      </c>
      <c r="I431" s="2" t="s">
        <v>51</v>
      </c>
      <c r="J431" s="2" t="s">
        <v>52</v>
      </c>
      <c r="K431" s="2" t="s">
        <v>53</v>
      </c>
      <c r="L431" s="2" t="s">
        <v>53</v>
      </c>
      <c r="M431" s="2" t="s">
        <v>61</v>
      </c>
      <c r="N431" s="2" t="s">
        <v>53</v>
      </c>
      <c r="O431" s="2"/>
    </row>
    <row r="432" spans="1:15" ht="25.5" x14ac:dyDescent="0.25">
      <c r="A432" s="2" t="s">
        <v>1711</v>
      </c>
      <c r="B432" s="2" t="s">
        <v>1647</v>
      </c>
      <c r="C432" s="2" t="s">
        <v>1708</v>
      </c>
      <c r="D432" s="2" t="s">
        <v>1712</v>
      </c>
      <c r="E432" s="2" t="s">
        <v>263</v>
      </c>
      <c r="F432" s="2" t="s">
        <v>1710</v>
      </c>
      <c r="G432" s="3" t="s">
        <v>49</v>
      </c>
      <c r="H432" s="2" t="s">
        <v>1670</v>
      </c>
      <c r="I432" s="2" t="s">
        <v>51</v>
      </c>
      <c r="J432" s="2" t="s">
        <v>52</v>
      </c>
      <c r="K432" s="2" t="s">
        <v>53</v>
      </c>
      <c r="L432" s="2" t="s">
        <v>53</v>
      </c>
      <c r="M432" s="2" t="s">
        <v>61</v>
      </c>
      <c r="N432" s="2" t="s">
        <v>53</v>
      </c>
      <c r="O432" s="2"/>
    </row>
    <row r="433" spans="1:15" ht="25.5" x14ac:dyDescent="0.25">
      <c r="A433" s="2" t="s">
        <v>1713</v>
      </c>
      <c r="B433" s="2" t="s">
        <v>1647</v>
      </c>
      <c r="C433" s="2" t="s">
        <v>1714</v>
      </c>
      <c r="D433" s="2" t="s">
        <v>1715</v>
      </c>
      <c r="E433" s="2" t="s">
        <v>263</v>
      </c>
      <c r="F433" s="2" t="s">
        <v>1710</v>
      </c>
      <c r="G433" s="3" t="s">
        <v>49</v>
      </c>
      <c r="H433" s="2" t="s">
        <v>1670</v>
      </c>
      <c r="I433" s="2" t="s">
        <v>51</v>
      </c>
      <c r="J433" s="2" t="s">
        <v>52</v>
      </c>
      <c r="K433" s="2" t="s">
        <v>53</v>
      </c>
      <c r="L433" s="2" t="s">
        <v>53</v>
      </c>
      <c r="M433" s="2" t="s">
        <v>61</v>
      </c>
      <c r="N433" s="2" t="s">
        <v>53</v>
      </c>
      <c r="O433" s="2"/>
    </row>
    <row r="434" spans="1:15" ht="25.5" x14ac:dyDescent="0.25">
      <c r="A434" s="2" t="s">
        <v>1716</v>
      </c>
      <c r="B434" s="2" t="s">
        <v>1647</v>
      </c>
      <c r="C434" s="2" t="s">
        <v>1714</v>
      </c>
      <c r="D434" s="2" t="s">
        <v>1717</v>
      </c>
      <c r="E434" s="2" t="s">
        <v>263</v>
      </c>
      <c r="F434" s="2" t="s">
        <v>1710</v>
      </c>
      <c r="G434" s="3" t="s">
        <v>49</v>
      </c>
      <c r="H434" s="2" t="s">
        <v>1670</v>
      </c>
      <c r="I434" s="2" t="s">
        <v>51</v>
      </c>
      <c r="J434" s="2" t="s">
        <v>52</v>
      </c>
      <c r="K434" s="2" t="s">
        <v>53</v>
      </c>
      <c r="L434" s="2" t="s">
        <v>53</v>
      </c>
      <c r="M434" s="2" t="s">
        <v>61</v>
      </c>
      <c r="N434" s="2" t="s">
        <v>53</v>
      </c>
      <c r="O434" s="2"/>
    </row>
    <row r="435" spans="1:15" ht="51" x14ac:dyDescent="0.25">
      <c r="A435" s="2" t="s">
        <v>1718</v>
      </c>
      <c r="B435" s="2" t="s">
        <v>1647</v>
      </c>
      <c r="C435" s="2" t="s">
        <v>1714</v>
      </c>
      <c r="D435" s="2" t="s">
        <v>1719</v>
      </c>
      <c r="E435" s="2" t="s">
        <v>263</v>
      </c>
      <c r="F435" s="2" t="s">
        <v>1710</v>
      </c>
      <c r="G435" s="3" t="s">
        <v>49</v>
      </c>
      <c r="H435" s="2" t="s">
        <v>1670</v>
      </c>
      <c r="I435" s="2" t="s">
        <v>51</v>
      </c>
      <c r="J435" s="2" t="s">
        <v>52</v>
      </c>
      <c r="K435" s="2" t="s">
        <v>53</v>
      </c>
      <c r="L435" s="2" t="s">
        <v>53</v>
      </c>
      <c r="M435" s="2" t="s">
        <v>61</v>
      </c>
      <c r="N435" s="2" t="s">
        <v>53</v>
      </c>
      <c r="O435" s="2" t="s">
        <v>1720</v>
      </c>
    </row>
    <row r="436" spans="1:15" ht="38.25" x14ac:dyDescent="0.25">
      <c r="A436" s="2" t="s">
        <v>1721</v>
      </c>
      <c r="B436" s="2" t="s">
        <v>1647</v>
      </c>
      <c r="C436" s="2" t="s">
        <v>1722</v>
      </c>
      <c r="D436" s="2" t="s">
        <v>1723</v>
      </c>
      <c r="E436" s="2" t="s">
        <v>263</v>
      </c>
      <c r="F436" s="2" t="s">
        <v>1724</v>
      </c>
      <c r="G436" s="3" t="s">
        <v>49</v>
      </c>
      <c r="H436" s="2" t="s">
        <v>1670</v>
      </c>
      <c r="I436" s="2" t="s">
        <v>51</v>
      </c>
      <c r="J436" s="2" t="s">
        <v>52</v>
      </c>
      <c r="K436" s="2" t="s">
        <v>53</v>
      </c>
      <c r="L436" s="2" t="s">
        <v>53</v>
      </c>
      <c r="M436" s="2" t="s">
        <v>61</v>
      </c>
      <c r="N436" s="2" t="s">
        <v>53</v>
      </c>
      <c r="O436" s="2"/>
    </row>
    <row r="437" spans="1:15" ht="25.5" x14ac:dyDescent="0.25">
      <c r="A437" s="2" t="s">
        <v>1725</v>
      </c>
      <c r="B437" s="2" t="s">
        <v>1647</v>
      </c>
      <c r="C437" s="2" t="s">
        <v>1726</v>
      </c>
      <c r="D437" s="2" t="s">
        <v>1727</v>
      </c>
      <c r="E437" s="2" t="s">
        <v>263</v>
      </c>
      <c r="F437" s="2" t="s">
        <v>1724</v>
      </c>
      <c r="G437" s="3" t="s">
        <v>49</v>
      </c>
      <c r="H437" s="2" t="s">
        <v>1670</v>
      </c>
      <c r="I437" s="2" t="s">
        <v>51</v>
      </c>
      <c r="J437" s="2" t="s">
        <v>52</v>
      </c>
      <c r="K437" s="2" t="s">
        <v>53</v>
      </c>
      <c r="L437" s="2" t="s">
        <v>53</v>
      </c>
      <c r="M437" s="2" t="s">
        <v>61</v>
      </c>
      <c r="N437" s="2" t="s">
        <v>53</v>
      </c>
      <c r="O437" s="2"/>
    </row>
    <row r="438" spans="1:15" ht="25.5" x14ac:dyDescent="0.25">
      <c r="A438" s="2" t="s">
        <v>1728</v>
      </c>
      <c r="B438" s="2" t="s">
        <v>1647</v>
      </c>
      <c r="C438" s="2" t="s">
        <v>1726</v>
      </c>
      <c r="D438" s="2" t="s">
        <v>1729</v>
      </c>
      <c r="E438" s="2" t="s">
        <v>263</v>
      </c>
      <c r="F438" s="2" t="s">
        <v>1724</v>
      </c>
      <c r="G438" s="3" t="s">
        <v>49</v>
      </c>
      <c r="H438" s="2" t="s">
        <v>1670</v>
      </c>
      <c r="I438" s="2" t="s">
        <v>51</v>
      </c>
      <c r="J438" s="2" t="s">
        <v>52</v>
      </c>
      <c r="K438" s="2" t="s">
        <v>53</v>
      </c>
      <c r="L438" s="2" t="s">
        <v>53</v>
      </c>
      <c r="M438" s="2" t="s">
        <v>61</v>
      </c>
      <c r="N438" s="2" t="s">
        <v>53</v>
      </c>
      <c r="O438" s="2"/>
    </row>
    <row r="439" spans="1:15" ht="25.5" x14ac:dyDescent="0.25">
      <c r="A439" s="2" t="s">
        <v>1730</v>
      </c>
      <c r="B439" s="2" t="s">
        <v>1647</v>
      </c>
      <c r="C439" s="2" t="s">
        <v>1726</v>
      </c>
      <c r="D439" s="2" t="s">
        <v>1731</v>
      </c>
      <c r="E439" s="2" t="s">
        <v>263</v>
      </c>
      <c r="F439" s="2" t="s">
        <v>1724</v>
      </c>
      <c r="G439" s="3" t="s">
        <v>49</v>
      </c>
      <c r="H439" s="2" t="s">
        <v>1670</v>
      </c>
      <c r="I439" s="2" t="s">
        <v>51</v>
      </c>
      <c r="J439" s="2" t="s">
        <v>52</v>
      </c>
      <c r="K439" s="2" t="s">
        <v>53</v>
      </c>
      <c r="L439" s="2" t="s">
        <v>53</v>
      </c>
      <c r="M439" s="2" t="s">
        <v>61</v>
      </c>
      <c r="N439" s="2" t="s">
        <v>53</v>
      </c>
      <c r="O439" s="2"/>
    </row>
    <row r="440" spans="1:15" ht="25.5" x14ac:dyDescent="0.25">
      <c r="A440" s="2" t="s">
        <v>1732</v>
      </c>
      <c r="B440" s="2" t="s">
        <v>1647</v>
      </c>
      <c r="C440" s="2" t="s">
        <v>1726</v>
      </c>
      <c r="D440" s="2" t="s">
        <v>1733</v>
      </c>
      <c r="E440" s="2" t="s">
        <v>263</v>
      </c>
      <c r="F440" s="2" t="s">
        <v>1724</v>
      </c>
      <c r="G440" s="3" t="s">
        <v>49</v>
      </c>
      <c r="H440" s="2" t="s">
        <v>1670</v>
      </c>
      <c r="I440" s="2" t="s">
        <v>51</v>
      </c>
      <c r="J440" s="2" t="s">
        <v>52</v>
      </c>
      <c r="K440" s="2" t="s">
        <v>53</v>
      </c>
      <c r="L440" s="2" t="s">
        <v>53</v>
      </c>
      <c r="M440" s="2" t="s">
        <v>61</v>
      </c>
      <c r="N440" s="2" t="s">
        <v>53</v>
      </c>
      <c r="O440" s="2"/>
    </row>
    <row r="441" spans="1:15" ht="25.5" x14ac:dyDescent="0.25">
      <c r="A441" s="2" t="s">
        <v>1734</v>
      </c>
      <c r="B441" s="2" t="s">
        <v>1647</v>
      </c>
      <c r="C441" s="2" t="s">
        <v>1726</v>
      </c>
      <c r="D441" s="2" t="s">
        <v>1735</v>
      </c>
      <c r="E441" s="2" t="s">
        <v>263</v>
      </c>
      <c r="F441" s="2" t="s">
        <v>1724</v>
      </c>
      <c r="G441" s="3" t="s">
        <v>49</v>
      </c>
      <c r="H441" s="2" t="s">
        <v>1670</v>
      </c>
      <c r="I441" s="2" t="s">
        <v>51</v>
      </c>
      <c r="J441" s="2" t="s">
        <v>52</v>
      </c>
      <c r="K441" s="2" t="s">
        <v>53</v>
      </c>
      <c r="L441" s="2" t="s">
        <v>53</v>
      </c>
      <c r="M441" s="2" t="s">
        <v>61</v>
      </c>
      <c r="N441" s="2" t="s">
        <v>53</v>
      </c>
      <c r="O441" s="2"/>
    </row>
    <row r="442" spans="1:15" ht="25.5" x14ac:dyDescent="0.25">
      <c r="A442" s="2" t="s">
        <v>1736</v>
      </c>
      <c r="B442" s="2" t="s">
        <v>1647</v>
      </c>
      <c r="C442" s="2" t="s">
        <v>1737</v>
      </c>
      <c r="D442" s="2" t="s">
        <v>1738</v>
      </c>
      <c r="E442" s="2" t="s">
        <v>263</v>
      </c>
      <c r="F442" s="2" t="s">
        <v>1724</v>
      </c>
      <c r="G442" s="3" t="s">
        <v>49</v>
      </c>
      <c r="H442" s="2" t="s">
        <v>1670</v>
      </c>
      <c r="I442" s="2" t="s">
        <v>51</v>
      </c>
      <c r="J442" s="2" t="s">
        <v>52</v>
      </c>
      <c r="K442" s="2" t="s">
        <v>53</v>
      </c>
      <c r="L442" s="2" t="s">
        <v>53</v>
      </c>
      <c r="M442" s="2" t="s">
        <v>61</v>
      </c>
      <c r="N442" s="2" t="s">
        <v>53</v>
      </c>
      <c r="O442" s="2"/>
    </row>
    <row r="443" spans="1:15" ht="25.5" x14ac:dyDescent="0.25">
      <c r="A443" s="2" t="s">
        <v>1739</v>
      </c>
      <c r="B443" s="2" t="s">
        <v>1647</v>
      </c>
      <c r="C443" s="2" t="s">
        <v>1737</v>
      </c>
      <c r="D443" s="2" t="s">
        <v>1740</v>
      </c>
      <c r="E443" s="2" t="s">
        <v>263</v>
      </c>
      <c r="F443" s="2" t="s">
        <v>1724</v>
      </c>
      <c r="G443" s="3" t="s">
        <v>49</v>
      </c>
      <c r="H443" s="2" t="s">
        <v>1670</v>
      </c>
      <c r="I443" s="2" t="s">
        <v>51</v>
      </c>
      <c r="J443" s="2" t="s">
        <v>52</v>
      </c>
      <c r="K443" s="2" t="s">
        <v>53</v>
      </c>
      <c r="L443" s="2" t="s">
        <v>53</v>
      </c>
      <c r="M443" s="2" t="s">
        <v>61</v>
      </c>
      <c r="N443" s="2" t="s">
        <v>53</v>
      </c>
      <c r="O443" s="2"/>
    </row>
    <row r="444" spans="1:15" ht="25.5" x14ac:dyDescent="0.25">
      <c r="A444" s="2" t="s">
        <v>1741</v>
      </c>
      <c r="B444" s="2" t="s">
        <v>1647</v>
      </c>
      <c r="C444" s="2" t="s">
        <v>1737</v>
      </c>
      <c r="D444" s="2" t="s">
        <v>1742</v>
      </c>
      <c r="E444" s="2" t="s">
        <v>263</v>
      </c>
      <c r="F444" s="2" t="s">
        <v>1724</v>
      </c>
      <c r="G444" s="3" t="s">
        <v>49</v>
      </c>
      <c r="H444" s="2" t="s">
        <v>1670</v>
      </c>
      <c r="I444" s="2" t="s">
        <v>51</v>
      </c>
      <c r="J444" s="2" t="s">
        <v>52</v>
      </c>
      <c r="K444" s="2" t="s">
        <v>53</v>
      </c>
      <c r="L444" s="2" t="s">
        <v>53</v>
      </c>
      <c r="M444" s="2" t="s">
        <v>61</v>
      </c>
      <c r="N444" s="2" t="s">
        <v>53</v>
      </c>
      <c r="O444" s="2"/>
    </row>
    <row r="445" spans="1:15" ht="25.5" x14ac:dyDescent="0.25">
      <c r="A445" s="2" t="s">
        <v>1743</v>
      </c>
      <c r="B445" s="2" t="s">
        <v>1647</v>
      </c>
      <c r="C445" s="2" t="s">
        <v>1737</v>
      </c>
      <c r="D445" s="2" t="s">
        <v>1744</v>
      </c>
      <c r="E445" s="2" t="s">
        <v>263</v>
      </c>
      <c r="F445" s="2" t="s">
        <v>1724</v>
      </c>
      <c r="G445" s="3" t="s">
        <v>49</v>
      </c>
      <c r="H445" s="2" t="s">
        <v>1670</v>
      </c>
      <c r="I445" s="2" t="s">
        <v>51</v>
      </c>
      <c r="J445" s="2" t="s">
        <v>52</v>
      </c>
      <c r="K445" s="2" t="s">
        <v>53</v>
      </c>
      <c r="L445" s="2" t="s">
        <v>53</v>
      </c>
      <c r="M445" s="2" t="s">
        <v>61</v>
      </c>
      <c r="N445" s="2" t="s">
        <v>53</v>
      </c>
      <c r="O445" s="2"/>
    </row>
    <row r="446" spans="1:15" ht="25.5" x14ac:dyDescent="0.25">
      <c r="A446" s="2" t="s">
        <v>1745</v>
      </c>
      <c r="B446" s="2" t="s">
        <v>1647</v>
      </c>
      <c r="C446" s="2" t="s">
        <v>1737</v>
      </c>
      <c r="D446" s="2" t="s">
        <v>1746</v>
      </c>
      <c r="E446" s="2" t="s">
        <v>1312</v>
      </c>
      <c r="F446" s="2" t="s">
        <v>1724</v>
      </c>
      <c r="G446" s="3" t="s">
        <v>49</v>
      </c>
      <c r="H446" s="2" t="s">
        <v>1670</v>
      </c>
      <c r="I446" s="2" t="s">
        <v>51</v>
      </c>
      <c r="J446" s="2" t="s">
        <v>52</v>
      </c>
      <c r="K446" s="2" t="s">
        <v>53</v>
      </c>
      <c r="L446" s="2" t="s">
        <v>53</v>
      </c>
      <c r="M446" s="2" t="s">
        <v>61</v>
      </c>
      <c r="N446" s="2" t="s">
        <v>53</v>
      </c>
      <c r="O446" s="2"/>
    </row>
    <row r="447" spans="1:15" ht="25.5" x14ac:dyDescent="0.25">
      <c r="A447" s="2" t="s">
        <v>1747</v>
      </c>
      <c r="B447" s="2" t="s">
        <v>1647</v>
      </c>
      <c r="C447" s="2" t="s">
        <v>1748</v>
      </c>
      <c r="D447" s="2" t="s">
        <v>1749</v>
      </c>
      <c r="E447" s="2" t="s">
        <v>263</v>
      </c>
      <c r="F447" s="2" t="s">
        <v>1724</v>
      </c>
      <c r="G447" s="3" t="s">
        <v>49</v>
      </c>
      <c r="H447" s="2" t="s">
        <v>1670</v>
      </c>
      <c r="I447" s="2" t="s">
        <v>51</v>
      </c>
      <c r="J447" s="2" t="s">
        <v>52</v>
      </c>
      <c r="K447" s="2" t="s">
        <v>53</v>
      </c>
      <c r="L447" s="2" t="s">
        <v>53</v>
      </c>
      <c r="M447" s="2" t="s">
        <v>61</v>
      </c>
      <c r="N447" s="2" t="s">
        <v>53</v>
      </c>
      <c r="O447" s="2"/>
    </row>
    <row r="448" spans="1:15" ht="38.25" x14ac:dyDescent="0.25">
      <c r="A448" s="2" t="s">
        <v>1750</v>
      </c>
      <c r="B448" s="2" t="s">
        <v>1647</v>
      </c>
      <c r="C448" s="2" t="s">
        <v>1748</v>
      </c>
      <c r="D448" s="2" t="s">
        <v>1751</v>
      </c>
      <c r="E448" s="2" t="s">
        <v>263</v>
      </c>
      <c r="F448" s="2" t="s">
        <v>1724</v>
      </c>
      <c r="G448" s="3" t="s">
        <v>49</v>
      </c>
      <c r="H448" s="2" t="s">
        <v>1670</v>
      </c>
      <c r="I448" s="2" t="s">
        <v>51</v>
      </c>
      <c r="J448" s="2" t="s">
        <v>52</v>
      </c>
      <c r="K448" s="2" t="s">
        <v>53</v>
      </c>
      <c r="L448" s="2" t="s">
        <v>53</v>
      </c>
      <c r="M448" s="2" t="s">
        <v>61</v>
      </c>
      <c r="N448" s="2" t="s">
        <v>53</v>
      </c>
      <c r="O448" s="2"/>
    </row>
    <row r="449" spans="1:15" ht="38.25" x14ac:dyDescent="0.25">
      <c r="A449" s="2" t="s">
        <v>1752</v>
      </c>
      <c r="B449" s="2" t="s">
        <v>1647</v>
      </c>
      <c r="C449" s="2" t="s">
        <v>1748</v>
      </c>
      <c r="D449" s="2" t="s">
        <v>1753</v>
      </c>
      <c r="E449" s="2" t="s">
        <v>263</v>
      </c>
      <c r="F449" s="2" t="s">
        <v>1724</v>
      </c>
      <c r="G449" s="3" t="s">
        <v>49</v>
      </c>
      <c r="H449" s="2" t="s">
        <v>1670</v>
      </c>
      <c r="I449" s="2" t="s">
        <v>51</v>
      </c>
      <c r="J449" s="2" t="s">
        <v>52</v>
      </c>
      <c r="K449" s="2" t="s">
        <v>53</v>
      </c>
      <c r="L449" s="2" t="s">
        <v>53</v>
      </c>
      <c r="M449" s="2" t="s">
        <v>61</v>
      </c>
      <c r="N449" s="2" t="s">
        <v>53</v>
      </c>
      <c r="O449" s="2"/>
    </row>
    <row r="450" spans="1:15" ht="38.25" x14ac:dyDescent="0.25">
      <c r="A450" s="2" t="s">
        <v>1754</v>
      </c>
      <c r="B450" s="2" t="s">
        <v>1647</v>
      </c>
      <c r="C450" s="2" t="s">
        <v>1748</v>
      </c>
      <c r="D450" s="2" t="s">
        <v>1755</v>
      </c>
      <c r="E450" s="2" t="s">
        <v>263</v>
      </c>
      <c r="F450" s="2" t="s">
        <v>1724</v>
      </c>
      <c r="G450" s="3" t="s">
        <v>49</v>
      </c>
      <c r="H450" s="2" t="s">
        <v>1670</v>
      </c>
      <c r="I450" s="2" t="s">
        <v>51</v>
      </c>
      <c r="J450" s="2" t="s">
        <v>52</v>
      </c>
      <c r="K450" s="2" t="s">
        <v>53</v>
      </c>
      <c r="L450" s="2" t="s">
        <v>53</v>
      </c>
      <c r="M450" s="2" t="s">
        <v>61</v>
      </c>
      <c r="N450" s="2" t="s">
        <v>53</v>
      </c>
      <c r="O450" s="2"/>
    </row>
    <row r="451" spans="1:15" ht="25.5" x14ac:dyDescent="0.25">
      <c r="A451" s="2" t="s">
        <v>1756</v>
      </c>
      <c r="B451" s="2" t="s">
        <v>1647</v>
      </c>
      <c r="C451" s="2" t="s">
        <v>1748</v>
      </c>
      <c r="D451" s="2" t="s">
        <v>1757</v>
      </c>
      <c r="E451" s="2" t="s">
        <v>1312</v>
      </c>
      <c r="F451" s="2" t="s">
        <v>1724</v>
      </c>
      <c r="G451" s="3" t="s">
        <v>49</v>
      </c>
      <c r="H451" s="2" t="s">
        <v>1670</v>
      </c>
      <c r="I451" s="2" t="s">
        <v>51</v>
      </c>
      <c r="J451" s="2" t="s">
        <v>52</v>
      </c>
      <c r="K451" s="2" t="s">
        <v>53</v>
      </c>
      <c r="L451" s="2" t="s">
        <v>53</v>
      </c>
      <c r="M451" s="2" t="s">
        <v>61</v>
      </c>
      <c r="N451" s="2" t="s">
        <v>53</v>
      </c>
      <c r="O451" s="2"/>
    </row>
    <row r="452" spans="1:15" ht="25.5" x14ac:dyDescent="0.25">
      <c r="A452" s="2" t="s">
        <v>1758</v>
      </c>
      <c r="B452" s="2" t="s">
        <v>1647</v>
      </c>
      <c r="C452" s="2" t="s">
        <v>1759</v>
      </c>
      <c r="D452" s="2" t="s">
        <v>1760</v>
      </c>
      <c r="E452" s="2" t="s">
        <v>263</v>
      </c>
      <c r="F452" s="2" t="s">
        <v>1724</v>
      </c>
      <c r="G452" s="3" t="s">
        <v>49</v>
      </c>
      <c r="H452" s="2" t="s">
        <v>1670</v>
      </c>
      <c r="I452" s="2" t="s">
        <v>51</v>
      </c>
      <c r="J452" s="2" t="s">
        <v>52</v>
      </c>
      <c r="K452" s="2" t="s">
        <v>53</v>
      </c>
      <c r="L452" s="2" t="s">
        <v>53</v>
      </c>
      <c r="M452" s="2" t="s">
        <v>61</v>
      </c>
      <c r="N452" s="2" t="s">
        <v>53</v>
      </c>
      <c r="O452" s="2"/>
    </row>
    <row r="453" spans="1:15" ht="25.5" x14ac:dyDescent="0.25">
      <c r="A453" s="2" t="s">
        <v>1761</v>
      </c>
      <c r="B453" s="2" t="s">
        <v>1647</v>
      </c>
      <c r="C453" s="2" t="s">
        <v>1759</v>
      </c>
      <c r="D453" s="2" t="s">
        <v>1762</v>
      </c>
      <c r="E453" s="2" t="s">
        <v>263</v>
      </c>
      <c r="F453" s="2" t="s">
        <v>1724</v>
      </c>
      <c r="G453" s="3" t="s">
        <v>49</v>
      </c>
      <c r="H453" s="2" t="s">
        <v>1670</v>
      </c>
      <c r="I453" s="2" t="s">
        <v>51</v>
      </c>
      <c r="J453" s="2" t="s">
        <v>52</v>
      </c>
      <c r="K453" s="2" t="s">
        <v>53</v>
      </c>
      <c r="L453" s="2" t="s">
        <v>53</v>
      </c>
      <c r="M453" s="2" t="s">
        <v>61</v>
      </c>
      <c r="N453" s="2" t="s">
        <v>53</v>
      </c>
      <c r="O453" s="2"/>
    </row>
    <row r="454" spans="1:15" ht="25.5" x14ac:dyDescent="0.25">
      <c r="A454" s="2" t="s">
        <v>1763</v>
      </c>
      <c r="B454" s="2" t="s">
        <v>1647</v>
      </c>
      <c r="C454" s="2" t="s">
        <v>1759</v>
      </c>
      <c r="D454" s="2" t="s">
        <v>1764</v>
      </c>
      <c r="E454" s="2" t="s">
        <v>1312</v>
      </c>
      <c r="F454" s="2" t="s">
        <v>1724</v>
      </c>
      <c r="G454" s="3" t="s">
        <v>49</v>
      </c>
      <c r="H454" s="2" t="s">
        <v>1670</v>
      </c>
      <c r="I454" s="2" t="s">
        <v>51</v>
      </c>
      <c r="J454" s="2" t="s">
        <v>52</v>
      </c>
      <c r="K454" s="2" t="s">
        <v>53</v>
      </c>
      <c r="L454" s="2" t="s">
        <v>53</v>
      </c>
      <c r="M454" s="2" t="s">
        <v>61</v>
      </c>
      <c r="N454" s="2" t="s">
        <v>53</v>
      </c>
      <c r="O454" s="2"/>
    </row>
    <row r="455" spans="1:15" ht="25.5" x14ac:dyDescent="0.25">
      <c r="A455" s="2" t="s">
        <v>1765</v>
      </c>
      <c r="B455" s="2" t="s">
        <v>1647</v>
      </c>
      <c r="C455" s="2" t="s">
        <v>1766</v>
      </c>
      <c r="D455" s="2" t="s">
        <v>1767</v>
      </c>
      <c r="E455" s="2" t="s">
        <v>1312</v>
      </c>
      <c r="F455" s="2" t="s">
        <v>1724</v>
      </c>
      <c r="G455" s="3" t="s">
        <v>49</v>
      </c>
      <c r="H455" s="2" t="s">
        <v>1670</v>
      </c>
      <c r="I455" s="2" t="s">
        <v>51</v>
      </c>
      <c r="J455" s="2" t="s">
        <v>52</v>
      </c>
      <c r="K455" s="2" t="s">
        <v>53</v>
      </c>
      <c r="L455" s="2" t="s">
        <v>53</v>
      </c>
      <c r="M455" s="2" t="s">
        <v>61</v>
      </c>
      <c r="N455" s="2" t="s">
        <v>53</v>
      </c>
      <c r="O455" s="2"/>
    </row>
    <row r="456" spans="1:15" ht="25.5" x14ac:dyDescent="0.25">
      <c r="A456" s="2" t="s">
        <v>1768</v>
      </c>
      <c r="B456" s="2" t="s">
        <v>1647</v>
      </c>
      <c r="C456" s="2" t="s">
        <v>1766</v>
      </c>
      <c r="D456" s="2" t="s">
        <v>1769</v>
      </c>
      <c r="E456" s="2" t="s">
        <v>1312</v>
      </c>
      <c r="F456" s="2" t="s">
        <v>1724</v>
      </c>
      <c r="G456" s="3" t="s">
        <v>49</v>
      </c>
      <c r="H456" s="2" t="s">
        <v>1670</v>
      </c>
      <c r="I456" s="2" t="s">
        <v>51</v>
      </c>
      <c r="J456" s="2" t="s">
        <v>52</v>
      </c>
      <c r="K456" s="2" t="s">
        <v>53</v>
      </c>
      <c r="L456" s="2" t="s">
        <v>53</v>
      </c>
      <c r="M456" s="2" t="s">
        <v>61</v>
      </c>
      <c r="N456" s="2" t="s">
        <v>53</v>
      </c>
      <c r="O456" s="2"/>
    </row>
    <row r="457" spans="1:15" ht="25.5" x14ac:dyDescent="0.25">
      <c r="A457" s="2" t="s">
        <v>1770</v>
      </c>
      <c r="B457" s="2" t="s">
        <v>1647</v>
      </c>
      <c r="C457" s="2" t="s">
        <v>1771</v>
      </c>
      <c r="D457" s="2" t="s">
        <v>1772</v>
      </c>
      <c r="E457" s="2" t="s">
        <v>263</v>
      </c>
      <c r="F457" s="2" t="s">
        <v>1724</v>
      </c>
      <c r="G457" s="3" t="s">
        <v>49</v>
      </c>
      <c r="H457" s="2" t="s">
        <v>1670</v>
      </c>
      <c r="I457" s="2" t="s">
        <v>51</v>
      </c>
      <c r="J457" s="2" t="s">
        <v>52</v>
      </c>
      <c r="K457" s="2" t="s">
        <v>53</v>
      </c>
      <c r="L457" s="2" t="s">
        <v>53</v>
      </c>
      <c r="M457" s="2" t="s">
        <v>61</v>
      </c>
      <c r="N457" s="2" t="s">
        <v>53</v>
      </c>
      <c r="O457" s="2"/>
    </row>
    <row r="458" spans="1:15" ht="25.5" x14ac:dyDescent="0.25">
      <c r="A458" s="2" t="s">
        <v>1773</v>
      </c>
      <c r="B458" s="2" t="s">
        <v>1647</v>
      </c>
      <c r="C458" s="2" t="s">
        <v>1771</v>
      </c>
      <c r="D458" s="2" t="s">
        <v>1774</v>
      </c>
      <c r="E458" s="2" t="s">
        <v>263</v>
      </c>
      <c r="F458" s="2" t="s">
        <v>1724</v>
      </c>
      <c r="G458" s="3" t="s">
        <v>49</v>
      </c>
      <c r="H458" s="2" t="s">
        <v>1670</v>
      </c>
      <c r="I458" s="2" t="s">
        <v>51</v>
      </c>
      <c r="J458" s="2" t="s">
        <v>52</v>
      </c>
      <c r="K458" s="2" t="s">
        <v>53</v>
      </c>
      <c r="L458" s="2" t="s">
        <v>53</v>
      </c>
      <c r="M458" s="2" t="s">
        <v>61</v>
      </c>
      <c r="N458" s="2" t="s">
        <v>53</v>
      </c>
      <c r="O458" s="2"/>
    </row>
    <row r="459" spans="1:15" ht="25.5" x14ac:dyDescent="0.25">
      <c r="A459" s="2" t="s">
        <v>1775</v>
      </c>
      <c r="B459" s="2" t="s">
        <v>1647</v>
      </c>
      <c r="C459" s="2" t="s">
        <v>1771</v>
      </c>
      <c r="D459" s="2" t="s">
        <v>1776</v>
      </c>
      <c r="E459" s="2" t="s">
        <v>1312</v>
      </c>
      <c r="F459" s="2" t="s">
        <v>1724</v>
      </c>
      <c r="G459" s="3" t="s">
        <v>49</v>
      </c>
      <c r="H459" s="2" t="s">
        <v>1670</v>
      </c>
      <c r="I459" s="2" t="s">
        <v>51</v>
      </c>
      <c r="J459" s="2" t="s">
        <v>52</v>
      </c>
      <c r="K459" s="2" t="s">
        <v>53</v>
      </c>
      <c r="L459" s="2" t="s">
        <v>53</v>
      </c>
      <c r="M459" s="2" t="s">
        <v>61</v>
      </c>
      <c r="N459" s="2" t="s">
        <v>53</v>
      </c>
      <c r="O459" s="2"/>
    </row>
    <row r="460" spans="1:15" ht="25.5" x14ac:dyDescent="0.25">
      <c r="A460" s="2" t="s">
        <v>1777</v>
      </c>
      <c r="B460" s="2" t="s">
        <v>1647</v>
      </c>
      <c r="C460" s="2" t="s">
        <v>1778</v>
      </c>
      <c r="D460" s="2" t="s">
        <v>1779</v>
      </c>
      <c r="E460" s="2" t="s">
        <v>263</v>
      </c>
      <c r="F460" s="2" t="s">
        <v>1724</v>
      </c>
      <c r="G460" s="3" t="s">
        <v>49</v>
      </c>
      <c r="H460" s="2" t="s">
        <v>1670</v>
      </c>
      <c r="I460" s="2" t="s">
        <v>51</v>
      </c>
      <c r="J460" s="2" t="s">
        <v>52</v>
      </c>
      <c r="K460" s="2" t="s">
        <v>53</v>
      </c>
      <c r="L460" s="2" t="s">
        <v>53</v>
      </c>
      <c r="M460" s="2" t="s">
        <v>61</v>
      </c>
      <c r="N460" s="2" t="s">
        <v>53</v>
      </c>
      <c r="O460" s="2"/>
    </row>
    <row r="461" spans="1:15" ht="25.5" x14ac:dyDescent="0.25">
      <c r="A461" s="2" t="s">
        <v>1780</v>
      </c>
      <c r="B461" s="2" t="s">
        <v>1647</v>
      </c>
      <c r="C461" s="2" t="s">
        <v>1778</v>
      </c>
      <c r="D461" s="2" t="s">
        <v>1781</v>
      </c>
      <c r="E461" s="2" t="s">
        <v>1312</v>
      </c>
      <c r="F461" s="2" t="s">
        <v>1724</v>
      </c>
      <c r="G461" s="3" t="s">
        <v>49</v>
      </c>
      <c r="H461" s="2" t="s">
        <v>1670</v>
      </c>
      <c r="I461" s="2" t="s">
        <v>51</v>
      </c>
      <c r="J461" s="2" t="s">
        <v>52</v>
      </c>
      <c r="K461" s="2" t="s">
        <v>53</v>
      </c>
      <c r="L461" s="2" t="s">
        <v>53</v>
      </c>
      <c r="M461" s="2" t="s">
        <v>61</v>
      </c>
      <c r="N461" s="2" t="s">
        <v>53</v>
      </c>
      <c r="O461" s="2"/>
    </row>
    <row r="462" spans="1:15" ht="25.5" x14ac:dyDescent="0.25">
      <c r="A462" s="2" t="s">
        <v>1782</v>
      </c>
      <c r="B462" s="2" t="s">
        <v>1647</v>
      </c>
      <c r="C462" s="2" t="s">
        <v>1783</v>
      </c>
      <c r="D462" s="2" t="s">
        <v>1784</v>
      </c>
      <c r="E462" s="2" t="s">
        <v>1312</v>
      </c>
      <c r="F462" s="2" t="s">
        <v>1724</v>
      </c>
      <c r="G462" s="3" t="s">
        <v>49</v>
      </c>
      <c r="H462" s="2" t="s">
        <v>1670</v>
      </c>
      <c r="I462" s="2" t="s">
        <v>51</v>
      </c>
      <c r="J462" s="2" t="s">
        <v>52</v>
      </c>
      <c r="K462" s="2" t="s">
        <v>53</v>
      </c>
      <c r="L462" s="2" t="s">
        <v>53</v>
      </c>
      <c r="M462" s="2" t="s">
        <v>61</v>
      </c>
      <c r="N462" s="2" t="s">
        <v>53</v>
      </c>
      <c r="O462" s="2"/>
    </row>
    <row r="463" spans="1:15" ht="25.5" x14ac:dyDescent="0.25">
      <c r="A463" s="2" t="s">
        <v>1785</v>
      </c>
      <c r="B463" s="2" t="s">
        <v>1647</v>
      </c>
      <c r="C463" s="2" t="s">
        <v>1783</v>
      </c>
      <c r="D463" s="2" t="s">
        <v>1786</v>
      </c>
      <c r="E463" s="2" t="s">
        <v>263</v>
      </c>
      <c r="F463" s="2" t="s">
        <v>1724</v>
      </c>
      <c r="G463" s="3" t="s">
        <v>49</v>
      </c>
      <c r="H463" s="2" t="s">
        <v>1670</v>
      </c>
      <c r="I463" s="2" t="s">
        <v>51</v>
      </c>
      <c r="J463" s="2" t="s">
        <v>52</v>
      </c>
      <c r="K463" s="2" t="s">
        <v>53</v>
      </c>
      <c r="L463" s="2" t="s">
        <v>53</v>
      </c>
      <c r="M463" s="2" t="s">
        <v>61</v>
      </c>
      <c r="N463" s="2" t="s">
        <v>53</v>
      </c>
      <c r="O463" s="2"/>
    </row>
    <row r="464" spans="1:15" ht="25.5" x14ac:dyDescent="0.25">
      <c r="A464" s="2" t="s">
        <v>1787</v>
      </c>
      <c r="B464" s="2" t="s">
        <v>1647</v>
      </c>
      <c r="C464" s="2" t="s">
        <v>1783</v>
      </c>
      <c r="D464" s="2" t="s">
        <v>1788</v>
      </c>
      <c r="E464" s="2" t="s">
        <v>1312</v>
      </c>
      <c r="F464" s="2" t="s">
        <v>1724</v>
      </c>
      <c r="G464" s="3" t="s">
        <v>49</v>
      </c>
      <c r="H464" s="2" t="s">
        <v>1670</v>
      </c>
      <c r="I464" s="2" t="s">
        <v>51</v>
      </c>
      <c r="J464" s="2" t="s">
        <v>52</v>
      </c>
      <c r="K464" s="2" t="s">
        <v>53</v>
      </c>
      <c r="L464" s="2" t="s">
        <v>53</v>
      </c>
      <c r="M464" s="2" t="s">
        <v>61</v>
      </c>
      <c r="N464" s="2" t="s">
        <v>53</v>
      </c>
      <c r="O464" s="2"/>
    </row>
    <row r="465" spans="1:15" ht="25.5" x14ac:dyDescent="0.25">
      <c r="A465" s="2" t="s">
        <v>1789</v>
      </c>
      <c r="B465" s="2" t="s">
        <v>1647</v>
      </c>
      <c r="C465" s="2" t="s">
        <v>1790</v>
      </c>
      <c r="D465" s="2" t="s">
        <v>1791</v>
      </c>
      <c r="E465" s="2" t="s">
        <v>263</v>
      </c>
      <c r="F465" s="2" t="s">
        <v>1724</v>
      </c>
      <c r="G465" s="3" t="s">
        <v>49</v>
      </c>
      <c r="H465" s="2" t="s">
        <v>1670</v>
      </c>
      <c r="I465" s="2" t="s">
        <v>51</v>
      </c>
      <c r="J465" s="2" t="s">
        <v>52</v>
      </c>
      <c r="K465" s="2" t="s">
        <v>53</v>
      </c>
      <c r="L465" s="2" t="s">
        <v>53</v>
      </c>
      <c r="M465" s="2" t="s">
        <v>61</v>
      </c>
      <c r="N465" s="2" t="s">
        <v>53</v>
      </c>
      <c r="O465" s="2"/>
    </row>
    <row r="466" spans="1:15" ht="25.5" x14ac:dyDescent="0.25">
      <c r="A466" s="2" t="s">
        <v>1792</v>
      </c>
      <c r="B466" s="2" t="s">
        <v>1647</v>
      </c>
      <c r="C466" s="2" t="s">
        <v>1790</v>
      </c>
      <c r="D466" s="2" t="s">
        <v>1793</v>
      </c>
      <c r="E466" s="2" t="s">
        <v>263</v>
      </c>
      <c r="F466" s="2" t="s">
        <v>1724</v>
      </c>
      <c r="G466" s="3" t="s">
        <v>49</v>
      </c>
      <c r="H466" s="2" t="s">
        <v>1670</v>
      </c>
      <c r="I466" s="2" t="s">
        <v>51</v>
      </c>
      <c r="J466" s="2" t="s">
        <v>52</v>
      </c>
      <c r="K466" s="2" t="s">
        <v>53</v>
      </c>
      <c r="L466" s="2" t="s">
        <v>53</v>
      </c>
      <c r="M466" s="2" t="s">
        <v>61</v>
      </c>
      <c r="N466" s="2" t="s">
        <v>53</v>
      </c>
      <c r="O466" s="2"/>
    </row>
    <row r="467" spans="1:15" ht="25.5" x14ac:dyDescent="0.25">
      <c r="A467" s="2" t="s">
        <v>1794</v>
      </c>
      <c r="B467" s="2" t="s">
        <v>1647</v>
      </c>
      <c r="C467" s="2" t="s">
        <v>1790</v>
      </c>
      <c r="D467" s="2" t="s">
        <v>1795</v>
      </c>
      <c r="E467" s="2" t="s">
        <v>1294</v>
      </c>
      <c r="F467" s="2" t="s">
        <v>1724</v>
      </c>
      <c r="G467" s="3" t="s">
        <v>49</v>
      </c>
      <c r="H467" s="2" t="s">
        <v>1670</v>
      </c>
      <c r="I467" s="2" t="s">
        <v>51</v>
      </c>
      <c r="J467" s="2" t="s">
        <v>52</v>
      </c>
      <c r="K467" s="2" t="s">
        <v>53</v>
      </c>
      <c r="L467" s="2" t="s">
        <v>53</v>
      </c>
      <c r="M467" s="2" t="s">
        <v>61</v>
      </c>
      <c r="N467" s="2" t="s">
        <v>53</v>
      </c>
      <c r="O467" s="2"/>
    </row>
    <row r="468" spans="1:15" ht="25.5" x14ac:dyDescent="0.25">
      <c r="A468" s="2" t="s">
        <v>1796</v>
      </c>
      <c r="B468" s="2" t="s">
        <v>1647</v>
      </c>
      <c r="C468" s="2" t="s">
        <v>1790</v>
      </c>
      <c r="D468" s="2" t="s">
        <v>1797</v>
      </c>
      <c r="E468" s="2" t="s">
        <v>263</v>
      </c>
      <c r="F468" s="2" t="s">
        <v>1724</v>
      </c>
      <c r="G468" s="3" t="s">
        <v>49</v>
      </c>
      <c r="H468" s="2" t="s">
        <v>1670</v>
      </c>
      <c r="I468" s="2" t="s">
        <v>51</v>
      </c>
      <c r="J468" s="2" t="s">
        <v>52</v>
      </c>
      <c r="K468" s="2" t="s">
        <v>53</v>
      </c>
      <c r="L468" s="2" t="s">
        <v>53</v>
      </c>
      <c r="M468" s="2" t="s">
        <v>61</v>
      </c>
      <c r="N468" s="2" t="s">
        <v>53</v>
      </c>
      <c r="O468" s="2"/>
    </row>
    <row r="469" spans="1:15" ht="25.5" x14ac:dyDescent="0.25">
      <c r="A469" s="2" t="s">
        <v>1798</v>
      </c>
      <c r="B469" s="2" t="s">
        <v>1647</v>
      </c>
      <c r="C469" s="2" t="s">
        <v>1790</v>
      </c>
      <c r="D469" s="2" t="s">
        <v>1799</v>
      </c>
      <c r="E469" s="2" t="s">
        <v>1312</v>
      </c>
      <c r="F469" s="2" t="s">
        <v>1724</v>
      </c>
      <c r="G469" s="3" t="s">
        <v>49</v>
      </c>
      <c r="H469" s="2" t="s">
        <v>1670</v>
      </c>
      <c r="I469" s="2" t="s">
        <v>51</v>
      </c>
      <c r="J469" s="2" t="s">
        <v>52</v>
      </c>
      <c r="K469" s="2" t="s">
        <v>53</v>
      </c>
      <c r="L469" s="2" t="s">
        <v>53</v>
      </c>
      <c r="M469" s="2" t="s">
        <v>61</v>
      </c>
      <c r="N469" s="2" t="s">
        <v>53</v>
      </c>
      <c r="O469" s="2"/>
    </row>
    <row r="470" spans="1:15" ht="25.5" x14ac:dyDescent="0.25">
      <c r="A470" s="2" t="s">
        <v>1800</v>
      </c>
      <c r="B470" s="2" t="s">
        <v>1647</v>
      </c>
      <c r="C470" s="2" t="s">
        <v>1790</v>
      </c>
      <c r="D470" s="2" t="s">
        <v>1801</v>
      </c>
      <c r="E470" s="2" t="s">
        <v>263</v>
      </c>
      <c r="F470" s="2" t="s">
        <v>1724</v>
      </c>
      <c r="G470" s="3" t="s">
        <v>49</v>
      </c>
      <c r="H470" s="2" t="s">
        <v>1670</v>
      </c>
      <c r="I470" s="2" t="s">
        <v>51</v>
      </c>
      <c r="J470" s="2" t="s">
        <v>52</v>
      </c>
      <c r="K470" s="2" t="s">
        <v>53</v>
      </c>
      <c r="L470" s="2" t="s">
        <v>53</v>
      </c>
      <c r="M470" s="2" t="s">
        <v>61</v>
      </c>
      <c r="N470" s="2" t="s">
        <v>53</v>
      </c>
      <c r="O470" s="2"/>
    </row>
    <row r="471" spans="1:15" ht="25.5" x14ac:dyDescent="0.25">
      <c r="A471" s="2" t="s">
        <v>1802</v>
      </c>
      <c r="B471" s="2" t="s">
        <v>1647</v>
      </c>
      <c r="C471" s="2" t="s">
        <v>1803</v>
      </c>
      <c r="D471" s="2" t="s">
        <v>1804</v>
      </c>
      <c r="E471" s="2" t="s">
        <v>263</v>
      </c>
      <c r="F471" s="2" t="s">
        <v>1724</v>
      </c>
      <c r="G471" s="3" t="s">
        <v>49</v>
      </c>
      <c r="H471" s="2" t="s">
        <v>1670</v>
      </c>
      <c r="I471" s="2" t="s">
        <v>51</v>
      </c>
      <c r="J471" s="2" t="s">
        <v>52</v>
      </c>
      <c r="K471" s="2" t="s">
        <v>53</v>
      </c>
      <c r="L471" s="2" t="s">
        <v>53</v>
      </c>
      <c r="M471" s="2" t="s">
        <v>61</v>
      </c>
      <c r="N471" s="2" t="s">
        <v>53</v>
      </c>
      <c r="O471" s="2"/>
    </row>
    <row r="472" spans="1:15" ht="25.5" x14ac:dyDescent="0.25">
      <c r="A472" s="2" t="s">
        <v>1805</v>
      </c>
      <c r="B472" s="2" t="s">
        <v>1647</v>
      </c>
      <c r="C472" s="2" t="s">
        <v>1803</v>
      </c>
      <c r="D472" s="2" t="s">
        <v>1806</v>
      </c>
      <c r="E472" s="2" t="s">
        <v>1312</v>
      </c>
      <c r="F472" s="2" t="s">
        <v>1724</v>
      </c>
      <c r="G472" s="3" t="s">
        <v>49</v>
      </c>
      <c r="H472" s="2" t="s">
        <v>1670</v>
      </c>
      <c r="I472" s="2" t="s">
        <v>51</v>
      </c>
      <c r="J472" s="2" t="s">
        <v>52</v>
      </c>
      <c r="K472" s="2" t="s">
        <v>53</v>
      </c>
      <c r="L472" s="2" t="s">
        <v>53</v>
      </c>
      <c r="M472" s="2" t="s">
        <v>61</v>
      </c>
      <c r="N472" s="2" t="s">
        <v>53</v>
      </c>
      <c r="O472" s="2"/>
    </row>
    <row r="473" spans="1:15" ht="25.5" x14ac:dyDescent="0.25">
      <c r="A473" s="2" t="s">
        <v>1807</v>
      </c>
      <c r="B473" s="2" t="s">
        <v>1647</v>
      </c>
      <c r="C473" s="2" t="s">
        <v>1803</v>
      </c>
      <c r="D473" s="2" t="s">
        <v>1808</v>
      </c>
      <c r="E473" s="2" t="s">
        <v>263</v>
      </c>
      <c r="F473" s="2" t="s">
        <v>1724</v>
      </c>
      <c r="G473" s="3" t="s">
        <v>49</v>
      </c>
      <c r="H473" s="2" t="s">
        <v>1670</v>
      </c>
      <c r="I473" s="2" t="s">
        <v>51</v>
      </c>
      <c r="J473" s="2" t="s">
        <v>52</v>
      </c>
      <c r="K473" s="2" t="s">
        <v>53</v>
      </c>
      <c r="L473" s="2" t="s">
        <v>53</v>
      </c>
      <c r="M473" s="2" t="s">
        <v>61</v>
      </c>
      <c r="N473" s="2" t="s">
        <v>53</v>
      </c>
      <c r="O473" s="2"/>
    </row>
    <row r="474" spans="1:15" ht="38.25" x14ac:dyDescent="0.25">
      <c r="A474" s="2" t="s">
        <v>1809</v>
      </c>
      <c r="B474" s="2" t="s">
        <v>1647</v>
      </c>
      <c r="C474" s="2" t="s">
        <v>1803</v>
      </c>
      <c r="D474" s="2" t="s">
        <v>1810</v>
      </c>
      <c r="E474" s="2" t="s">
        <v>263</v>
      </c>
      <c r="F474" s="2" t="s">
        <v>1724</v>
      </c>
      <c r="G474" s="3" t="s">
        <v>49</v>
      </c>
      <c r="H474" s="2" t="s">
        <v>1670</v>
      </c>
      <c r="I474" s="2" t="s">
        <v>51</v>
      </c>
      <c r="J474" s="2" t="s">
        <v>52</v>
      </c>
      <c r="K474" s="2" t="s">
        <v>53</v>
      </c>
      <c r="L474" s="2" t="s">
        <v>53</v>
      </c>
      <c r="M474" s="2" t="s">
        <v>61</v>
      </c>
      <c r="N474" s="2" t="s">
        <v>53</v>
      </c>
      <c r="O474" s="2"/>
    </row>
    <row r="475" spans="1:15" ht="38.25" x14ac:dyDescent="0.25">
      <c r="A475" s="2" t="s">
        <v>1811</v>
      </c>
      <c r="B475" s="2" t="s">
        <v>1647</v>
      </c>
      <c r="C475" s="2" t="s">
        <v>1803</v>
      </c>
      <c r="D475" s="2" t="s">
        <v>1812</v>
      </c>
      <c r="E475" s="2" t="s">
        <v>1294</v>
      </c>
      <c r="F475" s="2" t="s">
        <v>1724</v>
      </c>
      <c r="G475" s="3" t="s">
        <v>49</v>
      </c>
      <c r="H475" s="2" t="s">
        <v>1670</v>
      </c>
      <c r="I475" s="2" t="s">
        <v>51</v>
      </c>
      <c r="J475" s="2" t="s">
        <v>52</v>
      </c>
      <c r="K475" s="2" t="s">
        <v>53</v>
      </c>
      <c r="L475" s="2" t="s">
        <v>53</v>
      </c>
      <c r="M475" s="2" t="s">
        <v>61</v>
      </c>
      <c r="N475" s="2" t="s">
        <v>53</v>
      </c>
      <c r="O475" s="2"/>
    </row>
    <row r="476" spans="1:15" ht="25.5" x14ac:dyDescent="0.25">
      <c r="A476" s="2" t="s">
        <v>1813</v>
      </c>
      <c r="B476" s="2" t="s">
        <v>1647</v>
      </c>
      <c r="C476" s="2" t="s">
        <v>1814</v>
      </c>
      <c r="D476" s="2" t="s">
        <v>1815</v>
      </c>
      <c r="E476" s="2" t="s">
        <v>263</v>
      </c>
      <c r="F476" s="2" t="s">
        <v>1724</v>
      </c>
      <c r="G476" s="3" t="s">
        <v>49</v>
      </c>
      <c r="H476" s="2" t="s">
        <v>1670</v>
      </c>
      <c r="I476" s="2" t="s">
        <v>51</v>
      </c>
      <c r="J476" s="2" t="s">
        <v>52</v>
      </c>
      <c r="K476" s="2" t="s">
        <v>53</v>
      </c>
      <c r="L476" s="2" t="s">
        <v>53</v>
      </c>
      <c r="M476" s="2" t="s">
        <v>61</v>
      </c>
      <c r="N476" s="2" t="s">
        <v>53</v>
      </c>
      <c r="O476" s="2"/>
    </row>
    <row r="477" spans="1:15" ht="25.5" x14ac:dyDescent="0.25">
      <c r="A477" s="2" t="s">
        <v>1816</v>
      </c>
      <c r="B477" s="2" t="s">
        <v>1647</v>
      </c>
      <c r="C477" s="2" t="s">
        <v>1814</v>
      </c>
      <c r="D477" s="2" t="s">
        <v>1817</v>
      </c>
      <c r="E477" s="2" t="s">
        <v>117</v>
      </c>
      <c r="F477" s="2" t="s">
        <v>1724</v>
      </c>
      <c r="G477" s="3" t="s">
        <v>49</v>
      </c>
      <c r="H477" s="2" t="s">
        <v>1670</v>
      </c>
      <c r="I477" s="2" t="s">
        <v>51</v>
      </c>
      <c r="J477" s="2" t="s">
        <v>52</v>
      </c>
      <c r="K477" s="2" t="s">
        <v>53</v>
      </c>
      <c r="L477" s="2" t="s">
        <v>53</v>
      </c>
      <c r="M477" s="2" t="s">
        <v>61</v>
      </c>
      <c r="N477" s="2" t="s">
        <v>53</v>
      </c>
      <c r="O477" s="2"/>
    </row>
    <row r="478" spans="1:15" ht="25.5" x14ac:dyDescent="0.25">
      <c r="A478" s="2" t="s">
        <v>1818</v>
      </c>
      <c r="B478" s="2" t="s">
        <v>1647</v>
      </c>
      <c r="C478" s="2" t="s">
        <v>1819</v>
      </c>
      <c r="D478" s="2" t="s">
        <v>1820</v>
      </c>
      <c r="E478" s="2" t="s">
        <v>187</v>
      </c>
      <c r="F478" s="2" t="s">
        <v>1821</v>
      </c>
      <c r="G478" s="3" t="s">
        <v>49</v>
      </c>
      <c r="H478" s="2" t="s">
        <v>1822</v>
      </c>
      <c r="I478" s="2" t="s">
        <v>51</v>
      </c>
      <c r="J478" s="2" t="s">
        <v>52</v>
      </c>
      <c r="K478" s="2" t="s">
        <v>53</v>
      </c>
      <c r="L478" s="2" t="s">
        <v>53</v>
      </c>
      <c r="M478" s="2" t="s">
        <v>61</v>
      </c>
      <c r="N478" s="2" t="s">
        <v>53</v>
      </c>
      <c r="O478" s="2"/>
    </row>
    <row r="479" spans="1:15" ht="25.5" x14ac:dyDescent="0.25">
      <c r="A479" s="2" t="s">
        <v>1823</v>
      </c>
      <c r="B479" s="2" t="s">
        <v>1647</v>
      </c>
      <c r="C479" s="2" t="s">
        <v>1824</v>
      </c>
      <c r="D479" s="2" t="s">
        <v>1825</v>
      </c>
      <c r="E479" s="2" t="s">
        <v>263</v>
      </c>
      <c r="F479" s="2" t="s">
        <v>1821</v>
      </c>
      <c r="G479" s="3" t="s">
        <v>21</v>
      </c>
      <c r="H479" s="2" t="s">
        <v>1826</v>
      </c>
      <c r="I479" s="2" t="s">
        <v>1827</v>
      </c>
      <c r="J479" s="2" t="s">
        <v>1828</v>
      </c>
      <c r="K479" s="2" t="s">
        <v>1829</v>
      </c>
      <c r="L479" s="2" t="s">
        <v>147</v>
      </c>
      <c r="M479" s="2" t="s">
        <v>1830</v>
      </c>
      <c r="N479" s="2" t="s">
        <v>28</v>
      </c>
      <c r="O479" s="2"/>
    </row>
    <row r="480" spans="1:15" ht="38.25" x14ac:dyDescent="0.25">
      <c r="A480" s="2" t="s">
        <v>1831</v>
      </c>
      <c r="B480" s="2" t="s">
        <v>1647</v>
      </c>
      <c r="C480" s="2" t="s">
        <v>1824</v>
      </c>
      <c r="D480" s="2" t="s">
        <v>1832</v>
      </c>
      <c r="E480" s="2" t="s">
        <v>1294</v>
      </c>
      <c r="F480" s="2" t="s">
        <v>1821</v>
      </c>
      <c r="G480" s="3" t="s">
        <v>49</v>
      </c>
      <c r="H480" s="2" t="s">
        <v>1822</v>
      </c>
      <c r="I480" s="2" t="s">
        <v>51</v>
      </c>
      <c r="J480" s="2" t="s">
        <v>52</v>
      </c>
      <c r="K480" s="2" t="s">
        <v>53</v>
      </c>
      <c r="L480" s="2" t="s">
        <v>53</v>
      </c>
      <c r="M480" s="2" t="s">
        <v>61</v>
      </c>
      <c r="N480" s="2" t="s">
        <v>53</v>
      </c>
      <c r="O480" s="2" t="s">
        <v>1833</v>
      </c>
    </row>
    <row r="481" spans="1:15" ht="25.5" x14ac:dyDescent="0.25">
      <c r="A481" s="2" t="s">
        <v>1834</v>
      </c>
      <c r="B481" s="2" t="s">
        <v>1647</v>
      </c>
      <c r="C481" s="2" t="s">
        <v>1824</v>
      </c>
      <c r="D481" s="2" t="s">
        <v>1835</v>
      </c>
      <c r="E481" s="2" t="s">
        <v>263</v>
      </c>
      <c r="F481" s="2" t="s">
        <v>1821</v>
      </c>
      <c r="G481" s="3" t="s">
        <v>49</v>
      </c>
      <c r="H481" s="2" t="s">
        <v>1822</v>
      </c>
      <c r="I481" s="2" t="s">
        <v>51</v>
      </c>
      <c r="J481" s="2" t="s">
        <v>52</v>
      </c>
      <c r="K481" s="2" t="s">
        <v>53</v>
      </c>
      <c r="L481" s="2" t="s">
        <v>53</v>
      </c>
      <c r="M481" s="2" t="s">
        <v>61</v>
      </c>
      <c r="N481" s="2" t="s">
        <v>53</v>
      </c>
      <c r="O481" s="2"/>
    </row>
    <row r="482" spans="1:15" ht="25.5" x14ac:dyDescent="0.25">
      <c r="A482" s="2" t="s">
        <v>1836</v>
      </c>
      <c r="B482" s="2" t="s">
        <v>1647</v>
      </c>
      <c r="C482" s="2" t="s">
        <v>1824</v>
      </c>
      <c r="D482" s="2" t="s">
        <v>1837</v>
      </c>
      <c r="E482" s="2" t="s">
        <v>263</v>
      </c>
      <c r="F482" s="2" t="s">
        <v>1821</v>
      </c>
      <c r="G482" s="3" t="s">
        <v>49</v>
      </c>
      <c r="H482" s="2" t="s">
        <v>1822</v>
      </c>
      <c r="I482" s="2" t="s">
        <v>51</v>
      </c>
      <c r="J482" s="2" t="s">
        <v>52</v>
      </c>
      <c r="K482" s="2" t="s">
        <v>53</v>
      </c>
      <c r="L482" s="2" t="s">
        <v>53</v>
      </c>
      <c r="M482" s="2" t="s">
        <v>61</v>
      </c>
      <c r="N482" s="2" t="s">
        <v>53</v>
      </c>
      <c r="O482" s="2"/>
    </row>
    <row r="483" spans="1:15" ht="25.5" x14ac:dyDescent="0.25">
      <c r="A483" s="2" t="s">
        <v>1838</v>
      </c>
      <c r="B483" s="2" t="s">
        <v>1647</v>
      </c>
      <c r="C483" s="2" t="s">
        <v>1824</v>
      </c>
      <c r="D483" s="2" t="s">
        <v>1839</v>
      </c>
      <c r="E483" s="2" t="s">
        <v>263</v>
      </c>
      <c r="F483" s="2" t="s">
        <v>1821</v>
      </c>
      <c r="G483" s="3" t="s">
        <v>49</v>
      </c>
      <c r="H483" s="2" t="s">
        <v>1822</v>
      </c>
      <c r="I483" s="2" t="s">
        <v>51</v>
      </c>
      <c r="J483" s="2" t="s">
        <v>52</v>
      </c>
      <c r="K483" s="2" t="s">
        <v>53</v>
      </c>
      <c r="L483" s="2" t="s">
        <v>53</v>
      </c>
      <c r="M483" s="2" t="s">
        <v>61</v>
      </c>
      <c r="N483" s="2" t="s">
        <v>53</v>
      </c>
      <c r="O483" s="2"/>
    </row>
    <row r="484" spans="1:15" ht="38.25" x14ac:dyDescent="0.25">
      <c r="A484" s="2" t="s">
        <v>1840</v>
      </c>
      <c r="B484" s="2" t="s">
        <v>1647</v>
      </c>
      <c r="C484" s="2" t="s">
        <v>1824</v>
      </c>
      <c r="D484" s="2" t="s">
        <v>1841</v>
      </c>
      <c r="E484" s="2" t="s">
        <v>263</v>
      </c>
      <c r="F484" s="2" t="s">
        <v>1821</v>
      </c>
      <c r="G484" s="3" t="s">
        <v>49</v>
      </c>
      <c r="H484" s="2" t="s">
        <v>1822</v>
      </c>
      <c r="I484" s="2" t="s">
        <v>51</v>
      </c>
      <c r="J484" s="2" t="s">
        <v>52</v>
      </c>
      <c r="K484" s="2" t="s">
        <v>53</v>
      </c>
      <c r="L484" s="2" t="s">
        <v>53</v>
      </c>
      <c r="M484" s="2" t="s">
        <v>61</v>
      </c>
      <c r="N484" s="2" t="s">
        <v>53</v>
      </c>
      <c r="O484" s="2"/>
    </row>
    <row r="485" spans="1:15" ht="38.25" x14ac:dyDescent="0.25">
      <c r="A485" s="2" t="s">
        <v>1842</v>
      </c>
      <c r="B485" s="2" t="s">
        <v>1647</v>
      </c>
      <c r="C485" s="2" t="s">
        <v>1824</v>
      </c>
      <c r="D485" s="2" t="s">
        <v>1843</v>
      </c>
      <c r="E485" s="2" t="s">
        <v>263</v>
      </c>
      <c r="F485" s="2" t="s">
        <v>1821</v>
      </c>
      <c r="G485" s="3" t="s">
        <v>21</v>
      </c>
      <c r="H485" s="2" t="s">
        <v>1844</v>
      </c>
      <c r="I485" s="2" t="s">
        <v>1827</v>
      </c>
      <c r="J485" s="2" t="s">
        <v>1828</v>
      </c>
      <c r="K485" s="2" t="s">
        <v>1829</v>
      </c>
      <c r="L485" s="2" t="s">
        <v>147</v>
      </c>
      <c r="M485" s="2" t="s">
        <v>1830</v>
      </c>
      <c r="N485" s="2" t="s">
        <v>28</v>
      </c>
      <c r="O485" s="2"/>
    </row>
    <row r="486" spans="1:15" ht="25.5" x14ac:dyDescent="0.25">
      <c r="A486" s="2" t="s">
        <v>1845</v>
      </c>
      <c r="B486" s="2" t="s">
        <v>1647</v>
      </c>
      <c r="C486" s="2" t="s">
        <v>1824</v>
      </c>
      <c r="D486" s="2" t="s">
        <v>1846</v>
      </c>
      <c r="E486" s="2" t="s">
        <v>263</v>
      </c>
      <c r="F486" s="2" t="s">
        <v>1821</v>
      </c>
      <c r="G486" s="3" t="s">
        <v>49</v>
      </c>
      <c r="H486" s="2" t="s">
        <v>1822</v>
      </c>
      <c r="I486" s="2" t="s">
        <v>51</v>
      </c>
      <c r="J486" s="2" t="s">
        <v>52</v>
      </c>
      <c r="K486" s="2" t="s">
        <v>53</v>
      </c>
      <c r="L486" s="2" t="s">
        <v>53</v>
      </c>
      <c r="M486" s="2" t="s">
        <v>61</v>
      </c>
      <c r="N486" s="2" t="s">
        <v>53</v>
      </c>
      <c r="O486" s="2"/>
    </row>
    <row r="487" spans="1:15" ht="25.5" x14ac:dyDescent="0.25">
      <c r="A487" s="2" t="s">
        <v>1847</v>
      </c>
      <c r="B487" s="2" t="s">
        <v>1647</v>
      </c>
      <c r="C487" s="2" t="s">
        <v>1824</v>
      </c>
      <c r="D487" s="2" t="s">
        <v>1848</v>
      </c>
      <c r="E487" s="2" t="s">
        <v>1312</v>
      </c>
      <c r="F487" s="2" t="s">
        <v>1821</v>
      </c>
      <c r="G487" s="3" t="s">
        <v>49</v>
      </c>
      <c r="H487" s="2" t="s">
        <v>1822</v>
      </c>
      <c r="I487" s="2" t="s">
        <v>51</v>
      </c>
      <c r="J487" s="2" t="s">
        <v>52</v>
      </c>
      <c r="K487" s="2" t="s">
        <v>53</v>
      </c>
      <c r="L487" s="2" t="s">
        <v>53</v>
      </c>
      <c r="M487" s="2" t="s">
        <v>61</v>
      </c>
      <c r="N487" s="2" t="s">
        <v>53</v>
      </c>
      <c r="O487" s="2"/>
    </row>
    <row r="488" spans="1:15" ht="25.5" x14ac:dyDescent="0.25">
      <c r="A488" s="2" t="s">
        <v>1849</v>
      </c>
      <c r="B488" s="2" t="s">
        <v>1647</v>
      </c>
      <c r="C488" s="2" t="s">
        <v>1824</v>
      </c>
      <c r="D488" s="2" t="s">
        <v>1850</v>
      </c>
      <c r="E488" s="2" t="s">
        <v>263</v>
      </c>
      <c r="F488" s="2" t="s">
        <v>1821</v>
      </c>
      <c r="G488" s="3" t="s">
        <v>49</v>
      </c>
      <c r="H488" s="2" t="s">
        <v>1822</v>
      </c>
      <c r="I488" s="2" t="s">
        <v>51</v>
      </c>
      <c r="J488" s="2" t="s">
        <v>52</v>
      </c>
      <c r="K488" s="2" t="s">
        <v>53</v>
      </c>
      <c r="L488" s="2" t="s">
        <v>53</v>
      </c>
      <c r="M488" s="2" t="s">
        <v>61</v>
      </c>
      <c r="N488" s="2" t="s">
        <v>53</v>
      </c>
      <c r="O488" s="2"/>
    </row>
    <row r="489" spans="1:15" ht="25.5" x14ac:dyDescent="0.25">
      <c r="A489" s="2" t="s">
        <v>1851</v>
      </c>
      <c r="B489" s="2" t="s">
        <v>1647</v>
      </c>
      <c r="C489" s="2" t="s">
        <v>1824</v>
      </c>
      <c r="D489" s="2" t="s">
        <v>1852</v>
      </c>
      <c r="E489" s="2" t="s">
        <v>263</v>
      </c>
      <c r="F489" s="2" t="s">
        <v>1821</v>
      </c>
      <c r="G489" s="3" t="s">
        <v>49</v>
      </c>
      <c r="H489" s="2" t="s">
        <v>1822</v>
      </c>
      <c r="I489" s="2" t="s">
        <v>51</v>
      </c>
      <c r="J489" s="2" t="s">
        <v>52</v>
      </c>
      <c r="K489" s="2" t="s">
        <v>53</v>
      </c>
      <c r="L489" s="2" t="s">
        <v>53</v>
      </c>
      <c r="M489" s="2" t="s">
        <v>61</v>
      </c>
      <c r="N489" s="2" t="s">
        <v>53</v>
      </c>
      <c r="O489" s="2"/>
    </row>
    <row r="490" spans="1:15" ht="25.5" x14ac:dyDescent="0.25">
      <c r="A490" s="2" t="s">
        <v>1853</v>
      </c>
      <c r="B490" s="2" t="s">
        <v>1647</v>
      </c>
      <c r="C490" s="2" t="s">
        <v>1824</v>
      </c>
      <c r="D490" s="2" t="s">
        <v>1854</v>
      </c>
      <c r="E490" s="2" t="s">
        <v>1312</v>
      </c>
      <c r="F490" s="2" t="s">
        <v>1821</v>
      </c>
      <c r="G490" s="3" t="s">
        <v>49</v>
      </c>
      <c r="H490" s="2" t="s">
        <v>1822</v>
      </c>
      <c r="I490" s="2" t="s">
        <v>51</v>
      </c>
      <c r="J490" s="2" t="s">
        <v>52</v>
      </c>
      <c r="K490" s="2" t="s">
        <v>53</v>
      </c>
      <c r="L490" s="2" t="s">
        <v>53</v>
      </c>
      <c r="M490" s="2" t="s">
        <v>61</v>
      </c>
      <c r="N490" s="2" t="s">
        <v>53</v>
      </c>
      <c r="O490" s="2"/>
    </row>
    <row r="491" spans="1:15" ht="51" x14ac:dyDescent="0.25">
      <c r="A491" s="2" t="s">
        <v>1855</v>
      </c>
      <c r="B491" s="2" t="s">
        <v>1647</v>
      </c>
      <c r="C491" s="2" t="s">
        <v>1824</v>
      </c>
      <c r="D491" s="2" t="s">
        <v>1856</v>
      </c>
      <c r="E491" s="2" t="s">
        <v>263</v>
      </c>
      <c r="F491" s="2" t="s">
        <v>1857</v>
      </c>
      <c r="G491" s="3" t="s">
        <v>49</v>
      </c>
      <c r="H491" s="2" t="s">
        <v>1822</v>
      </c>
      <c r="I491" s="2" t="s">
        <v>51</v>
      </c>
      <c r="J491" s="2" t="s">
        <v>52</v>
      </c>
      <c r="K491" s="2" t="s">
        <v>53</v>
      </c>
      <c r="L491" s="2" t="s">
        <v>53</v>
      </c>
      <c r="M491" s="2" t="s">
        <v>61</v>
      </c>
      <c r="N491" s="2" t="s">
        <v>53</v>
      </c>
      <c r="O491" s="2"/>
    </row>
    <row r="492" spans="1:15" ht="25.5" x14ac:dyDescent="0.25">
      <c r="A492" s="2" t="s">
        <v>1858</v>
      </c>
      <c r="B492" s="2" t="s">
        <v>1647</v>
      </c>
      <c r="C492" s="2" t="s">
        <v>1824</v>
      </c>
      <c r="D492" s="2" t="s">
        <v>1859</v>
      </c>
      <c r="E492" s="2" t="s">
        <v>263</v>
      </c>
      <c r="F492" s="2" t="s">
        <v>1857</v>
      </c>
      <c r="G492" s="3" t="s">
        <v>49</v>
      </c>
      <c r="H492" s="2" t="s">
        <v>1822</v>
      </c>
      <c r="I492" s="2" t="s">
        <v>51</v>
      </c>
      <c r="J492" s="2" t="s">
        <v>52</v>
      </c>
      <c r="K492" s="2" t="s">
        <v>53</v>
      </c>
      <c r="L492" s="2" t="s">
        <v>53</v>
      </c>
      <c r="M492" s="2" t="s">
        <v>61</v>
      </c>
      <c r="N492" s="2" t="s">
        <v>53</v>
      </c>
      <c r="O492" s="2"/>
    </row>
    <row r="493" spans="1:15" ht="63.75" x14ac:dyDescent="0.25">
      <c r="A493" s="2" t="s">
        <v>1860</v>
      </c>
      <c r="B493" s="2" t="s">
        <v>1647</v>
      </c>
      <c r="C493" s="2" t="s">
        <v>1824</v>
      </c>
      <c r="D493" s="2" t="s">
        <v>1861</v>
      </c>
      <c r="E493" s="2" t="s">
        <v>942</v>
      </c>
      <c r="F493" s="2" t="s">
        <v>1857</v>
      </c>
      <c r="G493" s="3" t="s">
        <v>49</v>
      </c>
      <c r="H493" s="2" t="s">
        <v>1822</v>
      </c>
      <c r="I493" s="2" t="s">
        <v>51</v>
      </c>
      <c r="J493" s="2" t="s">
        <v>52</v>
      </c>
      <c r="K493" s="2" t="s">
        <v>53</v>
      </c>
      <c r="L493" s="2" t="s">
        <v>53</v>
      </c>
      <c r="M493" s="2" t="s">
        <v>61</v>
      </c>
      <c r="N493" s="2" t="s">
        <v>53</v>
      </c>
      <c r="O493" s="2"/>
    </row>
    <row r="494" spans="1:15" ht="38.25" x14ac:dyDescent="0.25">
      <c r="A494" s="2" t="s">
        <v>1862</v>
      </c>
      <c r="B494" s="2" t="s">
        <v>1647</v>
      </c>
      <c r="C494" s="2" t="s">
        <v>1824</v>
      </c>
      <c r="D494" s="2" t="s">
        <v>1863</v>
      </c>
      <c r="E494" s="2" t="s">
        <v>1294</v>
      </c>
      <c r="F494" s="2" t="s">
        <v>1857</v>
      </c>
      <c r="G494" s="3" t="s">
        <v>49</v>
      </c>
      <c r="H494" s="2" t="s">
        <v>1822</v>
      </c>
      <c r="I494" s="2" t="s">
        <v>51</v>
      </c>
      <c r="J494" s="2" t="s">
        <v>52</v>
      </c>
      <c r="K494" s="2" t="s">
        <v>53</v>
      </c>
      <c r="L494" s="2" t="s">
        <v>53</v>
      </c>
      <c r="M494" s="2" t="s">
        <v>61</v>
      </c>
      <c r="N494" s="2" t="s">
        <v>53</v>
      </c>
      <c r="O494" s="2"/>
    </row>
    <row r="495" spans="1:15" ht="51" x14ac:dyDescent="0.25">
      <c r="A495" s="2" t="s">
        <v>1864</v>
      </c>
      <c r="B495" s="2" t="s">
        <v>1647</v>
      </c>
      <c r="C495" s="2" t="s">
        <v>1824</v>
      </c>
      <c r="D495" s="2" t="s">
        <v>1865</v>
      </c>
      <c r="E495" s="2" t="s">
        <v>1312</v>
      </c>
      <c r="F495" s="2" t="s">
        <v>1821</v>
      </c>
      <c r="G495" s="3" t="s">
        <v>49</v>
      </c>
      <c r="H495" s="2" t="s">
        <v>1822</v>
      </c>
      <c r="I495" s="2" t="s">
        <v>51</v>
      </c>
      <c r="J495" s="2" t="s">
        <v>52</v>
      </c>
      <c r="K495" s="2" t="s">
        <v>53</v>
      </c>
      <c r="L495" s="2" t="s">
        <v>53</v>
      </c>
      <c r="M495" s="2" t="s">
        <v>61</v>
      </c>
      <c r="N495" s="2" t="s">
        <v>53</v>
      </c>
      <c r="O495" s="2"/>
    </row>
    <row r="496" spans="1:15" ht="25.5" x14ac:dyDescent="0.25">
      <c r="A496" s="2" t="s">
        <v>1866</v>
      </c>
      <c r="B496" s="2" t="s">
        <v>1647</v>
      </c>
      <c r="C496" s="2" t="s">
        <v>1824</v>
      </c>
      <c r="D496" s="2" t="s">
        <v>1867</v>
      </c>
      <c r="E496" s="2" t="s">
        <v>263</v>
      </c>
      <c r="F496" s="2" t="s">
        <v>1821</v>
      </c>
      <c r="G496" s="3" t="s">
        <v>49</v>
      </c>
      <c r="H496" s="2" t="s">
        <v>1822</v>
      </c>
      <c r="I496" s="2" t="s">
        <v>51</v>
      </c>
      <c r="J496" s="2" t="s">
        <v>52</v>
      </c>
      <c r="K496" s="2" t="s">
        <v>53</v>
      </c>
      <c r="L496" s="2" t="s">
        <v>53</v>
      </c>
      <c r="M496" s="2" t="s">
        <v>61</v>
      </c>
      <c r="N496" s="2" t="s">
        <v>53</v>
      </c>
      <c r="O496" s="2"/>
    </row>
    <row r="497" spans="1:15" ht="25.5" x14ac:dyDescent="0.25">
      <c r="A497" s="2" t="s">
        <v>1868</v>
      </c>
      <c r="B497" s="2" t="s">
        <v>1647</v>
      </c>
      <c r="C497" s="2" t="s">
        <v>1824</v>
      </c>
      <c r="D497" s="2" t="s">
        <v>1869</v>
      </c>
      <c r="E497" s="2" t="s">
        <v>263</v>
      </c>
      <c r="F497" s="2" t="s">
        <v>1821</v>
      </c>
      <c r="G497" s="3" t="s">
        <v>49</v>
      </c>
      <c r="H497" s="2" t="s">
        <v>1822</v>
      </c>
      <c r="I497" s="2" t="s">
        <v>51</v>
      </c>
      <c r="J497" s="2" t="s">
        <v>52</v>
      </c>
      <c r="K497" s="2" t="s">
        <v>53</v>
      </c>
      <c r="L497" s="2" t="s">
        <v>53</v>
      </c>
      <c r="M497" s="2" t="s">
        <v>61</v>
      </c>
      <c r="N497" s="2" t="s">
        <v>53</v>
      </c>
      <c r="O497" s="2"/>
    </row>
    <row r="498" spans="1:15" ht="25.5" x14ac:dyDescent="0.25">
      <c r="A498" s="2" t="s">
        <v>1870</v>
      </c>
      <c r="B498" s="2" t="s">
        <v>1647</v>
      </c>
      <c r="C498" s="2" t="s">
        <v>1824</v>
      </c>
      <c r="D498" s="2" t="s">
        <v>1871</v>
      </c>
      <c r="E498" s="2" t="s">
        <v>263</v>
      </c>
      <c r="F498" s="2" t="s">
        <v>1821</v>
      </c>
      <c r="G498" s="3" t="s">
        <v>49</v>
      </c>
      <c r="H498" s="2" t="s">
        <v>1822</v>
      </c>
      <c r="I498" s="2" t="s">
        <v>51</v>
      </c>
      <c r="J498" s="2" t="s">
        <v>52</v>
      </c>
      <c r="K498" s="2" t="s">
        <v>53</v>
      </c>
      <c r="L498" s="2" t="s">
        <v>53</v>
      </c>
      <c r="M498" s="2" t="s">
        <v>61</v>
      </c>
      <c r="N498" s="2" t="s">
        <v>53</v>
      </c>
      <c r="O498" s="2"/>
    </row>
    <row r="499" spans="1:15" ht="25.5" x14ac:dyDescent="0.25">
      <c r="A499" s="2" t="s">
        <v>1872</v>
      </c>
      <c r="B499" s="2" t="s">
        <v>1647</v>
      </c>
      <c r="C499" s="2" t="s">
        <v>1824</v>
      </c>
      <c r="D499" s="2" t="s">
        <v>1873</v>
      </c>
      <c r="E499" s="2" t="s">
        <v>1312</v>
      </c>
      <c r="F499" s="2" t="s">
        <v>1821</v>
      </c>
      <c r="G499" s="3" t="s">
        <v>49</v>
      </c>
      <c r="H499" s="2" t="s">
        <v>1822</v>
      </c>
      <c r="I499" s="2" t="s">
        <v>51</v>
      </c>
      <c r="J499" s="2" t="s">
        <v>52</v>
      </c>
      <c r="K499" s="2" t="s">
        <v>53</v>
      </c>
      <c r="L499" s="2" t="s">
        <v>53</v>
      </c>
      <c r="M499" s="2" t="s">
        <v>61</v>
      </c>
      <c r="N499" s="2" t="s">
        <v>53</v>
      </c>
      <c r="O499" s="2"/>
    </row>
    <row r="500" spans="1:15" ht="25.5" x14ac:dyDescent="0.25">
      <c r="A500" s="2" t="s">
        <v>1874</v>
      </c>
      <c r="B500" s="2" t="s">
        <v>1647</v>
      </c>
      <c r="C500" s="2" t="s">
        <v>1824</v>
      </c>
      <c r="D500" s="2" t="s">
        <v>1875</v>
      </c>
      <c r="E500" s="2" t="s">
        <v>1312</v>
      </c>
      <c r="F500" s="2" t="s">
        <v>1821</v>
      </c>
      <c r="G500" s="3" t="s">
        <v>49</v>
      </c>
      <c r="H500" s="2" t="s">
        <v>1822</v>
      </c>
      <c r="I500" s="2" t="s">
        <v>51</v>
      </c>
      <c r="J500" s="2" t="s">
        <v>52</v>
      </c>
      <c r="K500" s="2" t="s">
        <v>53</v>
      </c>
      <c r="L500" s="2" t="s">
        <v>53</v>
      </c>
      <c r="M500" s="2" t="s">
        <v>61</v>
      </c>
      <c r="N500" s="2" t="s">
        <v>53</v>
      </c>
      <c r="O500" s="2"/>
    </row>
    <row r="501" spans="1:15" ht="76.5" x14ac:dyDescent="0.25">
      <c r="A501" s="2" t="s">
        <v>1876</v>
      </c>
      <c r="B501" s="2" t="s">
        <v>1647</v>
      </c>
      <c r="C501" s="2" t="s">
        <v>1877</v>
      </c>
      <c r="D501" s="2" t="s">
        <v>1878</v>
      </c>
      <c r="E501" s="2" t="s">
        <v>263</v>
      </c>
      <c r="F501" s="2" t="s">
        <v>1857</v>
      </c>
      <c r="G501" s="3" t="s">
        <v>49</v>
      </c>
      <c r="H501" s="2" t="s">
        <v>1670</v>
      </c>
      <c r="I501" s="2" t="s">
        <v>51</v>
      </c>
      <c r="J501" s="2" t="s">
        <v>52</v>
      </c>
      <c r="K501" s="2" t="s">
        <v>53</v>
      </c>
      <c r="L501" s="2" t="s">
        <v>53</v>
      </c>
      <c r="M501" s="2" t="s">
        <v>61</v>
      </c>
      <c r="N501" s="2" t="s">
        <v>53</v>
      </c>
      <c r="O501" s="2"/>
    </row>
    <row r="502" spans="1:15" ht="51" x14ac:dyDescent="0.25">
      <c r="A502" s="2" t="s">
        <v>1879</v>
      </c>
      <c r="B502" s="2" t="s">
        <v>1647</v>
      </c>
      <c r="C502" s="2" t="s">
        <v>1877</v>
      </c>
      <c r="D502" s="2" t="s">
        <v>1880</v>
      </c>
      <c r="E502" s="2" t="s">
        <v>263</v>
      </c>
      <c r="F502" s="2" t="s">
        <v>1857</v>
      </c>
      <c r="G502" s="3" t="s">
        <v>49</v>
      </c>
      <c r="H502" s="2" t="s">
        <v>1670</v>
      </c>
      <c r="I502" s="2" t="s">
        <v>51</v>
      </c>
      <c r="J502" s="2" t="s">
        <v>52</v>
      </c>
      <c r="K502" s="2" t="s">
        <v>53</v>
      </c>
      <c r="L502" s="2" t="s">
        <v>53</v>
      </c>
      <c r="M502" s="2" t="s">
        <v>61</v>
      </c>
      <c r="N502" s="2" t="s">
        <v>53</v>
      </c>
      <c r="O502" s="2"/>
    </row>
    <row r="503" spans="1:15" ht="76.5" x14ac:dyDescent="0.25">
      <c r="A503" s="2" t="s">
        <v>1881</v>
      </c>
      <c r="B503" s="2" t="s">
        <v>1647</v>
      </c>
      <c r="C503" s="2" t="s">
        <v>1877</v>
      </c>
      <c r="D503" s="2" t="s">
        <v>1882</v>
      </c>
      <c r="E503" s="2" t="s">
        <v>1312</v>
      </c>
      <c r="F503" s="2" t="s">
        <v>1857</v>
      </c>
      <c r="G503" s="3" t="s">
        <v>49</v>
      </c>
      <c r="H503" s="2" t="s">
        <v>1670</v>
      </c>
      <c r="I503" s="2" t="s">
        <v>51</v>
      </c>
      <c r="J503" s="2" t="s">
        <v>52</v>
      </c>
      <c r="K503" s="2" t="s">
        <v>53</v>
      </c>
      <c r="L503" s="2" t="s">
        <v>53</v>
      </c>
      <c r="M503" s="2" t="s">
        <v>61</v>
      </c>
      <c r="N503" s="2" t="s">
        <v>53</v>
      </c>
      <c r="O503" s="2"/>
    </row>
    <row r="504" spans="1:15" ht="63.75" x14ac:dyDescent="0.25">
      <c r="A504" s="2" t="s">
        <v>1883</v>
      </c>
      <c r="B504" s="2" t="s">
        <v>1647</v>
      </c>
      <c r="C504" s="2" t="s">
        <v>1877</v>
      </c>
      <c r="D504" s="2" t="s">
        <v>1884</v>
      </c>
      <c r="E504" s="2" t="s">
        <v>263</v>
      </c>
      <c r="F504" s="2" t="s">
        <v>1857</v>
      </c>
      <c r="G504" s="3" t="s">
        <v>49</v>
      </c>
      <c r="H504" s="2" t="s">
        <v>1670</v>
      </c>
      <c r="I504" s="2" t="s">
        <v>51</v>
      </c>
      <c r="J504" s="2" t="s">
        <v>52</v>
      </c>
      <c r="K504" s="2" t="s">
        <v>53</v>
      </c>
      <c r="L504" s="2" t="s">
        <v>53</v>
      </c>
      <c r="M504" s="2" t="s">
        <v>61</v>
      </c>
      <c r="N504" s="2" t="s">
        <v>53</v>
      </c>
      <c r="O504" s="2"/>
    </row>
    <row r="505" spans="1:15" ht="25.5" x14ac:dyDescent="0.25">
      <c r="A505" s="2" t="s">
        <v>1885</v>
      </c>
      <c r="B505" s="2" t="s">
        <v>1647</v>
      </c>
      <c r="C505" s="2" t="s">
        <v>1886</v>
      </c>
      <c r="D505" s="2" t="s">
        <v>1887</v>
      </c>
      <c r="E505" s="2" t="s">
        <v>263</v>
      </c>
      <c r="F505" s="2" t="s">
        <v>1888</v>
      </c>
      <c r="G505" s="3" t="s">
        <v>49</v>
      </c>
      <c r="H505" s="2" t="s">
        <v>1670</v>
      </c>
      <c r="I505" s="2" t="s">
        <v>51</v>
      </c>
      <c r="J505" s="2" t="s">
        <v>52</v>
      </c>
      <c r="K505" s="2" t="s">
        <v>53</v>
      </c>
      <c r="L505" s="2" t="s">
        <v>53</v>
      </c>
      <c r="M505" s="2" t="s">
        <v>61</v>
      </c>
      <c r="N505" s="2" t="s">
        <v>53</v>
      </c>
      <c r="O505" s="2"/>
    </row>
    <row r="506" spans="1:15" ht="25.5" x14ac:dyDescent="0.25">
      <c r="A506" s="2" t="s">
        <v>1889</v>
      </c>
      <c r="B506" s="2" t="s">
        <v>1647</v>
      </c>
      <c r="C506" s="2" t="s">
        <v>1886</v>
      </c>
      <c r="D506" s="2" t="s">
        <v>1890</v>
      </c>
      <c r="E506" s="2" t="s">
        <v>187</v>
      </c>
      <c r="F506" s="2" t="s">
        <v>1888</v>
      </c>
      <c r="G506" s="3" t="s">
        <v>49</v>
      </c>
      <c r="H506" s="2" t="s">
        <v>1670</v>
      </c>
      <c r="I506" s="2" t="s">
        <v>51</v>
      </c>
      <c r="J506" s="2" t="s">
        <v>52</v>
      </c>
      <c r="K506" s="2" t="s">
        <v>53</v>
      </c>
      <c r="L506" s="2" t="s">
        <v>53</v>
      </c>
      <c r="M506" s="2" t="s">
        <v>61</v>
      </c>
      <c r="N506" s="2" t="s">
        <v>53</v>
      </c>
      <c r="O506" s="2"/>
    </row>
    <row r="507" spans="1:15" ht="25.5" x14ac:dyDescent="0.25">
      <c r="A507" s="2" t="s">
        <v>1891</v>
      </c>
      <c r="B507" s="2" t="s">
        <v>1647</v>
      </c>
      <c r="C507" s="2" t="s">
        <v>1886</v>
      </c>
      <c r="D507" s="2" t="s">
        <v>1892</v>
      </c>
      <c r="E507" s="2" t="s">
        <v>263</v>
      </c>
      <c r="F507" s="2" t="s">
        <v>1888</v>
      </c>
      <c r="G507" s="3" t="s">
        <v>49</v>
      </c>
      <c r="H507" s="2" t="s">
        <v>1670</v>
      </c>
      <c r="I507" s="2" t="s">
        <v>51</v>
      </c>
      <c r="J507" s="2" t="s">
        <v>52</v>
      </c>
      <c r="K507" s="2" t="s">
        <v>53</v>
      </c>
      <c r="L507" s="2" t="s">
        <v>53</v>
      </c>
      <c r="M507" s="2" t="s">
        <v>61</v>
      </c>
      <c r="N507" s="2" t="s">
        <v>53</v>
      </c>
      <c r="O507" s="2"/>
    </row>
    <row r="508" spans="1:15" ht="38.25" x14ac:dyDescent="0.25">
      <c r="A508" s="2" t="s">
        <v>1893</v>
      </c>
      <c r="B508" s="2" t="s">
        <v>1647</v>
      </c>
      <c r="C508" s="2" t="s">
        <v>1886</v>
      </c>
      <c r="D508" s="2" t="s">
        <v>1894</v>
      </c>
      <c r="E508" s="2" t="s">
        <v>263</v>
      </c>
      <c r="F508" s="2" t="s">
        <v>1888</v>
      </c>
      <c r="G508" s="3" t="s">
        <v>49</v>
      </c>
      <c r="H508" s="2" t="s">
        <v>1690</v>
      </c>
      <c r="I508" s="2" t="s">
        <v>51</v>
      </c>
      <c r="J508" s="2" t="s">
        <v>52</v>
      </c>
      <c r="K508" s="2" t="s">
        <v>53</v>
      </c>
      <c r="L508" s="2" t="s">
        <v>53</v>
      </c>
      <c r="M508" s="2" t="s">
        <v>61</v>
      </c>
      <c r="N508" s="2" t="s">
        <v>53</v>
      </c>
      <c r="O508" s="2"/>
    </row>
    <row r="509" spans="1:15" ht="25.5" x14ac:dyDescent="0.25">
      <c r="A509" s="2" t="s">
        <v>1895</v>
      </c>
      <c r="B509" s="2" t="s">
        <v>1647</v>
      </c>
      <c r="C509" s="2" t="s">
        <v>1886</v>
      </c>
      <c r="D509" s="2" t="s">
        <v>1896</v>
      </c>
      <c r="E509" s="2" t="s">
        <v>263</v>
      </c>
      <c r="F509" s="2" t="s">
        <v>1888</v>
      </c>
      <c r="G509" s="3" t="s">
        <v>49</v>
      </c>
      <c r="H509" s="2" t="s">
        <v>1670</v>
      </c>
      <c r="I509" s="2" t="s">
        <v>51</v>
      </c>
      <c r="J509" s="2" t="s">
        <v>52</v>
      </c>
      <c r="K509" s="2" t="s">
        <v>53</v>
      </c>
      <c r="L509" s="2" t="s">
        <v>53</v>
      </c>
      <c r="M509" s="2" t="s">
        <v>61</v>
      </c>
      <c r="N509" s="2" t="s">
        <v>53</v>
      </c>
      <c r="O509" s="2"/>
    </row>
    <row r="510" spans="1:15" ht="25.5" x14ac:dyDescent="0.25">
      <c r="A510" s="2" t="s">
        <v>1897</v>
      </c>
      <c r="B510" s="2" t="s">
        <v>1647</v>
      </c>
      <c r="C510" s="2" t="s">
        <v>1886</v>
      </c>
      <c r="D510" s="2" t="s">
        <v>1898</v>
      </c>
      <c r="E510" s="2" t="s">
        <v>263</v>
      </c>
      <c r="F510" s="2" t="s">
        <v>1888</v>
      </c>
      <c r="G510" s="3" t="s">
        <v>49</v>
      </c>
      <c r="H510" s="2" t="s">
        <v>1670</v>
      </c>
      <c r="I510" s="2" t="s">
        <v>51</v>
      </c>
      <c r="J510" s="2" t="s">
        <v>52</v>
      </c>
      <c r="K510" s="2" t="s">
        <v>53</v>
      </c>
      <c r="L510" s="2" t="s">
        <v>53</v>
      </c>
      <c r="M510" s="2" t="s">
        <v>61</v>
      </c>
      <c r="N510" s="2" t="s">
        <v>53</v>
      </c>
      <c r="O510" s="2"/>
    </row>
    <row r="511" spans="1:15" ht="25.5" x14ac:dyDescent="0.25">
      <c r="A511" s="2" t="s">
        <v>1899</v>
      </c>
      <c r="B511" s="2" t="s">
        <v>1647</v>
      </c>
      <c r="C511" s="2" t="s">
        <v>1886</v>
      </c>
      <c r="D511" s="2" t="s">
        <v>1900</v>
      </c>
      <c r="E511" s="2" t="s">
        <v>1312</v>
      </c>
      <c r="F511" s="2" t="s">
        <v>1888</v>
      </c>
      <c r="G511" s="3" t="s">
        <v>49</v>
      </c>
      <c r="H511" s="2" t="s">
        <v>1670</v>
      </c>
      <c r="I511" s="2" t="s">
        <v>51</v>
      </c>
      <c r="J511" s="2" t="s">
        <v>52</v>
      </c>
      <c r="K511" s="2" t="s">
        <v>53</v>
      </c>
      <c r="L511" s="2" t="s">
        <v>53</v>
      </c>
      <c r="M511" s="2" t="s">
        <v>61</v>
      </c>
      <c r="N511" s="2" t="s">
        <v>53</v>
      </c>
      <c r="O511" s="2"/>
    </row>
    <row r="512" spans="1:15" ht="25.5" x14ac:dyDescent="0.25">
      <c r="A512" s="2" t="s">
        <v>1901</v>
      </c>
      <c r="B512" s="2" t="s">
        <v>1647</v>
      </c>
      <c r="C512" s="2" t="s">
        <v>1886</v>
      </c>
      <c r="D512" s="2" t="s">
        <v>1902</v>
      </c>
      <c r="E512" s="2" t="s">
        <v>1312</v>
      </c>
      <c r="F512" s="2" t="s">
        <v>1888</v>
      </c>
      <c r="G512" s="3" t="s">
        <v>49</v>
      </c>
      <c r="H512" s="2" t="s">
        <v>1670</v>
      </c>
      <c r="I512" s="2" t="s">
        <v>51</v>
      </c>
      <c r="J512" s="2" t="s">
        <v>52</v>
      </c>
      <c r="K512" s="2" t="s">
        <v>53</v>
      </c>
      <c r="L512" s="2" t="s">
        <v>53</v>
      </c>
      <c r="M512" s="2" t="s">
        <v>61</v>
      </c>
      <c r="N512" s="2" t="s">
        <v>53</v>
      </c>
      <c r="O512" s="2"/>
    </row>
    <row r="513" spans="1:15" ht="25.5" x14ac:dyDescent="0.25">
      <c r="A513" s="2" t="s">
        <v>1903</v>
      </c>
      <c r="B513" s="2" t="s">
        <v>1647</v>
      </c>
      <c r="C513" s="2" t="s">
        <v>1886</v>
      </c>
      <c r="D513" s="2" t="s">
        <v>1904</v>
      </c>
      <c r="E513" s="2" t="s">
        <v>1312</v>
      </c>
      <c r="F513" s="2" t="s">
        <v>1888</v>
      </c>
      <c r="G513" s="3" t="s">
        <v>49</v>
      </c>
      <c r="H513" s="2" t="s">
        <v>1670</v>
      </c>
      <c r="I513" s="2" t="s">
        <v>51</v>
      </c>
      <c r="J513" s="2" t="s">
        <v>52</v>
      </c>
      <c r="K513" s="2" t="s">
        <v>53</v>
      </c>
      <c r="L513" s="2" t="s">
        <v>53</v>
      </c>
      <c r="M513" s="2" t="s">
        <v>61</v>
      </c>
      <c r="N513" s="2" t="s">
        <v>53</v>
      </c>
      <c r="O513" s="2"/>
    </row>
    <row r="514" spans="1:15" ht="25.5" x14ac:dyDescent="0.25">
      <c r="A514" s="2" t="s">
        <v>1905</v>
      </c>
      <c r="B514" s="2" t="s">
        <v>1647</v>
      </c>
      <c r="C514" s="2" t="s">
        <v>1906</v>
      </c>
      <c r="D514" s="2" t="s">
        <v>1907</v>
      </c>
      <c r="E514" s="2" t="s">
        <v>263</v>
      </c>
      <c r="F514" s="2" t="s">
        <v>1908</v>
      </c>
      <c r="G514" s="3" t="s">
        <v>49</v>
      </c>
      <c r="H514" s="2" t="s">
        <v>1670</v>
      </c>
      <c r="I514" s="2" t="s">
        <v>51</v>
      </c>
      <c r="J514" s="2" t="s">
        <v>52</v>
      </c>
      <c r="K514" s="2" t="s">
        <v>53</v>
      </c>
      <c r="L514" s="2" t="s">
        <v>53</v>
      </c>
      <c r="M514" s="2" t="s">
        <v>61</v>
      </c>
      <c r="N514" s="2" t="s">
        <v>53</v>
      </c>
      <c r="O514" s="2"/>
    </row>
    <row r="515" spans="1:15" ht="38.25" x14ac:dyDescent="0.25">
      <c r="A515" s="2" t="s">
        <v>1909</v>
      </c>
      <c r="B515" s="2" t="s">
        <v>1647</v>
      </c>
      <c r="C515" s="2" t="s">
        <v>1910</v>
      </c>
      <c r="D515" s="2" t="s">
        <v>1911</v>
      </c>
      <c r="E515" s="2" t="s">
        <v>263</v>
      </c>
      <c r="F515" s="2" t="s">
        <v>1912</v>
      </c>
      <c r="G515" s="3" t="s">
        <v>21</v>
      </c>
      <c r="H515" s="2" t="s">
        <v>1913</v>
      </c>
      <c r="I515" s="2" t="s">
        <v>1659</v>
      </c>
      <c r="J515" s="2" t="s">
        <v>1660</v>
      </c>
      <c r="K515" s="2" t="s">
        <v>1661</v>
      </c>
      <c r="L515" s="2" t="s">
        <v>147</v>
      </c>
      <c r="M515" s="2" t="s">
        <v>1662</v>
      </c>
      <c r="N515" s="2" t="s">
        <v>28</v>
      </c>
      <c r="O515" s="2"/>
    </row>
    <row r="516" spans="1:15" ht="38.25" x14ac:dyDescent="0.25">
      <c r="A516" s="2" t="s">
        <v>1914</v>
      </c>
      <c r="B516" s="2" t="s">
        <v>1647</v>
      </c>
      <c r="C516" s="2" t="s">
        <v>1910</v>
      </c>
      <c r="D516" s="2" t="s">
        <v>1915</v>
      </c>
      <c r="E516" s="2" t="s">
        <v>1916</v>
      </c>
      <c r="F516" s="2" t="s">
        <v>1917</v>
      </c>
      <c r="G516" s="3" t="s">
        <v>49</v>
      </c>
      <c r="H516" s="2" t="s">
        <v>1652</v>
      </c>
      <c r="I516" s="2" t="s">
        <v>51</v>
      </c>
      <c r="J516" s="2" t="s">
        <v>52</v>
      </c>
      <c r="K516" s="2" t="s">
        <v>53</v>
      </c>
      <c r="L516" s="2" t="s">
        <v>53</v>
      </c>
      <c r="M516" s="2" t="s">
        <v>61</v>
      </c>
      <c r="N516" s="2" t="s">
        <v>53</v>
      </c>
      <c r="O516" s="2"/>
    </row>
    <row r="517" spans="1:15" ht="38.25" x14ac:dyDescent="0.25">
      <c r="A517" s="2" t="s">
        <v>1918</v>
      </c>
      <c r="B517" s="2" t="s">
        <v>1647</v>
      </c>
      <c r="C517" s="2" t="s">
        <v>1919</v>
      </c>
      <c r="D517" s="2" t="s">
        <v>1920</v>
      </c>
      <c r="E517" s="2" t="s">
        <v>263</v>
      </c>
      <c r="F517" s="2" t="s">
        <v>1912</v>
      </c>
      <c r="G517" s="3" t="s">
        <v>49</v>
      </c>
      <c r="H517" s="2" t="s">
        <v>1652</v>
      </c>
      <c r="I517" s="2" t="s">
        <v>51</v>
      </c>
      <c r="J517" s="2" t="s">
        <v>52</v>
      </c>
      <c r="K517" s="2" t="s">
        <v>53</v>
      </c>
      <c r="L517" s="2" t="s">
        <v>53</v>
      </c>
      <c r="M517" s="2" t="s">
        <v>61</v>
      </c>
      <c r="N517" s="2" t="s">
        <v>53</v>
      </c>
      <c r="O517" s="2"/>
    </row>
    <row r="518" spans="1:15" ht="38.25" x14ac:dyDescent="0.25">
      <c r="A518" s="2" t="s">
        <v>1921</v>
      </c>
      <c r="B518" s="2" t="s">
        <v>1647</v>
      </c>
      <c r="C518" s="2" t="s">
        <v>1919</v>
      </c>
      <c r="D518" s="2" t="s">
        <v>1922</v>
      </c>
      <c r="E518" s="2" t="s">
        <v>263</v>
      </c>
      <c r="F518" s="2" t="s">
        <v>1912</v>
      </c>
      <c r="G518" s="3" t="s">
        <v>49</v>
      </c>
      <c r="H518" s="2" t="s">
        <v>1652</v>
      </c>
      <c r="I518" s="2" t="s">
        <v>51</v>
      </c>
      <c r="J518" s="2" t="s">
        <v>52</v>
      </c>
      <c r="K518" s="2" t="s">
        <v>53</v>
      </c>
      <c r="L518" s="2" t="s">
        <v>53</v>
      </c>
      <c r="M518" s="2" t="s">
        <v>61</v>
      </c>
      <c r="N518" s="2" t="s">
        <v>53</v>
      </c>
      <c r="O518" s="2"/>
    </row>
    <row r="519" spans="1:15" ht="38.25" x14ac:dyDescent="0.25">
      <c r="A519" s="2" t="s">
        <v>1923</v>
      </c>
      <c r="B519" s="2" t="s">
        <v>1647</v>
      </c>
      <c r="C519" s="2" t="s">
        <v>1919</v>
      </c>
      <c r="D519" s="2" t="s">
        <v>1924</v>
      </c>
      <c r="E519" s="2" t="s">
        <v>263</v>
      </c>
      <c r="F519" s="2" t="s">
        <v>1912</v>
      </c>
      <c r="G519" s="3" t="s">
        <v>49</v>
      </c>
      <c r="H519" s="2" t="s">
        <v>1652</v>
      </c>
      <c r="I519" s="2" t="s">
        <v>51</v>
      </c>
      <c r="J519" s="2" t="s">
        <v>52</v>
      </c>
      <c r="K519" s="2" t="s">
        <v>53</v>
      </c>
      <c r="L519" s="2" t="s">
        <v>53</v>
      </c>
      <c r="M519" s="2" t="s">
        <v>61</v>
      </c>
      <c r="N519" s="2" t="s">
        <v>53</v>
      </c>
      <c r="O519" s="2"/>
    </row>
    <row r="520" spans="1:15" ht="51" x14ac:dyDescent="0.25">
      <c r="A520" s="2" t="s">
        <v>1925</v>
      </c>
      <c r="B520" s="2" t="s">
        <v>1647</v>
      </c>
      <c r="C520" s="2" t="s">
        <v>1926</v>
      </c>
      <c r="D520" s="2" t="s">
        <v>1927</v>
      </c>
      <c r="E520" s="2" t="s">
        <v>263</v>
      </c>
      <c r="F520" s="2" t="s">
        <v>1928</v>
      </c>
      <c r="G520" s="3" t="s">
        <v>49</v>
      </c>
      <c r="H520" s="2" t="s">
        <v>265</v>
      </c>
      <c r="I520" s="2" t="s">
        <v>51</v>
      </c>
      <c r="J520" s="2" t="s">
        <v>52</v>
      </c>
      <c r="K520" s="2" t="s">
        <v>53</v>
      </c>
      <c r="L520" s="2" t="s">
        <v>53</v>
      </c>
      <c r="M520" s="2" t="s">
        <v>61</v>
      </c>
      <c r="N520" s="2" t="s">
        <v>53</v>
      </c>
      <c r="O520" s="2"/>
    </row>
    <row r="521" spans="1:15" ht="51" x14ac:dyDescent="0.25">
      <c r="A521" s="2" t="s">
        <v>1929</v>
      </c>
      <c r="B521" s="2" t="s">
        <v>1647</v>
      </c>
      <c r="C521" s="2" t="s">
        <v>1926</v>
      </c>
      <c r="D521" s="2" t="s">
        <v>1930</v>
      </c>
      <c r="E521" s="2" t="s">
        <v>263</v>
      </c>
      <c r="F521" s="2" t="s">
        <v>1928</v>
      </c>
      <c r="G521" s="3" t="s">
        <v>49</v>
      </c>
      <c r="H521" s="2" t="s">
        <v>265</v>
      </c>
      <c r="I521" s="2" t="s">
        <v>51</v>
      </c>
      <c r="J521" s="2" t="s">
        <v>52</v>
      </c>
      <c r="K521" s="2" t="s">
        <v>53</v>
      </c>
      <c r="L521" s="2" t="s">
        <v>53</v>
      </c>
      <c r="M521" s="2" t="s">
        <v>61</v>
      </c>
      <c r="N521" s="2" t="s">
        <v>53</v>
      </c>
      <c r="O521" s="2"/>
    </row>
    <row r="522" spans="1:15" ht="38.25" x14ac:dyDescent="0.25">
      <c r="A522" s="2" t="s">
        <v>1931</v>
      </c>
      <c r="B522" s="2" t="s">
        <v>1647</v>
      </c>
      <c r="C522" s="2" t="s">
        <v>1926</v>
      </c>
      <c r="D522" s="2" t="s">
        <v>1932</v>
      </c>
      <c r="E522" s="2" t="s">
        <v>263</v>
      </c>
      <c r="F522" s="2" t="s">
        <v>1928</v>
      </c>
      <c r="G522" s="3" t="s">
        <v>49</v>
      </c>
      <c r="H522" s="2" t="s">
        <v>265</v>
      </c>
      <c r="I522" s="2" t="s">
        <v>51</v>
      </c>
      <c r="J522" s="2" t="s">
        <v>52</v>
      </c>
      <c r="K522" s="2" t="s">
        <v>53</v>
      </c>
      <c r="L522" s="2" t="s">
        <v>53</v>
      </c>
      <c r="M522" s="2" t="s">
        <v>61</v>
      </c>
      <c r="N522" s="2" t="s">
        <v>53</v>
      </c>
      <c r="O522" s="2"/>
    </row>
    <row r="523" spans="1:15" ht="38.25" x14ac:dyDescent="0.25">
      <c r="A523" s="2" t="s">
        <v>1933</v>
      </c>
      <c r="B523" s="2" t="s">
        <v>1647</v>
      </c>
      <c r="C523" s="2" t="s">
        <v>1934</v>
      </c>
      <c r="D523" s="2" t="s">
        <v>1935</v>
      </c>
      <c r="E523" s="2" t="s">
        <v>263</v>
      </c>
      <c r="F523" s="2" t="s">
        <v>1912</v>
      </c>
      <c r="G523" s="3" t="s">
        <v>49</v>
      </c>
      <c r="H523" s="2" t="s">
        <v>1652</v>
      </c>
      <c r="I523" s="2" t="s">
        <v>51</v>
      </c>
      <c r="J523" s="2" t="s">
        <v>52</v>
      </c>
      <c r="K523" s="2" t="s">
        <v>53</v>
      </c>
      <c r="L523" s="2" t="s">
        <v>53</v>
      </c>
      <c r="M523" s="2" t="s">
        <v>61</v>
      </c>
      <c r="N523" s="2" t="s">
        <v>53</v>
      </c>
      <c r="O523" s="2"/>
    </row>
    <row r="524" spans="1:15" ht="38.25" x14ac:dyDescent="0.25">
      <c r="A524" s="2" t="s">
        <v>1936</v>
      </c>
      <c r="B524" s="2" t="s">
        <v>1647</v>
      </c>
      <c r="C524" s="2" t="s">
        <v>1934</v>
      </c>
      <c r="D524" s="2" t="s">
        <v>1762</v>
      </c>
      <c r="E524" s="2" t="s">
        <v>263</v>
      </c>
      <c r="F524" s="2" t="s">
        <v>1912</v>
      </c>
      <c r="G524" s="3" t="s">
        <v>49</v>
      </c>
      <c r="H524" s="2" t="s">
        <v>1652</v>
      </c>
      <c r="I524" s="2" t="s">
        <v>51</v>
      </c>
      <c r="J524" s="2" t="s">
        <v>52</v>
      </c>
      <c r="K524" s="2" t="s">
        <v>53</v>
      </c>
      <c r="L524" s="2" t="s">
        <v>53</v>
      </c>
      <c r="M524" s="2" t="s">
        <v>61</v>
      </c>
      <c r="N524" s="2" t="s">
        <v>53</v>
      </c>
      <c r="O524" s="2"/>
    </row>
    <row r="525" spans="1:15" ht="38.25" x14ac:dyDescent="0.25">
      <c r="A525" s="2" t="s">
        <v>1937</v>
      </c>
      <c r="B525" s="2" t="s">
        <v>1647</v>
      </c>
      <c r="C525" s="2" t="s">
        <v>1938</v>
      </c>
      <c r="D525" s="2" t="s">
        <v>1939</v>
      </c>
      <c r="E525" s="2" t="s">
        <v>263</v>
      </c>
      <c r="F525" s="2" t="s">
        <v>1940</v>
      </c>
      <c r="G525" s="3" t="s">
        <v>49</v>
      </c>
      <c r="H525" s="2" t="s">
        <v>1652</v>
      </c>
      <c r="I525" s="2" t="s">
        <v>51</v>
      </c>
      <c r="J525" s="2" t="s">
        <v>52</v>
      </c>
      <c r="K525" s="2" t="s">
        <v>53</v>
      </c>
      <c r="L525" s="2" t="s">
        <v>53</v>
      </c>
      <c r="M525" s="2" t="s">
        <v>61</v>
      </c>
      <c r="N525" s="2" t="s">
        <v>53</v>
      </c>
      <c r="O525" s="2"/>
    </row>
    <row r="526" spans="1:15" ht="38.25" x14ac:dyDescent="0.25">
      <c r="A526" s="2" t="s">
        <v>1941</v>
      </c>
      <c r="B526" s="2" t="s">
        <v>1647</v>
      </c>
      <c r="C526" s="2" t="s">
        <v>1938</v>
      </c>
      <c r="D526" s="2" t="s">
        <v>1942</v>
      </c>
      <c r="E526" s="2" t="s">
        <v>263</v>
      </c>
      <c r="F526" s="2" t="s">
        <v>1940</v>
      </c>
      <c r="G526" s="3" t="s">
        <v>49</v>
      </c>
      <c r="H526" s="2" t="s">
        <v>1652</v>
      </c>
      <c r="I526" s="2" t="s">
        <v>51</v>
      </c>
      <c r="J526" s="2" t="s">
        <v>52</v>
      </c>
      <c r="K526" s="2" t="s">
        <v>53</v>
      </c>
      <c r="L526" s="2" t="s">
        <v>53</v>
      </c>
      <c r="M526" s="2" t="s">
        <v>61</v>
      </c>
      <c r="N526" s="2" t="s">
        <v>53</v>
      </c>
      <c r="O526" s="2"/>
    </row>
    <row r="527" spans="1:15" ht="38.25" x14ac:dyDescent="0.25">
      <c r="A527" s="2" t="s">
        <v>1943</v>
      </c>
      <c r="B527" s="2" t="s">
        <v>1647</v>
      </c>
      <c r="C527" s="2" t="s">
        <v>1938</v>
      </c>
      <c r="D527" s="2" t="s">
        <v>1944</v>
      </c>
      <c r="E527" s="2" t="s">
        <v>263</v>
      </c>
      <c r="F527" s="2" t="s">
        <v>1940</v>
      </c>
      <c r="G527" s="3" t="s">
        <v>49</v>
      </c>
      <c r="H527" s="2" t="s">
        <v>1652</v>
      </c>
      <c r="I527" s="2" t="s">
        <v>51</v>
      </c>
      <c r="J527" s="2" t="s">
        <v>52</v>
      </c>
      <c r="K527" s="2" t="s">
        <v>53</v>
      </c>
      <c r="L527" s="2" t="s">
        <v>53</v>
      </c>
      <c r="M527" s="2" t="s">
        <v>61</v>
      </c>
      <c r="N527" s="2" t="s">
        <v>53</v>
      </c>
      <c r="O527" s="2"/>
    </row>
    <row r="528" spans="1:15" ht="51" x14ac:dyDescent="0.25">
      <c r="A528" s="2" t="s">
        <v>1945</v>
      </c>
      <c r="B528" s="2" t="s">
        <v>1647</v>
      </c>
      <c r="C528" s="2" t="s">
        <v>1938</v>
      </c>
      <c r="D528" s="2" t="s">
        <v>1946</v>
      </c>
      <c r="E528" s="2" t="s">
        <v>263</v>
      </c>
      <c r="F528" s="2" t="s">
        <v>1940</v>
      </c>
      <c r="G528" s="3" t="s">
        <v>49</v>
      </c>
      <c r="H528" s="2" t="s">
        <v>1652</v>
      </c>
      <c r="I528" s="2" t="s">
        <v>51</v>
      </c>
      <c r="J528" s="2" t="s">
        <v>52</v>
      </c>
      <c r="K528" s="2" t="s">
        <v>53</v>
      </c>
      <c r="L528" s="2" t="s">
        <v>53</v>
      </c>
      <c r="M528" s="2" t="s">
        <v>61</v>
      </c>
      <c r="N528" s="2" t="s">
        <v>53</v>
      </c>
      <c r="O528" s="2"/>
    </row>
    <row r="529" spans="1:15" ht="38.25" x14ac:dyDescent="0.25">
      <c r="A529" s="2" t="s">
        <v>1947</v>
      </c>
      <c r="B529" s="2" t="s">
        <v>1647</v>
      </c>
      <c r="C529" s="2" t="s">
        <v>1938</v>
      </c>
      <c r="D529" s="2" t="s">
        <v>1948</v>
      </c>
      <c r="E529" s="2" t="s">
        <v>263</v>
      </c>
      <c r="F529" s="2" t="s">
        <v>1940</v>
      </c>
      <c r="G529" s="3" t="s">
        <v>49</v>
      </c>
      <c r="H529" s="2" t="s">
        <v>1652</v>
      </c>
      <c r="I529" s="2" t="s">
        <v>51</v>
      </c>
      <c r="J529" s="2" t="s">
        <v>52</v>
      </c>
      <c r="K529" s="2" t="s">
        <v>53</v>
      </c>
      <c r="L529" s="2" t="s">
        <v>53</v>
      </c>
      <c r="M529" s="2" t="s">
        <v>61</v>
      </c>
      <c r="N529" s="2" t="s">
        <v>53</v>
      </c>
      <c r="O529" s="2"/>
    </row>
    <row r="530" spans="1:15" ht="63.75" x14ac:dyDescent="0.25">
      <c r="A530" s="2" t="s">
        <v>1949</v>
      </c>
      <c r="B530" s="2" t="s">
        <v>1647</v>
      </c>
      <c r="C530" s="2" t="s">
        <v>1938</v>
      </c>
      <c r="D530" s="2" t="s">
        <v>1950</v>
      </c>
      <c r="E530" s="2" t="s">
        <v>1312</v>
      </c>
      <c r="F530" s="2" t="s">
        <v>1917</v>
      </c>
      <c r="G530" s="3" t="s">
        <v>49</v>
      </c>
      <c r="H530" s="2" t="s">
        <v>1652</v>
      </c>
      <c r="I530" s="2" t="s">
        <v>51</v>
      </c>
      <c r="J530" s="2" t="s">
        <v>52</v>
      </c>
      <c r="K530" s="2" t="s">
        <v>53</v>
      </c>
      <c r="L530" s="2" t="s">
        <v>53</v>
      </c>
      <c r="M530" s="2" t="s">
        <v>61</v>
      </c>
      <c r="N530" s="2" t="s">
        <v>53</v>
      </c>
      <c r="O530" s="2"/>
    </row>
    <row r="531" spans="1:15" ht="38.25" x14ac:dyDescent="0.25">
      <c r="A531" s="2" t="s">
        <v>1951</v>
      </c>
      <c r="B531" s="2" t="s">
        <v>1647</v>
      </c>
      <c r="C531" s="2" t="s">
        <v>1938</v>
      </c>
      <c r="D531" s="2" t="s">
        <v>1952</v>
      </c>
      <c r="E531" s="2" t="s">
        <v>1294</v>
      </c>
      <c r="F531" s="2" t="s">
        <v>1940</v>
      </c>
      <c r="G531" s="3" t="s">
        <v>49</v>
      </c>
      <c r="H531" s="2" t="s">
        <v>1652</v>
      </c>
      <c r="I531" s="2" t="s">
        <v>51</v>
      </c>
      <c r="J531" s="2" t="s">
        <v>52</v>
      </c>
      <c r="K531" s="2" t="s">
        <v>53</v>
      </c>
      <c r="L531" s="2" t="s">
        <v>53</v>
      </c>
      <c r="M531" s="2" t="s">
        <v>61</v>
      </c>
      <c r="N531" s="2" t="s">
        <v>53</v>
      </c>
      <c r="O531" s="2"/>
    </row>
    <row r="532" spans="1:15" ht="38.25" x14ac:dyDescent="0.25">
      <c r="A532" s="2" t="s">
        <v>1953</v>
      </c>
      <c r="B532" s="2" t="s">
        <v>1647</v>
      </c>
      <c r="C532" s="2" t="s">
        <v>1938</v>
      </c>
      <c r="D532" s="2" t="s">
        <v>1954</v>
      </c>
      <c r="E532" s="2" t="s">
        <v>263</v>
      </c>
      <c r="F532" s="2" t="s">
        <v>1940</v>
      </c>
      <c r="G532" s="3" t="s">
        <v>49</v>
      </c>
      <c r="H532" s="2" t="s">
        <v>1652</v>
      </c>
      <c r="I532" s="2" t="s">
        <v>51</v>
      </c>
      <c r="J532" s="2" t="s">
        <v>52</v>
      </c>
      <c r="K532" s="2" t="s">
        <v>53</v>
      </c>
      <c r="L532" s="2" t="s">
        <v>53</v>
      </c>
      <c r="M532" s="2" t="s">
        <v>61</v>
      </c>
      <c r="N532" s="2" t="s">
        <v>53</v>
      </c>
      <c r="O532" s="2"/>
    </row>
    <row r="533" spans="1:15" ht="38.25" x14ac:dyDescent="0.25">
      <c r="A533" s="2" t="s">
        <v>1955</v>
      </c>
      <c r="B533" s="2" t="s">
        <v>1647</v>
      </c>
      <c r="C533" s="2" t="s">
        <v>1956</v>
      </c>
      <c r="D533" s="2" t="s">
        <v>1957</v>
      </c>
      <c r="E533" s="2" t="s">
        <v>263</v>
      </c>
      <c r="F533" s="2" t="s">
        <v>1958</v>
      </c>
      <c r="G533" s="3" t="s">
        <v>49</v>
      </c>
      <c r="H533" s="2" t="s">
        <v>1652</v>
      </c>
      <c r="I533" s="2" t="s">
        <v>51</v>
      </c>
      <c r="J533" s="2" t="s">
        <v>52</v>
      </c>
      <c r="K533" s="2" t="s">
        <v>53</v>
      </c>
      <c r="L533" s="2" t="s">
        <v>53</v>
      </c>
      <c r="M533" s="2" t="s">
        <v>61</v>
      </c>
      <c r="N533" s="2" t="s">
        <v>53</v>
      </c>
      <c r="O533" s="2"/>
    </row>
    <row r="534" spans="1:15" ht="38.25" x14ac:dyDescent="0.25">
      <c r="A534" s="2" t="s">
        <v>1959</v>
      </c>
      <c r="B534" s="2" t="s">
        <v>1647</v>
      </c>
      <c r="C534" s="2" t="s">
        <v>1956</v>
      </c>
      <c r="D534" s="2" t="s">
        <v>1960</v>
      </c>
      <c r="E534" s="2" t="s">
        <v>1312</v>
      </c>
      <c r="F534" s="2" t="s">
        <v>1958</v>
      </c>
      <c r="G534" s="3" t="s">
        <v>49</v>
      </c>
      <c r="H534" s="2" t="s">
        <v>1652</v>
      </c>
      <c r="I534" s="2" t="s">
        <v>51</v>
      </c>
      <c r="J534" s="2" t="s">
        <v>52</v>
      </c>
      <c r="K534" s="2" t="s">
        <v>53</v>
      </c>
      <c r="L534" s="2" t="s">
        <v>53</v>
      </c>
      <c r="M534" s="2" t="s">
        <v>61</v>
      </c>
      <c r="N534" s="2" t="s">
        <v>53</v>
      </c>
      <c r="O534" s="2"/>
    </row>
    <row r="535" spans="1:15" ht="38.25" x14ac:dyDescent="0.25">
      <c r="A535" s="2" t="s">
        <v>1961</v>
      </c>
      <c r="B535" s="2" t="s">
        <v>1647</v>
      </c>
      <c r="C535" s="2" t="s">
        <v>1956</v>
      </c>
      <c r="D535" s="2" t="s">
        <v>1962</v>
      </c>
      <c r="E535" s="2" t="s">
        <v>263</v>
      </c>
      <c r="F535" s="2" t="s">
        <v>1958</v>
      </c>
      <c r="G535" s="3" t="s">
        <v>49</v>
      </c>
      <c r="H535" s="2" t="s">
        <v>1652</v>
      </c>
      <c r="I535" s="2" t="s">
        <v>51</v>
      </c>
      <c r="J535" s="2" t="s">
        <v>52</v>
      </c>
      <c r="K535" s="2" t="s">
        <v>53</v>
      </c>
      <c r="L535" s="2" t="s">
        <v>53</v>
      </c>
      <c r="M535" s="2" t="s">
        <v>61</v>
      </c>
      <c r="N535" s="2" t="s">
        <v>53</v>
      </c>
      <c r="O535" s="2"/>
    </row>
    <row r="536" spans="1:15" ht="38.25" x14ac:dyDescent="0.25">
      <c r="A536" s="2" t="s">
        <v>1963</v>
      </c>
      <c r="B536" s="2" t="s">
        <v>1647</v>
      </c>
      <c r="C536" s="2" t="s">
        <v>1956</v>
      </c>
      <c r="D536" s="2" t="s">
        <v>1964</v>
      </c>
      <c r="E536" s="2" t="s">
        <v>1312</v>
      </c>
      <c r="F536" s="2" t="s">
        <v>1958</v>
      </c>
      <c r="G536" s="3" t="s">
        <v>49</v>
      </c>
      <c r="H536" s="2" t="s">
        <v>1652</v>
      </c>
      <c r="I536" s="2" t="s">
        <v>51</v>
      </c>
      <c r="J536" s="2" t="s">
        <v>52</v>
      </c>
      <c r="K536" s="2" t="s">
        <v>53</v>
      </c>
      <c r="L536" s="2" t="s">
        <v>53</v>
      </c>
      <c r="M536" s="2" t="s">
        <v>61</v>
      </c>
      <c r="N536" s="2" t="s">
        <v>53</v>
      </c>
      <c r="O536" s="2"/>
    </row>
    <row r="537" spans="1:15" ht="38.25" x14ac:dyDescent="0.25">
      <c r="A537" s="2" t="s">
        <v>1965</v>
      </c>
      <c r="B537" s="2" t="s">
        <v>1647</v>
      </c>
      <c r="C537" s="2" t="s">
        <v>1956</v>
      </c>
      <c r="D537" s="2" t="s">
        <v>1966</v>
      </c>
      <c r="E537" s="2" t="s">
        <v>942</v>
      </c>
      <c r="F537" s="2" t="s">
        <v>1958</v>
      </c>
      <c r="G537" s="3" t="s">
        <v>49</v>
      </c>
      <c r="H537" s="2" t="s">
        <v>1652</v>
      </c>
      <c r="I537" s="2" t="s">
        <v>51</v>
      </c>
      <c r="J537" s="2" t="s">
        <v>52</v>
      </c>
      <c r="K537" s="2" t="s">
        <v>53</v>
      </c>
      <c r="L537" s="2" t="s">
        <v>53</v>
      </c>
      <c r="M537" s="2" t="s">
        <v>61</v>
      </c>
      <c r="N537" s="2" t="s">
        <v>53</v>
      </c>
      <c r="O537" s="2"/>
    </row>
    <row r="538" spans="1:15" ht="38.25" x14ac:dyDescent="0.25">
      <c r="A538" s="2" t="s">
        <v>1967</v>
      </c>
      <c r="B538" s="2" t="s">
        <v>1647</v>
      </c>
      <c r="C538" s="2" t="s">
        <v>1968</v>
      </c>
      <c r="D538" s="2" t="s">
        <v>1969</v>
      </c>
      <c r="E538" s="2" t="s">
        <v>942</v>
      </c>
      <c r="F538" s="2" t="s">
        <v>1970</v>
      </c>
      <c r="G538" s="3" t="s">
        <v>49</v>
      </c>
      <c r="H538" s="2" t="s">
        <v>1652</v>
      </c>
      <c r="I538" s="2" t="s">
        <v>51</v>
      </c>
      <c r="J538" s="2" t="s">
        <v>52</v>
      </c>
      <c r="K538" s="2" t="s">
        <v>53</v>
      </c>
      <c r="L538" s="2" t="s">
        <v>53</v>
      </c>
      <c r="M538" s="2" t="s">
        <v>61</v>
      </c>
      <c r="N538" s="2" t="s">
        <v>53</v>
      </c>
      <c r="O538" s="2"/>
    </row>
    <row r="539" spans="1:15" ht="38.25" x14ac:dyDescent="0.25">
      <c r="A539" s="2" t="s">
        <v>1971</v>
      </c>
      <c r="B539" s="2" t="s">
        <v>1647</v>
      </c>
      <c r="C539" s="2" t="s">
        <v>1968</v>
      </c>
      <c r="D539" s="2" t="s">
        <v>1972</v>
      </c>
      <c r="E539" s="2" t="s">
        <v>263</v>
      </c>
      <c r="F539" s="2" t="s">
        <v>1970</v>
      </c>
      <c r="G539" s="3" t="s">
        <v>49</v>
      </c>
      <c r="H539" s="2" t="s">
        <v>1652</v>
      </c>
      <c r="I539" s="2" t="s">
        <v>51</v>
      </c>
      <c r="J539" s="2" t="s">
        <v>52</v>
      </c>
      <c r="K539" s="2" t="s">
        <v>53</v>
      </c>
      <c r="L539" s="2" t="s">
        <v>53</v>
      </c>
      <c r="M539" s="2" t="s">
        <v>61</v>
      </c>
      <c r="N539" s="2" t="s">
        <v>53</v>
      </c>
      <c r="O539" s="2"/>
    </row>
    <row r="540" spans="1:15" ht="38.25" x14ac:dyDescent="0.25">
      <c r="A540" s="2" t="s">
        <v>1973</v>
      </c>
      <c r="B540" s="2" t="s">
        <v>1647</v>
      </c>
      <c r="C540" s="2" t="s">
        <v>1968</v>
      </c>
      <c r="D540" s="2" t="s">
        <v>1974</v>
      </c>
      <c r="E540" s="2" t="s">
        <v>942</v>
      </c>
      <c r="F540" s="2" t="s">
        <v>1970</v>
      </c>
      <c r="G540" s="3" t="s">
        <v>49</v>
      </c>
      <c r="H540" s="2" t="s">
        <v>1652</v>
      </c>
      <c r="I540" s="2" t="s">
        <v>51</v>
      </c>
      <c r="J540" s="2" t="s">
        <v>52</v>
      </c>
      <c r="K540" s="2" t="s">
        <v>53</v>
      </c>
      <c r="L540" s="2" t="s">
        <v>53</v>
      </c>
      <c r="M540" s="2" t="s">
        <v>61</v>
      </c>
      <c r="N540" s="2" t="s">
        <v>53</v>
      </c>
      <c r="O540" s="2"/>
    </row>
    <row r="541" spans="1:15" ht="38.25" x14ac:dyDescent="0.25">
      <c r="A541" s="2" t="s">
        <v>1975</v>
      </c>
      <c r="B541" s="2" t="s">
        <v>1647</v>
      </c>
      <c r="C541" s="2" t="s">
        <v>1968</v>
      </c>
      <c r="D541" s="2" t="s">
        <v>1976</v>
      </c>
      <c r="E541" s="2" t="s">
        <v>942</v>
      </c>
      <c r="F541" s="2" t="s">
        <v>1970</v>
      </c>
      <c r="G541" s="3" t="s">
        <v>49</v>
      </c>
      <c r="H541" s="2" t="s">
        <v>1652</v>
      </c>
      <c r="I541" s="2" t="s">
        <v>51</v>
      </c>
      <c r="J541" s="2" t="s">
        <v>52</v>
      </c>
      <c r="K541" s="2" t="s">
        <v>53</v>
      </c>
      <c r="L541" s="2" t="s">
        <v>53</v>
      </c>
      <c r="M541" s="2" t="s">
        <v>61</v>
      </c>
      <c r="N541" s="2" t="s">
        <v>53</v>
      </c>
      <c r="O541" s="2"/>
    </row>
    <row r="542" spans="1:15" ht="38.25" x14ac:dyDescent="0.25">
      <c r="A542" s="2" t="s">
        <v>1977</v>
      </c>
      <c r="B542" s="2" t="s">
        <v>1647</v>
      </c>
      <c r="C542" s="2" t="s">
        <v>1968</v>
      </c>
      <c r="D542" s="2" t="s">
        <v>1978</v>
      </c>
      <c r="E542" s="2" t="s">
        <v>942</v>
      </c>
      <c r="F542" s="2" t="s">
        <v>1970</v>
      </c>
      <c r="G542" s="3" t="s">
        <v>49</v>
      </c>
      <c r="H542" s="2" t="s">
        <v>1652</v>
      </c>
      <c r="I542" s="2" t="s">
        <v>51</v>
      </c>
      <c r="J542" s="2" t="s">
        <v>52</v>
      </c>
      <c r="K542" s="2" t="s">
        <v>53</v>
      </c>
      <c r="L542" s="2" t="s">
        <v>53</v>
      </c>
      <c r="M542" s="2" t="s">
        <v>61</v>
      </c>
      <c r="N542" s="2" t="s">
        <v>53</v>
      </c>
      <c r="O542" s="2"/>
    </row>
    <row r="543" spans="1:15" ht="38.25" x14ac:dyDescent="0.25">
      <c r="A543" s="2" t="s">
        <v>1979</v>
      </c>
      <c r="B543" s="2" t="s">
        <v>1647</v>
      </c>
      <c r="C543" s="2" t="s">
        <v>1968</v>
      </c>
      <c r="D543" s="2" t="s">
        <v>1980</v>
      </c>
      <c r="E543" s="2" t="s">
        <v>942</v>
      </c>
      <c r="F543" s="2" t="s">
        <v>1970</v>
      </c>
      <c r="G543" s="3" t="s">
        <v>49</v>
      </c>
      <c r="H543" s="2" t="s">
        <v>1652</v>
      </c>
      <c r="I543" s="2" t="s">
        <v>51</v>
      </c>
      <c r="J543" s="2" t="s">
        <v>52</v>
      </c>
      <c r="K543" s="2" t="s">
        <v>53</v>
      </c>
      <c r="L543" s="2" t="s">
        <v>53</v>
      </c>
      <c r="M543" s="2" t="s">
        <v>61</v>
      </c>
      <c r="N543" s="2" t="s">
        <v>53</v>
      </c>
      <c r="O543" s="2"/>
    </row>
    <row r="544" spans="1:15" ht="38.25" x14ac:dyDescent="0.25">
      <c r="A544" s="2" t="s">
        <v>1981</v>
      </c>
      <c r="B544" s="2" t="s">
        <v>1647</v>
      </c>
      <c r="C544" s="2" t="s">
        <v>1968</v>
      </c>
      <c r="D544" s="2" t="s">
        <v>1982</v>
      </c>
      <c r="E544" s="2" t="s">
        <v>942</v>
      </c>
      <c r="F544" s="2" t="s">
        <v>1970</v>
      </c>
      <c r="G544" s="3" t="s">
        <v>49</v>
      </c>
      <c r="H544" s="2" t="s">
        <v>1652</v>
      </c>
      <c r="I544" s="2" t="s">
        <v>51</v>
      </c>
      <c r="J544" s="2" t="s">
        <v>52</v>
      </c>
      <c r="K544" s="2" t="s">
        <v>53</v>
      </c>
      <c r="L544" s="2" t="s">
        <v>53</v>
      </c>
      <c r="M544" s="2" t="s">
        <v>61</v>
      </c>
      <c r="N544" s="2" t="s">
        <v>53</v>
      </c>
      <c r="O544" s="2"/>
    </row>
    <row r="545" spans="1:15" ht="38.25" x14ac:dyDescent="0.25">
      <c r="A545" s="2" t="s">
        <v>1983</v>
      </c>
      <c r="B545" s="2" t="s">
        <v>1647</v>
      </c>
      <c r="C545" s="2" t="s">
        <v>1984</v>
      </c>
      <c r="D545" s="2" t="s">
        <v>1985</v>
      </c>
      <c r="E545" s="2" t="s">
        <v>942</v>
      </c>
      <c r="F545" s="2" t="s">
        <v>1970</v>
      </c>
      <c r="G545" s="3" t="s">
        <v>49</v>
      </c>
      <c r="H545" s="2" t="s">
        <v>1652</v>
      </c>
      <c r="I545" s="2" t="s">
        <v>51</v>
      </c>
      <c r="J545" s="2" t="s">
        <v>52</v>
      </c>
      <c r="K545" s="2" t="s">
        <v>53</v>
      </c>
      <c r="L545" s="2" t="s">
        <v>53</v>
      </c>
      <c r="M545" s="2" t="s">
        <v>61</v>
      </c>
      <c r="N545" s="2" t="s">
        <v>53</v>
      </c>
      <c r="O545" s="2" t="s">
        <v>1986</v>
      </c>
    </row>
    <row r="546" spans="1:15" ht="38.25" x14ac:dyDescent="0.25">
      <c r="A546" s="2" t="s">
        <v>1987</v>
      </c>
      <c r="B546" s="2" t="s">
        <v>1647</v>
      </c>
      <c r="C546" s="2" t="s">
        <v>1988</v>
      </c>
      <c r="D546" s="2" t="s">
        <v>1989</v>
      </c>
      <c r="E546" s="2" t="s">
        <v>942</v>
      </c>
      <c r="F546" s="2" t="s">
        <v>1970</v>
      </c>
      <c r="G546" s="3" t="s">
        <v>49</v>
      </c>
      <c r="H546" s="2" t="s">
        <v>1652</v>
      </c>
      <c r="I546" s="2" t="s">
        <v>51</v>
      </c>
      <c r="J546" s="2" t="s">
        <v>52</v>
      </c>
      <c r="K546" s="2" t="s">
        <v>53</v>
      </c>
      <c r="L546" s="2" t="s">
        <v>53</v>
      </c>
      <c r="M546" s="2" t="s">
        <v>61</v>
      </c>
      <c r="N546" s="2" t="s">
        <v>53</v>
      </c>
      <c r="O546" s="2" t="s">
        <v>1986</v>
      </c>
    </row>
    <row r="547" spans="1:15" ht="38.25" x14ac:dyDescent="0.25">
      <c r="A547" s="2" t="s">
        <v>1990</v>
      </c>
      <c r="B547" s="2" t="s">
        <v>1647</v>
      </c>
      <c r="C547" s="2" t="s">
        <v>1991</v>
      </c>
      <c r="D547" s="2" t="s">
        <v>1992</v>
      </c>
      <c r="E547" s="2" t="s">
        <v>1312</v>
      </c>
      <c r="F547" s="2" t="s">
        <v>1993</v>
      </c>
      <c r="G547" s="3" t="s">
        <v>49</v>
      </c>
      <c r="H547" s="2" t="s">
        <v>1652</v>
      </c>
      <c r="I547" s="2" t="s">
        <v>51</v>
      </c>
      <c r="J547" s="2" t="s">
        <v>52</v>
      </c>
      <c r="K547" s="2" t="s">
        <v>53</v>
      </c>
      <c r="L547" s="2" t="s">
        <v>53</v>
      </c>
      <c r="M547" s="2" t="s">
        <v>61</v>
      </c>
      <c r="N547" s="2" t="s">
        <v>53</v>
      </c>
      <c r="O547" s="2"/>
    </row>
    <row r="548" spans="1:15" ht="38.25" x14ac:dyDescent="0.25">
      <c r="A548" s="2" t="s">
        <v>1994</v>
      </c>
      <c r="B548" s="2" t="s">
        <v>1647</v>
      </c>
      <c r="C548" s="2" t="s">
        <v>1991</v>
      </c>
      <c r="D548" s="2" t="s">
        <v>1995</v>
      </c>
      <c r="E548" s="2" t="s">
        <v>1312</v>
      </c>
      <c r="F548" s="2" t="s">
        <v>1993</v>
      </c>
      <c r="G548" s="3" t="s">
        <v>49</v>
      </c>
      <c r="H548" s="2" t="s">
        <v>1652</v>
      </c>
      <c r="I548" s="2" t="s">
        <v>51</v>
      </c>
      <c r="J548" s="2" t="s">
        <v>52</v>
      </c>
      <c r="K548" s="2" t="s">
        <v>53</v>
      </c>
      <c r="L548" s="2" t="s">
        <v>53</v>
      </c>
      <c r="M548" s="2" t="s">
        <v>61</v>
      </c>
      <c r="N548" s="2" t="s">
        <v>53</v>
      </c>
      <c r="O548" s="2"/>
    </row>
    <row r="549" spans="1:15" ht="38.25" x14ac:dyDescent="0.25">
      <c r="A549" s="2" t="s">
        <v>1996</v>
      </c>
      <c r="B549" s="2" t="s">
        <v>1647</v>
      </c>
      <c r="C549" s="2" t="s">
        <v>1991</v>
      </c>
      <c r="D549" s="2" t="s">
        <v>1997</v>
      </c>
      <c r="E549" s="2" t="s">
        <v>1312</v>
      </c>
      <c r="F549" s="2" t="s">
        <v>1993</v>
      </c>
      <c r="G549" s="3" t="s">
        <v>49</v>
      </c>
      <c r="H549" s="2" t="s">
        <v>1652</v>
      </c>
      <c r="I549" s="2" t="s">
        <v>51</v>
      </c>
      <c r="J549" s="2" t="s">
        <v>52</v>
      </c>
      <c r="K549" s="2" t="s">
        <v>53</v>
      </c>
      <c r="L549" s="2" t="s">
        <v>53</v>
      </c>
      <c r="M549" s="2" t="s">
        <v>61</v>
      </c>
      <c r="N549" s="2" t="s">
        <v>53</v>
      </c>
      <c r="O549" s="2"/>
    </row>
    <row r="550" spans="1:15" ht="38.25" x14ac:dyDescent="0.25">
      <c r="A550" s="2" t="s">
        <v>1998</v>
      </c>
      <c r="B550" s="2" t="s">
        <v>1647</v>
      </c>
      <c r="C550" s="2" t="s">
        <v>1991</v>
      </c>
      <c r="D550" s="2" t="s">
        <v>1999</v>
      </c>
      <c r="E550" s="2" t="s">
        <v>1312</v>
      </c>
      <c r="F550" s="2" t="s">
        <v>1993</v>
      </c>
      <c r="G550" s="3" t="s">
        <v>49</v>
      </c>
      <c r="H550" s="2" t="s">
        <v>1652</v>
      </c>
      <c r="I550" s="2" t="s">
        <v>51</v>
      </c>
      <c r="J550" s="2" t="s">
        <v>52</v>
      </c>
      <c r="K550" s="2" t="s">
        <v>53</v>
      </c>
      <c r="L550" s="2" t="s">
        <v>53</v>
      </c>
      <c r="M550" s="2" t="s">
        <v>61</v>
      </c>
      <c r="N550" s="2" t="s">
        <v>53</v>
      </c>
      <c r="O550" s="2"/>
    </row>
    <row r="551" spans="1:15" ht="38.25" x14ac:dyDescent="0.25">
      <c r="A551" s="2" t="s">
        <v>2000</v>
      </c>
      <c r="B551" s="2" t="s">
        <v>1647</v>
      </c>
      <c r="C551" s="2" t="s">
        <v>1991</v>
      </c>
      <c r="D551" s="2" t="s">
        <v>2001</v>
      </c>
      <c r="E551" s="2" t="s">
        <v>263</v>
      </c>
      <c r="F551" s="2" t="s">
        <v>1993</v>
      </c>
      <c r="G551" s="3" t="s">
        <v>49</v>
      </c>
      <c r="H551" s="2" t="s">
        <v>1652</v>
      </c>
      <c r="I551" s="2" t="s">
        <v>51</v>
      </c>
      <c r="J551" s="2" t="s">
        <v>52</v>
      </c>
      <c r="K551" s="2" t="s">
        <v>53</v>
      </c>
      <c r="L551" s="2" t="s">
        <v>53</v>
      </c>
      <c r="M551" s="2" t="s">
        <v>61</v>
      </c>
      <c r="N551" s="2" t="s">
        <v>53</v>
      </c>
      <c r="O551" s="2"/>
    </row>
    <row r="552" spans="1:15" ht="38.25" x14ac:dyDescent="0.25">
      <c r="A552" s="2" t="s">
        <v>2002</v>
      </c>
      <c r="B552" s="2" t="s">
        <v>1647</v>
      </c>
      <c r="C552" s="2" t="s">
        <v>1991</v>
      </c>
      <c r="D552" s="2" t="s">
        <v>2003</v>
      </c>
      <c r="E552" s="2" t="s">
        <v>1312</v>
      </c>
      <c r="F552" s="2" t="s">
        <v>1993</v>
      </c>
      <c r="G552" s="3" t="s">
        <v>49</v>
      </c>
      <c r="H552" s="2" t="s">
        <v>1652</v>
      </c>
      <c r="I552" s="2" t="s">
        <v>51</v>
      </c>
      <c r="J552" s="2" t="s">
        <v>52</v>
      </c>
      <c r="K552" s="2" t="s">
        <v>53</v>
      </c>
      <c r="L552" s="2" t="s">
        <v>53</v>
      </c>
      <c r="M552" s="2" t="s">
        <v>61</v>
      </c>
      <c r="N552" s="2" t="s">
        <v>53</v>
      </c>
      <c r="O552" s="2"/>
    </row>
    <row r="553" spans="1:15" ht="38.25" x14ac:dyDescent="0.25">
      <c r="A553" s="2" t="s">
        <v>2004</v>
      </c>
      <c r="B553" s="2" t="s">
        <v>1647</v>
      </c>
      <c r="C553" s="2" t="s">
        <v>1991</v>
      </c>
      <c r="D553" s="2" t="s">
        <v>2005</v>
      </c>
      <c r="E553" s="2" t="s">
        <v>263</v>
      </c>
      <c r="F553" s="2" t="s">
        <v>1993</v>
      </c>
      <c r="G553" s="3" t="s">
        <v>49</v>
      </c>
      <c r="H553" s="2" t="s">
        <v>1652</v>
      </c>
      <c r="I553" s="2" t="s">
        <v>51</v>
      </c>
      <c r="J553" s="2" t="s">
        <v>52</v>
      </c>
      <c r="K553" s="2" t="s">
        <v>53</v>
      </c>
      <c r="L553" s="2" t="s">
        <v>53</v>
      </c>
      <c r="M553" s="2" t="s">
        <v>61</v>
      </c>
      <c r="N553" s="2" t="s">
        <v>53</v>
      </c>
      <c r="O553" s="2"/>
    </row>
    <row r="554" spans="1:15" ht="38.25" x14ac:dyDescent="0.25">
      <c r="A554" s="2" t="s">
        <v>2006</v>
      </c>
      <c r="B554" s="2" t="s">
        <v>1647</v>
      </c>
      <c r="C554" s="2" t="s">
        <v>2007</v>
      </c>
      <c r="D554" s="2" t="s">
        <v>2008</v>
      </c>
      <c r="E554" s="2" t="s">
        <v>263</v>
      </c>
      <c r="F554" s="2" t="s">
        <v>2009</v>
      </c>
      <c r="G554" s="3" t="s">
        <v>49</v>
      </c>
      <c r="H554" s="2" t="s">
        <v>1652</v>
      </c>
      <c r="I554" s="2" t="s">
        <v>51</v>
      </c>
      <c r="J554" s="2" t="s">
        <v>52</v>
      </c>
      <c r="K554" s="2" t="s">
        <v>53</v>
      </c>
      <c r="L554" s="2" t="s">
        <v>53</v>
      </c>
      <c r="M554" s="2" t="s">
        <v>61</v>
      </c>
      <c r="N554" s="2" t="s">
        <v>53</v>
      </c>
      <c r="O554" s="2"/>
    </row>
    <row r="555" spans="1:15" ht="38.25" x14ac:dyDescent="0.25">
      <c r="A555" s="2" t="s">
        <v>2010</v>
      </c>
      <c r="B555" s="2" t="s">
        <v>1647</v>
      </c>
      <c r="C555" s="2" t="s">
        <v>2007</v>
      </c>
      <c r="D555" s="2" t="s">
        <v>2011</v>
      </c>
      <c r="E555" s="2" t="s">
        <v>1294</v>
      </c>
      <c r="F555" s="2" t="s">
        <v>2009</v>
      </c>
      <c r="G555" s="3" t="s">
        <v>49</v>
      </c>
      <c r="H555" s="2" t="s">
        <v>1652</v>
      </c>
      <c r="I555" s="2" t="s">
        <v>51</v>
      </c>
      <c r="J555" s="2" t="s">
        <v>52</v>
      </c>
      <c r="K555" s="2" t="s">
        <v>53</v>
      </c>
      <c r="L555" s="2" t="s">
        <v>53</v>
      </c>
      <c r="M555" s="2" t="s">
        <v>61</v>
      </c>
      <c r="N555" s="2" t="s">
        <v>53</v>
      </c>
      <c r="O555" s="2"/>
    </row>
    <row r="556" spans="1:15" ht="25.5" x14ac:dyDescent="0.25">
      <c r="A556" s="2" t="s">
        <v>2012</v>
      </c>
      <c r="B556" s="2" t="s">
        <v>1647</v>
      </c>
      <c r="C556" s="2" t="s">
        <v>2007</v>
      </c>
      <c r="D556" s="2" t="s">
        <v>2013</v>
      </c>
      <c r="E556" s="2" t="s">
        <v>263</v>
      </c>
      <c r="F556" s="2" t="s">
        <v>2009</v>
      </c>
      <c r="G556" s="3" t="s">
        <v>85</v>
      </c>
      <c r="H556" s="2" t="s">
        <v>2014</v>
      </c>
      <c r="I556" s="2" t="s">
        <v>1659</v>
      </c>
      <c r="J556" s="2" t="s">
        <v>1660</v>
      </c>
      <c r="K556" s="2" t="s">
        <v>1661</v>
      </c>
      <c r="L556" s="2" t="s">
        <v>147</v>
      </c>
      <c r="M556" s="2" t="s">
        <v>1662</v>
      </c>
      <c r="N556" s="2" t="s">
        <v>77</v>
      </c>
      <c r="O556" s="2"/>
    </row>
    <row r="557" spans="1:15" ht="63.75" x14ac:dyDescent="0.25">
      <c r="A557" s="2" t="s">
        <v>2015</v>
      </c>
      <c r="B557" s="2" t="s">
        <v>1647</v>
      </c>
      <c r="C557" s="2" t="s">
        <v>2007</v>
      </c>
      <c r="D557" s="2" t="s">
        <v>2016</v>
      </c>
      <c r="E557" s="2" t="s">
        <v>263</v>
      </c>
      <c r="F557" s="2" t="s">
        <v>2009</v>
      </c>
      <c r="G557" s="3" t="s">
        <v>49</v>
      </c>
      <c r="H557" s="2" t="s">
        <v>1652</v>
      </c>
      <c r="I557" s="2" t="s">
        <v>51</v>
      </c>
      <c r="J557" s="2" t="s">
        <v>52</v>
      </c>
      <c r="K557" s="2" t="s">
        <v>53</v>
      </c>
      <c r="L557" s="2" t="s">
        <v>53</v>
      </c>
      <c r="M557" s="2" t="s">
        <v>61</v>
      </c>
      <c r="N557" s="2" t="s">
        <v>53</v>
      </c>
      <c r="O557" s="2"/>
    </row>
    <row r="558" spans="1:15" ht="38.25" x14ac:dyDescent="0.25">
      <c r="A558" s="2" t="s">
        <v>2017</v>
      </c>
      <c r="B558" s="2" t="s">
        <v>1647</v>
      </c>
      <c r="C558" s="2" t="s">
        <v>2018</v>
      </c>
      <c r="D558" s="2" t="s">
        <v>2019</v>
      </c>
      <c r="E558" s="2" t="s">
        <v>263</v>
      </c>
      <c r="F558" s="2" t="s">
        <v>1689</v>
      </c>
      <c r="G558" s="3" t="s">
        <v>49</v>
      </c>
      <c r="H558" s="2" t="s">
        <v>1690</v>
      </c>
      <c r="I558" s="2" t="s">
        <v>51</v>
      </c>
      <c r="J558" s="2" t="s">
        <v>52</v>
      </c>
      <c r="K558" s="2" t="s">
        <v>53</v>
      </c>
      <c r="L558" s="2" t="s">
        <v>53</v>
      </c>
      <c r="M558" s="2" t="s">
        <v>61</v>
      </c>
      <c r="N558" s="2" t="s">
        <v>53</v>
      </c>
      <c r="O558" s="2"/>
    </row>
    <row r="559" spans="1:15" ht="38.25" x14ac:dyDescent="0.25">
      <c r="A559" s="2" t="s">
        <v>2020</v>
      </c>
      <c r="B559" s="2" t="s">
        <v>1647</v>
      </c>
      <c r="C559" s="2" t="s">
        <v>2018</v>
      </c>
      <c r="D559" s="2" t="s">
        <v>2021</v>
      </c>
      <c r="E559" s="2" t="s">
        <v>1312</v>
      </c>
      <c r="F559" s="2" t="s">
        <v>1689</v>
      </c>
      <c r="G559" s="3" t="s">
        <v>49</v>
      </c>
      <c r="H559" s="2" t="s">
        <v>1690</v>
      </c>
      <c r="I559" s="2" t="s">
        <v>51</v>
      </c>
      <c r="J559" s="2" t="s">
        <v>52</v>
      </c>
      <c r="K559" s="2" t="s">
        <v>53</v>
      </c>
      <c r="L559" s="2" t="s">
        <v>53</v>
      </c>
      <c r="M559" s="2" t="s">
        <v>61</v>
      </c>
      <c r="N559" s="2" t="s">
        <v>53</v>
      </c>
      <c r="O559" s="2"/>
    </row>
    <row r="560" spans="1:15" ht="38.25" x14ac:dyDescent="0.25">
      <c r="A560" s="2" t="s">
        <v>2022</v>
      </c>
      <c r="B560" s="2" t="s">
        <v>1647</v>
      </c>
      <c r="C560" s="2" t="s">
        <v>2018</v>
      </c>
      <c r="D560" s="2" t="s">
        <v>2023</v>
      </c>
      <c r="E560" s="2" t="s">
        <v>1312</v>
      </c>
      <c r="F560" s="2" t="s">
        <v>1689</v>
      </c>
      <c r="G560" s="3" t="s">
        <v>49</v>
      </c>
      <c r="H560" s="2" t="s">
        <v>1652</v>
      </c>
      <c r="I560" s="2" t="s">
        <v>51</v>
      </c>
      <c r="J560" s="2" t="s">
        <v>52</v>
      </c>
      <c r="K560" s="2" t="s">
        <v>53</v>
      </c>
      <c r="L560" s="2" t="s">
        <v>53</v>
      </c>
      <c r="M560" s="2" t="s">
        <v>61</v>
      </c>
      <c r="N560" s="2" t="s">
        <v>53</v>
      </c>
      <c r="O560" s="2"/>
    </row>
    <row r="561" spans="1:15" ht="38.25" x14ac:dyDescent="0.25">
      <c r="A561" s="2" t="s">
        <v>2024</v>
      </c>
      <c r="B561" s="2" t="s">
        <v>1647</v>
      </c>
      <c r="C561" s="2" t="s">
        <v>2018</v>
      </c>
      <c r="D561" s="2" t="s">
        <v>2025</v>
      </c>
      <c r="E561" s="2" t="s">
        <v>1312</v>
      </c>
      <c r="F561" s="2" t="s">
        <v>1689</v>
      </c>
      <c r="G561" s="3" t="s">
        <v>49</v>
      </c>
      <c r="H561" s="2" t="s">
        <v>1652</v>
      </c>
      <c r="I561" s="2" t="s">
        <v>51</v>
      </c>
      <c r="J561" s="2" t="s">
        <v>52</v>
      </c>
      <c r="K561" s="2" t="s">
        <v>53</v>
      </c>
      <c r="L561" s="2" t="s">
        <v>53</v>
      </c>
      <c r="M561" s="2" t="s">
        <v>61</v>
      </c>
      <c r="N561" s="2" t="s">
        <v>53</v>
      </c>
      <c r="O561" s="2"/>
    </row>
    <row r="562" spans="1:15" ht="38.25" x14ac:dyDescent="0.25">
      <c r="A562" s="2" t="s">
        <v>2026</v>
      </c>
      <c r="B562" s="2" t="s">
        <v>1647</v>
      </c>
      <c r="C562" s="2" t="s">
        <v>2018</v>
      </c>
      <c r="D562" s="2" t="s">
        <v>2027</v>
      </c>
      <c r="E562" s="2" t="s">
        <v>263</v>
      </c>
      <c r="F562" s="2" t="s">
        <v>1689</v>
      </c>
      <c r="G562" s="3" t="s">
        <v>49</v>
      </c>
      <c r="H562" s="2" t="s">
        <v>1652</v>
      </c>
      <c r="I562" s="2" t="s">
        <v>51</v>
      </c>
      <c r="J562" s="2" t="s">
        <v>52</v>
      </c>
      <c r="K562" s="2" t="s">
        <v>53</v>
      </c>
      <c r="L562" s="2" t="s">
        <v>53</v>
      </c>
      <c r="M562" s="2" t="s">
        <v>61</v>
      </c>
      <c r="N562" s="2" t="s">
        <v>53</v>
      </c>
      <c r="O562" s="2"/>
    </row>
    <row r="563" spans="1:15" ht="38.25" x14ac:dyDescent="0.25">
      <c r="A563" s="2" t="s">
        <v>2028</v>
      </c>
      <c r="B563" s="2" t="s">
        <v>1647</v>
      </c>
      <c r="C563" s="2" t="s">
        <v>2029</v>
      </c>
      <c r="D563" s="2" t="s">
        <v>2030</v>
      </c>
      <c r="E563" s="2" t="s">
        <v>263</v>
      </c>
      <c r="F563" s="2" t="s">
        <v>1138</v>
      </c>
      <c r="G563" s="3" t="s">
        <v>70</v>
      </c>
      <c r="H563" s="2" t="s">
        <v>2031</v>
      </c>
      <c r="I563" s="2" t="s">
        <v>2032</v>
      </c>
      <c r="J563" s="2" t="s">
        <v>2033</v>
      </c>
      <c r="K563" s="2" t="s">
        <v>2034</v>
      </c>
      <c r="L563" s="2" t="s">
        <v>147</v>
      </c>
      <c r="M563" s="2" t="s">
        <v>2035</v>
      </c>
      <c r="N563" s="2" t="s">
        <v>77</v>
      </c>
      <c r="O563" s="2"/>
    </row>
    <row r="564" spans="1:15" ht="63.75" x14ac:dyDescent="0.25">
      <c r="A564" s="2" t="s">
        <v>2036</v>
      </c>
      <c r="B564" s="2" t="s">
        <v>1647</v>
      </c>
      <c r="C564" s="2" t="s">
        <v>2029</v>
      </c>
      <c r="D564" s="2" t="s">
        <v>2037</v>
      </c>
      <c r="E564" s="2" t="s">
        <v>2038</v>
      </c>
      <c r="F564" s="2" t="s">
        <v>1138</v>
      </c>
      <c r="G564" s="3" t="s">
        <v>49</v>
      </c>
      <c r="H564" s="2" t="s">
        <v>1143</v>
      </c>
      <c r="I564" s="2" t="s">
        <v>51</v>
      </c>
      <c r="J564" s="2" t="s">
        <v>52</v>
      </c>
      <c r="K564" s="2" t="s">
        <v>53</v>
      </c>
      <c r="L564" s="2" t="s">
        <v>53</v>
      </c>
      <c r="M564" s="2" t="s">
        <v>61</v>
      </c>
      <c r="N564" s="2" t="s">
        <v>53</v>
      </c>
      <c r="O564" s="2"/>
    </row>
    <row r="565" spans="1:15" ht="38.25" x14ac:dyDescent="0.25">
      <c r="A565" s="2" t="s">
        <v>2039</v>
      </c>
      <c r="B565" s="2" t="s">
        <v>1647</v>
      </c>
      <c r="C565" s="2" t="s">
        <v>2029</v>
      </c>
      <c r="D565" s="2" t="s">
        <v>2040</v>
      </c>
      <c r="E565" s="2" t="s">
        <v>263</v>
      </c>
      <c r="F565" s="2" t="s">
        <v>1138</v>
      </c>
      <c r="G565" s="3" t="s">
        <v>49</v>
      </c>
      <c r="H565" s="2" t="s">
        <v>1143</v>
      </c>
      <c r="I565" s="2" t="s">
        <v>51</v>
      </c>
      <c r="J565" s="2" t="s">
        <v>52</v>
      </c>
      <c r="K565" s="2" t="s">
        <v>53</v>
      </c>
      <c r="L565" s="2" t="s">
        <v>53</v>
      </c>
      <c r="M565" s="2" t="s">
        <v>61</v>
      </c>
      <c r="N565" s="2" t="s">
        <v>53</v>
      </c>
      <c r="O565" s="2"/>
    </row>
    <row r="566" spans="1:15" ht="38.25" x14ac:dyDescent="0.25">
      <c r="A566" s="2" t="s">
        <v>2041</v>
      </c>
      <c r="B566" s="2" t="s">
        <v>1647</v>
      </c>
      <c r="C566" s="2" t="s">
        <v>2042</v>
      </c>
      <c r="D566" s="2" t="s">
        <v>2043</v>
      </c>
      <c r="E566" s="2" t="s">
        <v>263</v>
      </c>
      <c r="F566" s="2" t="s">
        <v>2044</v>
      </c>
      <c r="G566" s="3" t="s">
        <v>49</v>
      </c>
      <c r="H566" s="2" t="s">
        <v>1652</v>
      </c>
      <c r="I566" s="2" t="s">
        <v>51</v>
      </c>
      <c r="J566" s="2" t="s">
        <v>52</v>
      </c>
      <c r="K566" s="2" t="s">
        <v>53</v>
      </c>
      <c r="L566" s="2" t="s">
        <v>53</v>
      </c>
      <c r="M566" s="2" t="s">
        <v>61</v>
      </c>
      <c r="N566" s="2" t="s">
        <v>53</v>
      </c>
      <c r="O566" s="2"/>
    </row>
    <row r="567" spans="1:15" ht="38.25" x14ac:dyDescent="0.25">
      <c r="A567" s="2" t="s">
        <v>2045</v>
      </c>
      <c r="B567" s="2" t="s">
        <v>1647</v>
      </c>
      <c r="C567" s="2" t="s">
        <v>2042</v>
      </c>
      <c r="D567" s="2" t="s">
        <v>2046</v>
      </c>
      <c r="E567" s="2" t="s">
        <v>1312</v>
      </c>
      <c r="F567" s="2" t="s">
        <v>2044</v>
      </c>
      <c r="G567" s="3" t="s">
        <v>49</v>
      </c>
      <c r="H567" s="2" t="s">
        <v>1652</v>
      </c>
      <c r="I567" s="2" t="s">
        <v>51</v>
      </c>
      <c r="J567" s="2" t="s">
        <v>52</v>
      </c>
      <c r="K567" s="2" t="s">
        <v>53</v>
      </c>
      <c r="L567" s="2" t="s">
        <v>53</v>
      </c>
      <c r="M567" s="2" t="s">
        <v>61</v>
      </c>
      <c r="N567" s="2" t="s">
        <v>53</v>
      </c>
      <c r="O567" s="2"/>
    </row>
    <row r="568" spans="1:15" ht="38.25" x14ac:dyDescent="0.25">
      <c r="A568" s="2" t="s">
        <v>2047</v>
      </c>
      <c r="B568" s="2" t="s">
        <v>1647</v>
      </c>
      <c r="C568" s="2" t="s">
        <v>2042</v>
      </c>
      <c r="D568" s="2" t="s">
        <v>2048</v>
      </c>
      <c r="E568" s="2" t="s">
        <v>1312</v>
      </c>
      <c r="F568" s="2" t="s">
        <v>2044</v>
      </c>
      <c r="G568" s="3" t="s">
        <v>49</v>
      </c>
      <c r="H568" s="2" t="s">
        <v>1652</v>
      </c>
      <c r="I568" s="2" t="s">
        <v>51</v>
      </c>
      <c r="J568" s="2" t="s">
        <v>52</v>
      </c>
      <c r="K568" s="2" t="s">
        <v>53</v>
      </c>
      <c r="L568" s="2" t="s">
        <v>53</v>
      </c>
      <c r="M568" s="2" t="s">
        <v>61</v>
      </c>
      <c r="N568" s="2" t="s">
        <v>53</v>
      </c>
      <c r="O568" s="2"/>
    </row>
    <row r="569" spans="1:15" ht="38.25" x14ac:dyDescent="0.25">
      <c r="A569" s="2" t="s">
        <v>2049</v>
      </c>
      <c r="B569" s="2" t="s">
        <v>1647</v>
      </c>
      <c r="C569" s="2" t="s">
        <v>2042</v>
      </c>
      <c r="D569" s="2" t="s">
        <v>2050</v>
      </c>
      <c r="E569" s="2" t="s">
        <v>1312</v>
      </c>
      <c r="F569" s="2" t="s">
        <v>2044</v>
      </c>
      <c r="G569" s="3" t="s">
        <v>49</v>
      </c>
      <c r="H569" s="2" t="s">
        <v>1652</v>
      </c>
      <c r="I569" s="2" t="s">
        <v>51</v>
      </c>
      <c r="J569" s="2" t="s">
        <v>52</v>
      </c>
      <c r="K569" s="2" t="s">
        <v>53</v>
      </c>
      <c r="L569" s="2" t="s">
        <v>53</v>
      </c>
      <c r="M569" s="2" t="s">
        <v>61</v>
      </c>
      <c r="N569" s="2" t="s">
        <v>53</v>
      </c>
      <c r="O569" s="2"/>
    </row>
    <row r="570" spans="1:15" ht="38.25" x14ac:dyDescent="0.25">
      <c r="A570" s="2" t="s">
        <v>2051</v>
      </c>
      <c r="B570" s="2" t="s">
        <v>1647</v>
      </c>
      <c r="C570" s="2" t="s">
        <v>2042</v>
      </c>
      <c r="D570" s="2" t="s">
        <v>2052</v>
      </c>
      <c r="E570" s="2" t="s">
        <v>1312</v>
      </c>
      <c r="F570" s="2" t="s">
        <v>2044</v>
      </c>
      <c r="G570" s="3" t="s">
        <v>49</v>
      </c>
      <c r="H570" s="2" t="s">
        <v>1652</v>
      </c>
      <c r="I570" s="2" t="s">
        <v>51</v>
      </c>
      <c r="J570" s="2" t="s">
        <v>52</v>
      </c>
      <c r="K570" s="2" t="s">
        <v>53</v>
      </c>
      <c r="L570" s="2" t="s">
        <v>53</v>
      </c>
      <c r="M570" s="2" t="s">
        <v>61</v>
      </c>
      <c r="N570" s="2" t="s">
        <v>53</v>
      </c>
      <c r="O570" s="2"/>
    </row>
    <row r="571" spans="1:15" ht="51" x14ac:dyDescent="0.25">
      <c r="A571" s="2" t="s">
        <v>2053</v>
      </c>
      <c r="B571" s="2" t="s">
        <v>1647</v>
      </c>
      <c r="C571" s="2" t="s">
        <v>2042</v>
      </c>
      <c r="D571" s="2" t="s">
        <v>2054</v>
      </c>
      <c r="E571" s="2" t="s">
        <v>942</v>
      </c>
      <c r="F571" s="2" t="s">
        <v>2044</v>
      </c>
      <c r="G571" s="3" t="s">
        <v>49</v>
      </c>
      <c r="H571" s="2" t="s">
        <v>1652</v>
      </c>
      <c r="I571" s="2" t="s">
        <v>51</v>
      </c>
      <c r="J571" s="2" t="s">
        <v>52</v>
      </c>
      <c r="K571" s="2" t="s">
        <v>53</v>
      </c>
      <c r="L571" s="2" t="s">
        <v>53</v>
      </c>
      <c r="M571" s="2" t="s">
        <v>61</v>
      </c>
      <c r="N571" s="2" t="s">
        <v>53</v>
      </c>
      <c r="O571" s="2"/>
    </row>
    <row r="572" spans="1:15" ht="51" x14ac:dyDescent="0.25">
      <c r="A572" s="2" t="s">
        <v>2055</v>
      </c>
      <c r="B572" s="2" t="s">
        <v>1647</v>
      </c>
      <c r="C572" s="2" t="s">
        <v>2042</v>
      </c>
      <c r="D572" s="2" t="s">
        <v>2056</v>
      </c>
      <c r="E572" s="2" t="s">
        <v>942</v>
      </c>
      <c r="F572" s="2" t="s">
        <v>2044</v>
      </c>
      <c r="G572" s="3" t="s">
        <v>49</v>
      </c>
      <c r="H572" s="2" t="s">
        <v>1652</v>
      </c>
      <c r="I572" s="2" t="s">
        <v>51</v>
      </c>
      <c r="J572" s="2" t="s">
        <v>52</v>
      </c>
      <c r="K572" s="2" t="s">
        <v>53</v>
      </c>
      <c r="L572" s="2" t="s">
        <v>53</v>
      </c>
      <c r="M572" s="2" t="s">
        <v>61</v>
      </c>
      <c r="N572" s="2" t="s">
        <v>53</v>
      </c>
      <c r="O572" s="2"/>
    </row>
    <row r="573" spans="1:15" ht="25.5" x14ac:dyDescent="0.25">
      <c r="A573" s="2" t="s">
        <v>2057</v>
      </c>
      <c r="B573" s="2" t="s">
        <v>1647</v>
      </c>
      <c r="C573" s="2" t="s">
        <v>2058</v>
      </c>
      <c r="D573" s="2" t="s">
        <v>2059</v>
      </c>
      <c r="E573" s="2" t="s">
        <v>270</v>
      </c>
      <c r="F573" s="2" t="s">
        <v>1908</v>
      </c>
      <c r="G573" s="3" t="s">
        <v>49</v>
      </c>
      <c r="H573" s="2" t="s">
        <v>1670</v>
      </c>
      <c r="I573" s="2" t="s">
        <v>51</v>
      </c>
      <c r="J573" s="2" t="s">
        <v>52</v>
      </c>
      <c r="K573" s="2" t="s">
        <v>53</v>
      </c>
      <c r="L573" s="2" t="s">
        <v>53</v>
      </c>
      <c r="M573" s="2" t="s">
        <v>61</v>
      </c>
      <c r="N573" s="2" t="s">
        <v>53</v>
      </c>
      <c r="O573" s="2"/>
    </row>
    <row r="574" spans="1:15" ht="25.5" x14ac:dyDescent="0.25">
      <c r="A574" s="2" t="s">
        <v>2060</v>
      </c>
      <c r="B574" s="2" t="s">
        <v>1647</v>
      </c>
      <c r="C574" s="2" t="s">
        <v>2058</v>
      </c>
      <c r="D574" s="2" t="s">
        <v>2061</v>
      </c>
      <c r="E574" s="2" t="s">
        <v>263</v>
      </c>
      <c r="F574" s="2" t="s">
        <v>1908</v>
      </c>
      <c r="G574" s="3" t="s">
        <v>49</v>
      </c>
      <c r="H574" s="2" t="s">
        <v>1670</v>
      </c>
      <c r="I574" s="2" t="s">
        <v>51</v>
      </c>
      <c r="J574" s="2" t="s">
        <v>52</v>
      </c>
      <c r="K574" s="2" t="s">
        <v>53</v>
      </c>
      <c r="L574" s="2" t="s">
        <v>53</v>
      </c>
      <c r="M574" s="2" t="s">
        <v>61</v>
      </c>
      <c r="N574" s="2" t="s">
        <v>53</v>
      </c>
      <c r="O574" s="2"/>
    </row>
    <row r="575" spans="1:15" ht="25.5" x14ac:dyDescent="0.25">
      <c r="A575" s="2" t="s">
        <v>2062</v>
      </c>
      <c r="B575" s="2" t="s">
        <v>1647</v>
      </c>
      <c r="C575" s="2" t="s">
        <v>2063</v>
      </c>
      <c r="D575" s="2" t="s">
        <v>2064</v>
      </c>
      <c r="E575" s="2" t="s">
        <v>263</v>
      </c>
      <c r="F575" s="2" t="s">
        <v>1908</v>
      </c>
      <c r="G575" s="3" t="s">
        <v>49</v>
      </c>
      <c r="H575" s="2" t="s">
        <v>1670</v>
      </c>
      <c r="I575" s="2" t="s">
        <v>51</v>
      </c>
      <c r="J575" s="2" t="s">
        <v>52</v>
      </c>
      <c r="K575" s="2" t="s">
        <v>53</v>
      </c>
      <c r="L575" s="2" t="s">
        <v>53</v>
      </c>
      <c r="M575" s="2" t="s">
        <v>61</v>
      </c>
      <c r="N575" s="2" t="s">
        <v>53</v>
      </c>
      <c r="O575" s="2"/>
    </row>
    <row r="576" spans="1:15" ht="38.25" x14ac:dyDescent="0.25">
      <c r="A576" s="2" t="s">
        <v>2065</v>
      </c>
      <c r="B576" s="2" t="s">
        <v>1647</v>
      </c>
      <c r="C576" s="2" t="s">
        <v>2063</v>
      </c>
      <c r="D576" s="2" t="s">
        <v>2066</v>
      </c>
      <c r="E576" s="2" t="s">
        <v>263</v>
      </c>
      <c r="F576" s="2" t="s">
        <v>1908</v>
      </c>
      <c r="G576" s="3" t="s">
        <v>49</v>
      </c>
      <c r="H576" s="2" t="s">
        <v>1670</v>
      </c>
      <c r="I576" s="2" t="s">
        <v>51</v>
      </c>
      <c r="J576" s="2" t="s">
        <v>52</v>
      </c>
      <c r="K576" s="2" t="s">
        <v>53</v>
      </c>
      <c r="L576" s="2" t="s">
        <v>53</v>
      </c>
      <c r="M576" s="2" t="s">
        <v>61</v>
      </c>
      <c r="N576" s="2" t="s">
        <v>53</v>
      </c>
      <c r="O576" s="2"/>
    </row>
    <row r="577" spans="1:15" ht="38.25" x14ac:dyDescent="0.25">
      <c r="A577" s="2" t="s">
        <v>2067</v>
      </c>
      <c r="B577" s="2" t="s">
        <v>1647</v>
      </c>
      <c r="C577" s="2" t="s">
        <v>2063</v>
      </c>
      <c r="D577" s="2" t="s">
        <v>2068</v>
      </c>
      <c r="E577" s="2" t="s">
        <v>263</v>
      </c>
      <c r="F577" s="2" t="s">
        <v>1908</v>
      </c>
      <c r="G577" s="3" t="s">
        <v>49</v>
      </c>
      <c r="H577" s="2" t="s">
        <v>1670</v>
      </c>
      <c r="I577" s="2" t="s">
        <v>51</v>
      </c>
      <c r="J577" s="2" t="s">
        <v>52</v>
      </c>
      <c r="K577" s="2" t="s">
        <v>53</v>
      </c>
      <c r="L577" s="2" t="s">
        <v>53</v>
      </c>
      <c r="M577" s="2" t="s">
        <v>61</v>
      </c>
      <c r="N577" s="2" t="s">
        <v>53</v>
      </c>
      <c r="O577" s="2"/>
    </row>
    <row r="578" spans="1:15" ht="25.5" x14ac:dyDescent="0.25">
      <c r="A578" s="2" t="s">
        <v>2069</v>
      </c>
      <c r="B578" s="2" t="s">
        <v>1647</v>
      </c>
      <c r="C578" s="2" t="s">
        <v>2063</v>
      </c>
      <c r="D578" s="2" t="s">
        <v>2070</v>
      </c>
      <c r="E578" s="2" t="s">
        <v>2071</v>
      </c>
      <c r="F578" s="2" t="s">
        <v>1908</v>
      </c>
      <c r="G578" s="3" t="s">
        <v>49</v>
      </c>
      <c r="H578" s="2" t="s">
        <v>1670</v>
      </c>
      <c r="I578" s="2" t="s">
        <v>51</v>
      </c>
      <c r="J578" s="2" t="s">
        <v>52</v>
      </c>
      <c r="K578" s="2" t="s">
        <v>53</v>
      </c>
      <c r="L578" s="2" t="s">
        <v>53</v>
      </c>
      <c r="M578" s="2" t="s">
        <v>61</v>
      </c>
      <c r="N578" s="2" t="s">
        <v>53</v>
      </c>
      <c r="O578" s="2"/>
    </row>
    <row r="579" spans="1:15" ht="38.25" x14ac:dyDescent="0.25">
      <c r="A579" s="2" t="s">
        <v>2072</v>
      </c>
      <c r="B579" s="2" t="s">
        <v>1647</v>
      </c>
      <c r="C579" s="2" t="s">
        <v>2063</v>
      </c>
      <c r="D579" s="2" t="s">
        <v>2073</v>
      </c>
      <c r="E579" s="2" t="s">
        <v>263</v>
      </c>
      <c r="F579" s="2" t="s">
        <v>1908</v>
      </c>
      <c r="G579" s="3" t="s">
        <v>49</v>
      </c>
      <c r="H579" s="2" t="s">
        <v>1670</v>
      </c>
      <c r="I579" s="2" t="s">
        <v>51</v>
      </c>
      <c r="J579" s="2" t="s">
        <v>52</v>
      </c>
      <c r="K579" s="2" t="s">
        <v>53</v>
      </c>
      <c r="L579" s="2" t="s">
        <v>53</v>
      </c>
      <c r="M579" s="2" t="s">
        <v>61</v>
      </c>
      <c r="N579" s="2" t="s">
        <v>53</v>
      </c>
      <c r="O579" s="2"/>
    </row>
    <row r="580" spans="1:15" ht="25.5" x14ac:dyDescent="0.25">
      <c r="A580" s="2" t="s">
        <v>2074</v>
      </c>
      <c r="B580" s="2" t="s">
        <v>1647</v>
      </c>
      <c r="C580" s="2" t="s">
        <v>2063</v>
      </c>
      <c r="D580" s="2" t="s">
        <v>2075</v>
      </c>
      <c r="E580" s="2" t="s">
        <v>263</v>
      </c>
      <c r="F580" s="2" t="s">
        <v>1908</v>
      </c>
      <c r="G580" s="3" t="s">
        <v>49</v>
      </c>
      <c r="H580" s="2" t="s">
        <v>1670</v>
      </c>
      <c r="I580" s="2" t="s">
        <v>51</v>
      </c>
      <c r="J580" s="2" t="s">
        <v>52</v>
      </c>
      <c r="K580" s="2" t="s">
        <v>53</v>
      </c>
      <c r="L580" s="2" t="s">
        <v>53</v>
      </c>
      <c r="M580" s="2" t="s">
        <v>61</v>
      </c>
      <c r="N580" s="2" t="s">
        <v>53</v>
      </c>
      <c r="O580" s="2"/>
    </row>
    <row r="581" spans="1:15" ht="25.5" x14ac:dyDescent="0.25">
      <c r="A581" s="2" t="s">
        <v>2076</v>
      </c>
      <c r="B581" s="2" t="s">
        <v>1647</v>
      </c>
      <c r="C581" s="2" t="s">
        <v>2063</v>
      </c>
      <c r="D581" s="2" t="s">
        <v>2077</v>
      </c>
      <c r="E581" s="2" t="s">
        <v>1312</v>
      </c>
      <c r="F581" s="2" t="s">
        <v>1908</v>
      </c>
      <c r="G581" s="3" t="s">
        <v>49</v>
      </c>
      <c r="H581" s="2" t="s">
        <v>1670</v>
      </c>
      <c r="I581" s="2" t="s">
        <v>51</v>
      </c>
      <c r="J581" s="2" t="s">
        <v>52</v>
      </c>
      <c r="K581" s="2" t="s">
        <v>53</v>
      </c>
      <c r="L581" s="2" t="s">
        <v>53</v>
      </c>
      <c r="M581" s="2" t="s">
        <v>61</v>
      </c>
      <c r="N581" s="2" t="s">
        <v>53</v>
      </c>
      <c r="O581" s="2"/>
    </row>
    <row r="582" spans="1:15" ht="25.5" x14ac:dyDescent="0.25">
      <c r="A582" s="2" t="s">
        <v>2078</v>
      </c>
      <c r="B582" s="2" t="s">
        <v>1647</v>
      </c>
      <c r="C582" s="2" t="s">
        <v>2079</v>
      </c>
      <c r="D582" s="2" t="s">
        <v>2080</v>
      </c>
      <c r="E582" s="2" t="s">
        <v>263</v>
      </c>
      <c r="F582" s="2" t="s">
        <v>1908</v>
      </c>
      <c r="G582" s="3" t="s">
        <v>49</v>
      </c>
      <c r="H582" s="2" t="s">
        <v>1670</v>
      </c>
      <c r="I582" s="2" t="s">
        <v>51</v>
      </c>
      <c r="J582" s="2" t="s">
        <v>52</v>
      </c>
      <c r="K582" s="2" t="s">
        <v>53</v>
      </c>
      <c r="L582" s="2" t="s">
        <v>53</v>
      </c>
      <c r="M582" s="2" t="s">
        <v>61</v>
      </c>
      <c r="N582" s="2" t="s">
        <v>53</v>
      </c>
      <c r="O582" s="2"/>
    </row>
    <row r="583" spans="1:15" ht="38.25" x14ac:dyDescent="0.25">
      <c r="A583" s="2" t="s">
        <v>2081</v>
      </c>
      <c r="B583" s="2" t="s">
        <v>1647</v>
      </c>
      <c r="C583" s="2" t="s">
        <v>2079</v>
      </c>
      <c r="D583" s="2" t="s">
        <v>2082</v>
      </c>
      <c r="E583" s="2" t="s">
        <v>263</v>
      </c>
      <c r="F583" s="2" t="s">
        <v>1908</v>
      </c>
      <c r="G583" s="3" t="s">
        <v>49</v>
      </c>
      <c r="H583" s="2" t="s">
        <v>1652</v>
      </c>
      <c r="I583" s="2" t="s">
        <v>51</v>
      </c>
      <c r="J583" s="2" t="s">
        <v>52</v>
      </c>
      <c r="K583" s="2" t="s">
        <v>53</v>
      </c>
      <c r="L583" s="2" t="s">
        <v>53</v>
      </c>
      <c r="M583" s="2" t="s">
        <v>61</v>
      </c>
      <c r="N583" s="2" t="s">
        <v>53</v>
      </c>
      <c r="O583" s="2"/>
    </row>
    <row r="584" spans="1:15" ht="25.5" x14ac:dyDescent="0.25">
      <c r="A584" s="2" t="s">
        <v>2083</v>
      </c>
      <c r="B584" s="2" t="s">
        <v>1647</v>
      </c>
      <c r="C584" s="2" t="s">
        <v>2079</v>
      </c>
      <c r="D584" s="2" t="s">
        <v>2084</v>
      </c>
      <c r="E584" s="2" t="s">
        <v>263</v>
      </c>
      <c r="F584" s="2" t="s">
        <v>1908</v>
      </c>
      <c r="G584" s="3" t="s">
        <v>49</v>
      </c>
      <c r="H584" s="2" t="s">
        <v>1670</v>
      </c>
      <c r="I584" s="2" t="s">
        <v>51</v>
      </c>
      <c r="J584" s="2" t="s">
        <v>52</v>
      </c>
      <c r="K584" s="2" t="s">
        <v>53</v>
      </c>
      <c r="L584" s="2" t="s">
        <v>53</v>
      </c>
      <c r="M584" s="2" t="s">
        <v>61</v>
      </c>
      <c r="N584" s="2" t="s">
        <v>53</v>
      </c>
      <c r="O584" s="2"/>
    </row>
    <row r="585" spans="1:15" ht="25.5" x14ac:dyDescent="0.25">
      <c r="A585" s="2" t="s">
        <v>2085</v>
      </c>
      <c r="B585" s="2" t="s">
        <v>1647</v>
      </c>
      <c r="C585" s="2" t="s">
        <v>2086</v>
      </c>
      <c r="D585" s="2" t="s">
        <v>2087</v>
      </c>
      <c r="E585" s="2" t="s">
        <v>263</v>
      </c>
      <c r="F585" s="2" t="s">
        <v>1908</v>
      </c>
      <c r="G585" s="3" t="s">
        <v>49</v>
      </c>
      <c r="H585" s="2" t="s">
        <v>1670</v>
      </c>
      <c r="I585" s="2" t="s">
        <v>51</v>
      </c>
      <c r="J585" s="2" t="s">
        <v>52</v>
      </c>
      <c r="K585" s="2" t="s">
        <v>53</v>
      </c>
      <c r="L585" s="2" t="s">
        <v>53</v>
      </c>
      <c r="M585" s="2" t="s">
        <v>61</v>
      </c>
      <c r="N585" s="2" t="s">
        <v>53</v>
      </c>
      <c r="O585" s="2"/>
    </row>
    <row r="586" spans="1:15" ht="25.5" x14ac:dyDescent="0.25">
      <c r="A586" s="2" t="s">
        <v>2088</v>
      </c>
      <c r="B586" s="2" t="s">
        <v>1647</v>
      </c>
      <c r="C586" s="2" t="s">
        <v>2086</v>
      </c>
      <c r="D586" s="2" t="s">
        <v>1762</v>
      </c>
      <c r="E586" s="2" t="s">
        <v>263</v>
      </c>
      <c r="F586" s="2" t="s">
        <v>1908</v>
      </c>
      <c r="G586" s="3" t="s">
        <v>49</v>
      </c>
      <c r="H586" s="2" t="s">
        <v>1670</v>
      </c>
      <c r="I586" s="2" t="s">
        <v>51</v>
      </c>
      <c r="J586" s="2" t="s">
        <v>52</v>
      </c>
      <c r="K586" s="2" t="s">
        <v>53</v>
      </c>
      <c r="L586" s="2" t="s">
        <v>53</v>
      </c>
      <c r="M586" s="2" t="s">
        <v>61</v>
      </c>
      <c r="N586" s="2" t="s">
        <v>53</v>
      </c>
      <c r="O586" s="2"/>
    </row>
    <row r="587" spans="1:15" ht="25.5" x14ac:dyDescent="0.25">
      <c r="A587" s="2" t="s">
        <v>2089</v>
      </c>
      <c r="B587" s="2" t="s">
        <v>1647</v>
      </c>
      <c r="C587" s="2" t="s">
        <v>2086</v>
      </c>
      <c r="D587" s="2" t="s">
        <v>2090</v>
      </c>
      <c r="E587" s="2" t="s">
        <v>942</v>
      </c>
      <c r="F587" s="2" t="s">
        <v>1908</v>
      </c>
      <c r="G587" s="3" t="s">
        <v>49</v>
      </c>
      <c r="H587" s="2" t="s">
        <v>1670</v>
      </c>
      <c r="I587" s="2" t="s">
        <v>51</v>
      </c>
      <c r="J587" s="2" t="s">
        <v>52</v>
      </c>
      <c r="K587" s="2" t="s">
        <v>53</v>
      </c>
      <c r="L587" s="2" t="s">
        <v>53</v>
      </c>
      <c r="M587" s="2" t="s">
        <v>61</v>
      </c>
      <c r="N587" s="2" t="s">
        <v>53</v>
      </c>
      <c r="O587" s="2"/>
    </row>
    <row r="588" spans="1:15" ht="51" x14ac:dyDescent="0.25">
      <c r="A588" s="2" t="s">
        <v>2091</v>
      </c>
      <c r="B588" s="2" t="s">
        <v>1647</v>
      </c>
      <c r="C588" s="2" t="s">
        <v>2086</v>
      </c>
      <c r="D588" s="2" t="s">
        <v>2092</v>
      </c>
      <c r="E588" s="2" t="s">
        <v>263</v>
      </c>
      <c r="F588" s="2" t="s">
        <v>1908</v>
      </c>
      <c r="G588" s="3" t="s">
        <v>49</v>
      </c>
      <c r="H588" s="2" t="s">
        <v>1670</v>
      </c>
      <c r="I588" s="2" t="s">
        <v>51</v>
      </c>
      <c r="J588" s="2" t="s">
        <v>52</v>
      </c>
      <c r="K588" s="2" t="s">
        <v>53</v>
      </c>
      <c r="L588" s="2" t="s">
        <v>53</v>
      </c>
      <c r="M588" s="2" t="s">
        <v>61</v>
      </c>
      <c r="N588" s="2" t="s">
        <v>53</v>
      </c>
      <c r="O588" s="2"/>
    </row>
    <row r="589" spans="1:15" ht="25.5" x14ac:dyDescent="0.25">
      <c r="A589" s="2" t="s">
        <v>2093</v>
      </c>
      <c r="B589" s="2" t="s">
        <v>1647</v>
      </c>
      <c r="C589" s="2" t="s">
        <v>2086</v>
      </c>
      <c r="D589" s="2" t="s">
        <v>2094</v>
      </c>
      <c r="E589" s="2" t="s">
        <v>263</v>
      </c>
      <c r="F589" s="2" t="s">
        <v>1908</v>
      </c>
      <c r="G589" s="3" t="s">
        <v>49</v>
      </c>
      <c r="H589" s="2" t="s">
        <v>1670</v>
      </c>
      <c r="I589" s="2" t="s">
        <v>51</v>
      </c>
      <c r="J589" s="2" t="s">
        <v>52</v>
      </c>
      <c r="K589" s="2" t="s">
        <v>53</v>
      </c>
      <c r="L589" s="2" t="s">
        <v>53</v>
      </c>
      <c r="M589" s="2" t="s">
        <v>61</v>
      </c>
      <c r="N589" s="2" t="s">
        <v>53</v>
      </c>
      <c r="O589" s="2"/>
    </row>
    <row r="590" spans="1:15" ht="25.5" x14ac:dyDescent="0.25">
      <c r="A590" s="2" t="s">
        <v>2095</v>
      </c>
      <c r="B590" s="2" t="s">
        <v>1647</v>
      </c>
      <c r="C590" s="2" t="s">
        <v>2086</v>
      </c>
      <c r="D590" s="2" t="s">
        <v>2096</v>
      </c>
      <c r="E590" s="2" t="s">
        <v>263</v>
      </c>
      <c r="F590" s="2" t="s">
        <v>1908</v>
      </c>
      <c r="G590" s="3" t="s">
        <v>49</v>
      </c>
      <c r="H590" s="2" t="s">
        <v>1670</v>
      </c>
      <c r="I590" s="2" t="s">
        <v>51</v>
      </c>
      <c r="J590" s="2" t="s">
        <v>52</v>
      </c>
      <c r="K590" s="2" t="s">
        <v>53</v>
      </c>
      <c r="L590" s="2" t="s">
        <v>53</v>
      </c>
      <c r="M590" s="2" t="s">
        <v>61</v>
      </c>
      <c r="N590" s="2" t="s">
        <v>53</v>
      </c>
      <c r="O590" s="2"/>
    </row>
    <row r="591" spans="1:15" ht="25.5" x14ac:dyDescent="0.25">
      <c r="A591" s="2" t="s">
        <v>2097</v>
      </c>
      <c r="B591" s="2" t="s">
        <v>1647</v>
      </c>
      <c r="C591" s="2" t="s">
        <v>2086</v>
      </c>
      <c r="D591" s="2" t="s">
        <v>2098</v>
      </c>
      <c r="E591" s="2" t="s">
        <v>263</v>
      </c>
      <c r="F591" s="2" t="s">
        <v>1908</v>
      </c>
      <c r="G591" s="3" t="s">
        <v>49</v>
      </c>
      <c r="H591" s="2" t="s">
        <v>1670</v>
      </c>
      <c r="I591" s="2" t="s">
        <v>51</v>
      </c>
      <c r="J591" s="2" t="s">
        <v>52</v>
      </c>
      <c r="K591" s="2" t="s">
        <v>53</v>
      </c>
      <c r="L591" s="2" t="s">
        <v>53</v>
      </c>
      <c r="M591" s="2" t="s">
        <v>61</v>
      </c>
      <c r="N591" s="2" t="s">
        <v>53</v>
      </c>
      <c r="O591" s="2"/>
    </row>
    <row r="592" spans="1:15" ht="25.5" x14ac:dyDescent="0.25">
      <c r="A592" s="2" t="s">
        <v>2099</v>
      </c>
      <c r="B592" s="2" t="s">
        <v>1647</v>
      </c>
      <c r="C592" s="2" t="s">
        <v>2086</v>
      </c>
      <c r="D592" s="2" t="s">
        <v>2100</v>
      </c>
      <c r="E592" s="2" t="s">
        <v>263</v>
      </c>
      <c r="F592" s="2" t="s">
        <v>1908</v>
      </c>
      <c r="G592" s="3" t="s">
        <v>49</v>
      </c>
      <c r="H592" s="2" t="s">
        <v>1670</v>
      </c>
      <c r="I592" s="2" t="s">
        <v>51</v>
      </c>
      <c r="J592" s="2" t="s">
        <v>52</v>
      </c>
      <c r="K592" s="2" t="s">
        <v>53</v>
      </c>
      <c r="L592" s="2" t="s">
        <v>53</v>
      </c>
      <c r="M592" s="2" t="s">
        <v>61</v>
      </c>
      <c r="N592" s="2" t="s">
        <v>53</v>
      </c>
      <c r="O592" s="2"/>
    </row>
    <row r="593" spans="1:15" ht="25.5" x14ac:dyDescent="0.25">
      <c r="A593" s="2" t="s">
        <v>2101</v>
      </c>
      <c r="B593" s="2" t="s">
        <v>1647</v>
      </c>
      <c r="C593" s="2" t="s">
        <v>2086</v>
      </c>
      <c r="D593" s="2" t="s">
        <v>2102</v>
      </c>
      <c r="E593" s="2" t="s">
        <v>1312</v>
      </c>
      <c r="F593" s="2" t="s">
        <v>1908</v>
      </c>
      <c r="G593" s="3" t="s">
        <v>49</v>
      </c>
      <c r="H593" s="2" t="s">
        <v>1670</v>
      </c>
      <c r="I593" s="2" t="s">
        <v>51</v>
      </c>
      <c r="J593" s="2" t="s">
        <v>52</v>
      </c>
      <c r="K593" s="2" t="s">
        <v>53</v>
      </c>
      <c r="L593" s="2" t="s">
        <v>53</v>
      </c>
      <c r="M593" s="2" t="s">
        <v>61</v>
      </c>
      <c r="N593" s="2" t="s">
        <v>53</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2103</v>
      </c>
      <c r="X1" t="s">
        <v>2104</v>
      </c>
      <c r="Y1" t="s">
        <v>2105</v>
      </c>
      <c r="Z1" t="s">
        <v>2106</v>
      </c>
    </row>
    <row r="2" spans="1:26" x14ac:dyDescent="0.25">
      <c r="A2" s="5" t="s">
        <v>2107</v>
      </c>
      <c r="Y2" t="str">
        <f>IF(Assessment!$G2="Critical",ROW(Assessment!$G2),"")</f>
        <v/>
      </c>
      <c r="Z2" t="str">
        <f>IF(Assessment!$G2="High",ROW(Assessment!$G2),"")</f>
        <v/>
      </c>
    </row>
    <row r="3" spans="1:26" x14ac:dyDescent="0.25">
      <c r="A3" s="5" t="s">
        <v>2108</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2109</v>
      </c>
      <c r="C5" s="1" t="s">
        <v>16</v>
      </c>
      <c r="D5" s="1" t="s">
        <v>1226</v>
      </c>
      <c r="E5" s="1" t="s">
        <v>1647</v>
      </c>
      <c r="F5" s="1" t="s">
        <v>2110</v>
      </c>
      <c r="Y5" t="str">
        <f>IF(Assessment!$G5="Critical",ROW(Assessment!$G5),"")</f>
        <v/>
      </c>
      <c r="Z5" t="str">
        <f>IF(Assessment!$G5="High",ROW(Assessment!$G5),"")</f>
        <v/>
      </c>
    </row>
    <row r="6" spans="1:26" x14ac:dyDescent="0.25">
      <c r="A6" s="6" t="s">
        <v>158</v>
      </c>
      <c r="B6" s="7">
        <f>COUNTIF(Assessment!$G:$G,$A6)</f>
        <v>14</v>
      </c>
      <c r="C6" s="7">
        <f>COUNTIFS(Assessment!$B:$B,C$5,Assessment!$G:$G,$A6)</f>
        <v>14</v>
      </c>
      <c r="D6" s="7">
        <f>COUNTIFS(Assessment!$B:$B,D$5,Assessment!$G:$G,$A6)</f>
        <v>0</v>
      </c>
      <c r="E6" s="7">
        <f>COUNTIFS(Assessment!$B:$B,E$5,Assessment!$G:$G,$A6)</f>
        <v>0</v>
      </c>
      <c r="F6" s="8">
        <f>IF($B$11=0,0,B6/$B$11)</f>
        <v>2.364864864864865E-2</v>
      </c>
      <c r="Y6" t="str">
        <f>IF(Assessment!$G6="Critical",ROW(Assessment!$G6),"")</f>
        <v/>
      </c>
      <c r="Z6" t="str">
        <f>IF(Assessment!$G6="High",ROW(Assessment!$G6),"")</f>
        <v/>
      </c>
    </row>
    <row r="7" spans="1:26" x14ac:dyDescent="0.25">
      <c r="A7" s="6" t="s">
        <v>70</v>
      </c>
      <c r="B7" s="7">
        <f>COUNTIF(Assessment!$G:$G,$A7)</f>
        <v>58</v>
      </c>
      <c r="C7" s="7">
        <f>COUNTIFS(Assessment!$B:$B,C$5,Assessment!$G:$G,$A7)</f>
        <v>54</v>
      </c>
      <c r="D7" s="7">
        <f>COUNTIFS(Assessment!$B:$B,D$5,Assessment!$G:$G,$A7)</f>
        <v>3</v>
      </c>
      <c r="E7" s="7">
        <f>COUNTIFS(Assessment!$B:$B,E$5,Assessment!$G:$G,$A7)</f>
        <v>1</v>
      </c>
      <c r="F7" s="8">
        <f>IF($B$11=0,0,B7/$B$11)</f>
        <v>9.7972972972972971E-2</v>
      </c>
      <c r="Y7" t="str">
        <f>IF(Assessment!$G7="Critical",ROW(Assessment!$G7),"")</f>
        <v/>
      </c>
      <c r="Z7" t="str">
        <f>IF(Assessment!$G7="High",ROW(Assessment!$G7),"")</f>
        <v/>
      </c>
    </row>
    <row r="8" spans="1:26" x14ac:dyDescent="0.25">
      <c r="A8" s="6" t="s">
        <v>85</v>
      </c>
      <c r="B8" s="7">
        <f>COUNTIF(Assessment!$G:$G,$A8)</f>
        <v>103</v>
      </c>
      <c r="C8" s="7">
        <f>COUNTIFS(Assessment!$B:$B,C$5,Assessment!$G:$G,$A8)</f>
        <v>81</v>
      </c>
      <c r="D8" s="7">
        <f>COUNTIFS(Assessment!$B:$B,D$5,Assessment!$G:$G,$A8)</f>
        <v>20</v>
      </c>
      <c r="E8" s="7">
        <f>COUNTIFS(Assessment!$B:$B,E$5,Assessment!$G:$G,$A8)</f>
        <v>2</v>
      </c>
      <c r="F8" s="8">
        <f>IF($B$11=0,0,B8/$B$11)</f>
        <v>0.17398648648648649</v>
      </c>
      <c r="Y8" t="str">
        <f>IF(Assessment!$G8="Critical",ROW(Assessment!$G8),"")</f>
        <v/>
      </c>
      <c r="Z8">
        <f>IF(Assessment!$G8="High",ROW(Assessment!$G8),"")</f>
        <v>8</v>
      </c>
    </row>
    <row r="9" spans="1:26" x14ac:dyDescent="0.25">
      <c r="A9" s="6" t="s">
        <v>21</v>
      </c>
      <c r="B9" s="7">
        <f>COUNTIF(Assessment!$G:$G,$A9)</f>
        <v>114</v>
      </c>
      <c r="C9" s="7">
        <f>COUNTIFS(Assessment!$B:$B,C$5,Assessment!$G:$G,$A9)</f>
        <v>79</v>
      </c>
      <c r="D9" s="7">
        <f>COUNTIFS(Assessment!$B:$B,D$5,Assessment!$G:$G,$A9)</f>
        <v>31</v>
      </c>
      <c r="E9" s="7">
        <f>COUNTIFS(Assessment!$B:$B,E$5,Assessment!$G:$G,$A9)</f>
        <v>4</v>
      </c>
      <c r="F9" s="8">
        <f>IF($B$11=0,0,B9/$B$11)</f>
        <v>0.19256756756756757</v>
      </c>
      <c r="Y9" t="str">
        <f>IF(Assessment!$G9="Critical",ROW(Assessment!$G9),"")</f>
        <v/>
      </c>
      <c r="Z9" t="str">
        <f>IF(Assessment!$G9="High",ROW(Assessment!$G9),"")</f>
        <v/>
      </c>
    </row>
    <row r="10" spans="1:26" x14ac:dyDescent="0.25">
      <c r="A10" s="6" t="s">
        <v>49</v>
      </c>
      <c r="B10" s="7">
        <f>COUNTIF(Assessment!$G:$G,$A10)</f>
        <v>303</v>
      </c>
      <c r="C10" s="7">
        <f>COUNTIFS(Assessment!$B:$B,C$5,Assessment!$G:$G,$A10)</f>
        <v>54</v>
      </c>
      <c r="D10" s="7">
        <f>COUNTIFS(Assessment!$B:$B,D$5,Assessment!$G:$G,$A10)</f>
        <v>74</v>
      </c>
      <c r="E10" s="7">
        <f>COUNTIFS(Assessment!$B:$B,E$5,Assessment!$G:$G,$A10)</f>
        <v>175</v>
      </c>
      <c r="F10" s="8">
        <f>IF($B$11=0,0,B10/$B$11)</f>
        <v>0.51182432432432434</v>
      </c>
      <c r="Y10" t="str">
        <f>IF(Assessment!$G10="Critical",ROW(Assessment!$G10),"")</f>
        <v/>
      </c>
      <c r="Z10" t="str">
        <f>IF(Assessment!$G10="High",ROW(Assessment!$G10),"")</f>
        <v/>
      </c>
    </row>
    <row r="11" spans="1:26" x14ac:dyDescent="0.25">
      <c r="A11" s="6" t="s">
        <v>2111</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2112</v>
      </c>
      <c r="B12" s="6">
        <f>COUNTA(Assessment!$A:$A)-1</f>
        <v>592</v>
      </c>
      <c r="C12" s="6">
        <f>COUNTIF(Assessment!$B:$B,C$5)</f>
        <v>282</v>
      </c>
      <c r="D12" s="6">
        <f>COUNTIF(Assessment!$B:$B,D$5)</f>
        <v>128</v>
      </c>
      <c r="E12" s="6">
        <f>COUNTIF(Assessment!$B:$B,E$5)</f>
        <v>182</v>
      </c>
      <c r="F12" s="6"/>
      <c r="Y12" t="str">
        <f>IF(Assessment!$G12="Critical",ROW(Assessment!$G12),"")</f>
        <v/>
      </c>
      <c r="Z12" t="str">
        <f>IF(Assessment!$G12="High",ROW(Assessment!$G12),"")</f>
        <v/>
      </c>
    </row>
    <row r="13" spans="1:26" x14ac:dyDescent="0.25">
      <c r="A13" s="6" t="s">
        <v>2113</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f>IF(Assessment!$G14="High",ROW(Assessment!$G14),"")</f>
        <v>14</v>
      </c>
    </row>
    <row r="15" spans="1:26" ht="15.75" x14ac:dyDescent="0.25">
      <c r="A15" s="9" t="s">
        <v>2114</v>
      </c>
      <c r="Y15" t="str">
        <f>IF(Assessment!$G15="Critical",ROW(Assessment!$G15),"")</f>
        <v/>
      </c>
      <c r="Z15" t="str">
        <f>IF(Assessment!$G15="High",ROW(Assessment!$G15),"")</f>
        <v/>
      </c>
    </row>
    <row r="16" spans="1:26" ht="25.5" x14ac:dyDescent="0.25">
      <c r="A16" s="1" t="s">
        <v>2115</v>
      </c>
      <c r="B16" s="1" t="s">
        <v>0</v>
      </c>
      <c r="C16" s="1" t="s">
        <v>1</v>
      </c>
      <c r="D16" s="1" t="s">
        <v>2</v>
      </c>
      <c r="E16" s="1" t="s">
        <v>5</v>
      </c>
      <c r="F16" s="1" t="s">
        <v>6</v>
      </c>
      <c r="G16" s="1" t="s">
        <v>9</v>
      </c>
      <c r="H16" s="1" t="s">
        <v>11</v>
      </c>
      <c r="I16" s="1" t="s">
        <v>13</v>
      </c>
      <c r="Y16" t="str">
        <f>IF(Assessment!$G16="Critical",ROW(Assessment!$G16),"")</f>
        <v/>
      </c>
      <c r="Z16">
        <f>IF(Assessment!$G16="High",ROW(Assessment!$G16),"")</f>
        <v>16</v>
      </c>
    </row>
    <row r="17" spans="1:26" x14ac:dyDescent="0.25">
      <c r="A17" s="10">
        <f>IF($X17="","",1)</f>
        <v>1</v>
      </c>
      <c r="B17" s="10" t="str">
        <f>IF($X17="","",INDEX(Assessment!$A:$A,$X17))</f>
        <v>TR1-021</v>
      </c>
      <c r="C17" s="10" t="str">
        <f>IF($X17="","",INDEX(Assessment!$B:$B,$X17))</f>
        <v>BSI TR-03183-1 v1.0.0</v>
      </c>
      <c r="D17" s="10" t="str">
        <f>IF($X17="","",INDEX(Assessment!$C:$C,$X17))</f>
        <v>3.6 Obligations of the manufacturer - Pre-Market Obligations</v>
      </c>
      <c r="E17" s="10" t="str">
        <f>IF($X17="","",INDEX(Assessment!$F:$F,$X17))</f>
        <v>Third-party component due diligence</v>
      </c>
      <c r="F17" s="10" t="str">
        <f>IF($X17="","",INDEX(Assessment!$G:$G,$X17))</f>
        <v>Critical</v>
      </c>
      <c r="G17" s="10" t="str">
        <f>IF($X17="","",INDEX(Assessment!$J:$J,$X17))</f>
        <v>Introduce a component approval process with due-diligence criteria and a register of approved components and suppliers.</v>
      </c>
      <c r="H17" s="10" t="str">
        <f>IF($X17="","",INDEX(Assessment!$L:$L,$X17))</f>
        <v>Software Architect / Open Source Program Office</v>
      </c>
      <c r="I17" s="10" t="str">
        <f>IF($X17="","",INDEX(Assessment!$N:$N,$X17))</f>
        <v>L</v>
      </c>
      <c r="X17">
        <f>IF(1&lt;=$B$6,SMALL($Y$2:$Y$593,1),IF(1&lt;=$B$6+$B$7,SMALL($Z$2:$Z$593,1-$B$6),""))</f>
        <v>22</v>
      </c>
      <c r="Y17" t="str">
        <f>IF(Assessment!$G17="Critical",ROW(Assessment!$G17),"")</f>
        <v/>
      </c>
      <c r="Z17" t="str">
        <f>IF(Assessment!$G17="High",ROW(Assessment!$G17),"")</f>
        <v/>
      </c>
    </row>
    <row r="18" spans="1:26" x14ac:dyDescent="0.25">
      <c r="A18" s="10">
        <f>IF($X18="","",2)</f>
        <v>2</v>
      </c>
      <c r="B18" s="10" t="str">
        <f>IF($X18="","",INDEX(Assessment!$A:$A,$X18))</f>
        <v>TR1-108-a</v>
      </c>
      <c r="C18" s="10" t="str">
        <f>IF($X18="","",INDEX(Assessment!$B:$B,$X18))</f>
        <v>BSI TR-03183-1 v1.0.0</v>
      </c>
      <c r="D18" s="10" t="str">
        <f>IF($X18="","",INDEX(Assessment!$C:$C,$X18))</f>
        <v>5.1 Relevance of (Cybersecurity) Risks</v>
      </c>
      <c r="E18" s="10" t="str">
        <f>IF($X18="","",INDEX(Assessment!$F:$F,$X18))</f>
        <v>Risk assessment - general</v>
      </c>
      <c r="F18" s="10" t="str">
        <f>IF($X18="","",INDEX(Assessment!$G:$G,$X18))</f>
        <v>Critical</v>
      </c>
      <c r="G18" s="10" t="str">
        <f>IF($X18="","",INDEX(Assessment!$J:$J,$X18))</f>
        <v>Embed this step in a documented risk-assessment method and template (e.g. TR-1 chapter 5, ISO/IEC 27005, IEC 62443-3-2) used for every solution and reusable component.</v>
      </c>
      <c r="H18" s="10" t="str">
        <f>IF($X18="","",INDEX(Assessment!$L:$L,$X18))</f>
        <v>Security Architect</v>
      </c>
      <c r="I18" s="10" t="str">
        <f>IF($X18="","",INDEX(Assessment!$N:$N,$X18))</f>
        <v>L</v>
      </c>
      <c r="X18">
        <f>IF(2&lt;=$B$6,SMALL($Y$2:$Y$593,2),IF(2&lt;=$B$6+$B$7,SMALL($Z$2:$Z$593,2-$B$6),""))</f>
        <v>122</v>
      </c>
      <c r="Y18" t="str">
        <f>IF(Assessment!$G18="Critical",ROW(Assessment!$G18),"")</f>
        <v/>
      </c>
      <c r="Z18" t="str">
        <f>IF(Assessment!$G18="High",ROW(Assessment!$G18),"")</f>
        <v/>
      </c>
    </row>
    <row r="19" spans="1:26" x14ac:dyDescent="0.25">
      <c r="A19" s="10">
        <f>IF($X19="","",3)</f>
        <v>3</v>
      </c>
      <c r="B19" s="10" t="str">
        <f>IF($X19="","",INDEX(Assessment!$A:$A,$X19))</f>
        <v>RH_RA.1.1.1</v>
      </c>
      <c r="C19" s="10" t="str">
        <f>IF($X19="","",INDEX(Assessment!$B:$B,$X19))</f>
        <v>BSI TR-03183-1 v1.0.0</v>
      </c>
      <c r="D19" s="10" t="str">
        <f>IF($X19="","",INDEX(Assessment!$C:$C,$X19))</f>
        <v>5.8.1.1.3 Control - RH_RA.1.1.1 Asset Identification (Activity)</v>
      </c>
      <c r="E19" s="10" t="str">
        <f>IF($X19="","",INDEX(Assessment!$F:$F,$X19))</f>
        <v>Risk assessment - assets</v>
      </c>
      <c r="F19" s="10" t="str">
        <f>IF($X19="","",INDEX(Assessment!$G:$G,$X19))</f>
        <v>Critical</v>
      </c>
      <c r="G19" s="10" t="str">
        <f>IF($X19="","",INDEX(Assessment!$J:$J,$X19))</f>
        <v>Embed this step in a documented risk-assessment method and template (e.g. TR-1 chapter 5, ISO/IEC 27005, IEC 62443-3-2) used for every solution and reusable component.</v>
      </c>
      <c r="H19" s="10" t="str">
        <f>IF($X19="","",INDEX(Assessment!$L:$L,$X19))</f>
        <v>Security Architect</v>
      </c>
      <c r="I19" s="10" t="str">
        <f>IF($X19="","",INDEX(Assessment!$N:$N,$X19))</f>
        <v>L</v>
      </c>
      <c r="X19">
        <f>IF(3&lt;=$B$6,SMALL($Y$2:$Y$593,3),IF(3&lt;=$B$6+$B$7,SMALL($Z$2:$Z$593,3-$B$6),""))</f>
        <v>150</v>
      </c>
      <c r="Y19" t="str">
        <f>IF(Assessment!$G19="Critical",ROW(Assessment!$G19),"")</f>
        <v/>
      </c>
      <c r="Z19" t="str">
        <f>IF(Assessment!$G19="High",ROW(Assessment!$G19),"")</f>
        <v/>
      </c>
    </row>
    <row r="20" spans="1:26" x14ac:dyDescent="0.25">
      <c r="A20" s="10">
        <f>IF($X20="","",4)</f>
        <v>4</v>
      </c>
      <c r="B20" s="10" t="str">
        <f>IF($X20="","",INDEX(Assessment!$A:$A,$X20))</f>
        <v>RH_RA.1.1.2</v>
      </c>
      <c r="C20" s="10" t="str">
        <f>IF($X20="","",INDEX(Assessment!$B:$B,$X20))</f>
        <v>BSI TR-03183-1 v1.0.0</v>
      </c>
      <c r="D20" s="10" t="str">
        <f>IF($X20="","",INDEX(Assessment!$C:$C,$X20))</f>
        <v>5.8.1.2.3 Control - RH_RA.1.1.2 Threat Modelling (Activity)</v>
      </c>
      <c r="E20" s="10" t="str">
        <f>IF($X20="","",INDEX(Assessment!$F:$F,$X20))</f>
        <v>Risk assessment - threats</v>
      </c>
      <c r="F20" s="10" t="str">
        <f>IF($X20="","",INDEX(Assessment!$G:$G,$X20))</f>
        <v>Critical</v>
      </c>
      <c r="G20" s="10" t="str">
        <f>IF($X20="","",INDEX(Assessment!$J:$J,$X20))</f>
        <v>Embed this step in a documented risk-assessment method and template (e.g. TR-1 chapter 5, ISO/IEC 27005, IEC 62443-3-2) used for every solution and reusable component.</v>
      </c>
      <c r="H20" s="10" t="str">
        <f>IF($X20="","",INDEX(Assessment!$L:$L,$X20))</f>
        <v>Security Architect</v>
      </c>
      <c r="I20" s="10" t="str">
        <f>IF($X20="","",INDEX(Assessment!$N:$N,$X20))</f>
        <v>L</v>
      </c>
      <c r="X20">
        <f>IF(4&lt;=$B$6,SMALL($Y$2:$Y$593,4),IF(4&lt;=$B$6+$B$7,SMALL($Z$2:$Z$593,4-$B$6),""))</f>
        <v>153</v>
      </c>
      <c r="Y20" t="str">
        <f>IF(Assessment!$G20="Critical",ROW(Assessment!$G20),"")</f>
        <v/>
      </c>
      <c r="Z20" t="str">
        <f>IF(Assessment!$G20="High",ROW(Assessment!$G20),"")</f>
        <v/>
      </c>
    </row>
    <row r="21" spans="1:26" x14ac:dyDescent="0.25">
      <c r="A21" s="10">
        <f>IF($X21="","",5)</f>
        <v>5</v>
      </c>
      <c r="B21" s="10" t="str">
        <f>IF($X21="","",INDEX(Assessment!$A:$A,$X21))</f>
        <v>RH_RT.1.1.1-a</v>
      </c>
      <c r="C21" s="10" t="str">
        <f>IF($X21="","",INDEX(Assessment!$B:$B,$X21))</f>
        <v>BSI TR-03183-1 v1.0.0</v>
      </c>
      <c r="D21" s="10" t="str">
        <f>IF($X21="","",INDEX(Assessment!$C:$C,$X21))</f>
        <v>5.11.1.3 Control - RH_RT.1.1.1 Select appropriate controls (Activity)</v>
      </c>
      <c r="E21" s="10" t="str">
        <f>IF($X21="","",INDEX(Assessment!$F:$F,$X21))</f>
        <v>Risk treatment</v>
      </c>
      <c r="F21" s="10" t="str">
        <f>IF($X21="","",INDEX(Assessment!$G:$G,$X21))</f>
        <v>Critical</v>
      </c>
      <c r="G21" s="10" t="str">
        <f>IF($X21="","",INDEX(Assessment!$J:$J,$X21))</f>
        <v>Record the treatment decision per risk (control, sharing, acceptance) and verify the implemented controls.</v>
      </c>
      <c r="H21" s="10" t="str">
        <f>IF($X21="","",INDEX(Assessment!$L:$L,$X21))</f>
        <v>Security Architect</v>
      </c>
      <c r="I21" s="10" t="str">
        <f>IF($X21="","",INDEX(Assessment!$N:$N,$X21))</f>
        <v>L</v>
      </c>
      <c r="X21">
        <f>IF(5&lt;=$B$6,SMALL($Y$2:$Y$593,5),IF(5&lt;=$B$6+$B$7,SMALL($Z$2:$Z$593,5-$B$6),""))</f>
        <v>166</v>
      </c>
      <c r="Y21" t="str">
        <f>IF(Assessment!$G21="Critical",ROW(Assessment!$G21),"")</f>
        <v/>
      </c>
      <c r="Z21">
        <f>IF(Assessment!$G21="High",ROW(Assessment!$G21),"")</f>
        <v>21</v>
      </c>
    </row>
    <row r="22" spans="1:26" x14ac:dyDescent="0.25">
      <c r="A22" s="10">
        <f>IF($X22="","",6)</f>
        <v>6</v>
      </c>
      <c r="B22" s="10" t="str">
        <f>IF($X22="","",INDEX(Assessment!$A:$A,$X22))</f>
        <v>RH_RT.1.1.2-a</v>
      </c>
      <c r="C22" s="10" t="str">
        <f>IF($X22="","",INDEX(Assessment!$B:$B,$X22))</f>
        <v>BSI TR-03183-1 v1.0.0</v>
      </c>
      <c r="D22" s="10" t="str">
        <f>IF($X22="","",INDEX(Assessment!$C:$C,$X22))</f>
        <v>5.11.2.3 Control - RH_RT.1.1.2 Select Applicable Essential Cybersecurity Requirements (Activity)</v>
      </c>
      <c r="E22" s="10" t="str">
        <f>IF($X22="","",INDEX(Assessment!$F:$F,$X22))</f>
        <v>Essential requirements - applicability</v>
      </c>
      <c r="F22" s="10" t="str">
        <f>IF($X22="","",INDEX(Assessment!$G:$G,$X22))</f>
        <v>Critical</v>
      </c>
      <c r="G22" s="10" t="str">
        <f>IF($X22="","",INDEX(Assessment!$J:$J,$X22))</f>
        <v>Record the treatment decision per risk (control, sharing, acceptance) and verify the implemented controls.</v>
      </c>
      <c r="H22" s="10" t="str">
        <f>IF($X22="","",INDEX(Assessment!$L:$L,$X22))</f>
        <v>Security Architect</v>
      </c>
      <c r="I22" s="10" t="str">
        <f>IF($X22="","",INDEX(Assessment!$N:$N,$X22))</f>
        <v>L</v>
      </c>
      <c r="X22">
        <f>IF(6&lt;=$B$6,SMALL($Y$2:$Y$593,6),IF(6&lt;=$B$6+$B$7,SMALL($Z$2:$Z$593,6-$B$6),""))</f>
        <v>171</v>
      </c>
      <c r="Y22">
        <f>IF(Assessment!$G22="Critical",ROW(Assessment!$G22),"")</f>
        <v>22</v>
      </c>
      <c r="Z22" t="str">
        <f>IF(Assessment!$G22="High",ROW(Assessment!$G22),"")</f>
        <v/>
      </c>
    </row>
    <row r="23" spans="1:26" x14ac:dyDescent="0.25">
      <c r="A23" s="10">
        <f>IF($X23="","",7)</f>
        <v>7</v>
      </c>
      <c r="B23" s="10" t="str">
        <f>IF($X23="","",INDEX(Assessment!$A:$A,$X23))</f>
        <v>RH_RT.1.1.2-b</v>
      </c>
      <c r="C23" s="10" t="str">
        <f>IF($X23="","",INDEX(Assessment!$B:$B,$X23))</f>
        <v>BSI TR-03183-1 v1.0.0</v>
      </c>
      <c r="D23" s="10" t="str">
        <f>IF($X23="","",INDEX(Assessment!$C:$C,$X23))</f>
        <v>5.11.2.3 Control - RH_RT.1.1.2 Select Applicable Essential Cybersecurity Requirements (Activity)</v>
      </c>
      <c r="E23" s="10" t="str">
        <f>IF($X23="","",INDEX(Assessment!$F:$F,$X23))</f>
        <v>Essential requirements - applicability</v>
      </c>
      <c r="F23" s="10" t="str">
        <f>IF($X23="","",INDEX(Assessment!$G:$G,$X23))</f>
        <v>Critical</v>
      </c>
      <c r="G23" s="10" t="str">
        <f>IF($X23="","",INDEX(Assessment!$J:$J,$X23))</f>
        <v>Record the treatment decision per risk (control, sharing, acceptance) and verify the implemented controls.</v>
      </c>
      <c r="H23" s="10" t="str">
        <f>IF($X23="","",INDEX(Assessment!$L:$L,$X23))</f>
        <v>Security Architect</v>
      </c>
      <c r="I23" s="10" t="str">
        <f>IF($X23="","",INDEX(Assessment!$N:$N,$X23))</f>
        <v>L</v>
      </c>
      <c r="X23">
        <f>IF(7&lt;=$B$6,SMALL($Y$2:$Y$593,7),IF(7&lt;=$B$6+$B$7,SMALL($Z$2:$Z$593,7-$B$6),""))</f>
        <v>172</v>
      </c>
      <c r="Y23" t="str">
        <f>IF(Assessment!$G23="Critical",ROW(Assessment!$G23),"")</f>
        <v/>
      </c>
      <c r="Z23" t="str">
        <f>IF(Assessment!$G23="High",ROW(Assessment!$G23),"")</f>
        <v/>
      </c>
    </row>
    <row r="24" spans="1:26" x14ac:dyDescent="0.25">
      <c r="A24" s="10">
        <f>IF($X24="","",8)</f>
        <v>8</v>
      </c>
      <c r="B24" s="10" t="str">
        <f>IF($X24="","",INDEX(Assessment!$A:$A,$X24))</f>
        <v>RH_RT.1.3-a</v>
      </c>
      <c r="C24" s="10" t="str">
        <f>IF($X24="","",INDEX(Assessment!$B:$B,$X24))</f>
        <v>BSI TR-03183-1 v1.0.0</v>
      </c>
      <c r="D24" s="10" t="str">
        <f>IF($X24="","",INDEX(Assessment!$C:$C,$X24))</f>
        <v>5.11.4.3 Control - RH_RT.1.3 Implementation and Verification (Activity)</v>
      </c>
      <c r="E24" s="10" t="str">
        <f>IF($X24="","",INDEX(Assessment!$F:$F,$X24))</f>
        <v>Risk treatment</v>
      </c>
      <c r="F24" s="10" t="str">
        <f>IF($X24="","",INDEX(Assessment!$G:$G,$X24))</f>
        <v>Critical</v>
      </c>
      <c r="G24" s="10" t="str">
        <f>IF($X24="","",INDEX(Assessment!$J:$J,$X24))</f>
        <v>Record the treatment decision per risk (control, sharing, acceptance) and verify the implemented controls.</v>
      </c>
      <c r="H24" s="10" t="str">
        <f>IF($X24="","",INDEX(Assessment!$L:$L,$X24))</f>
        <v>Security Architect</v>
      </c>
      <c r="I24" s="10" t="str">
        <f>IF($X24="","",INDEX(Assessment!$N:$N,$X24))</f>
        <v>L</v>
      </c>
      <c r="X24">
        <f>IF(8&lt;=$B$6,SMALL($Y$2:$Y$593,8),IF(8&lt;=$B$6+$B$7,SMALL($Z$2:$Z$593,8-$B$6),""))</f>
        <v>184</v>
      </c>
      <c r="Y24" t="str">
        <f>IF(Assessment!$G24="Critical",ROW(Assessment!$G24),"")</f>
        <v/>
      </c>
      <c r="Z24">
        <f>IF(Assessment!$G24="High",ROW(Assessment!$G24),"")</f>
        <v>24</v>
      </c>
    </row>
    <row r="25" spans="1:26" x14ac:dyDescent="0.25">
      <c r="A25" s="10">
        <f>IF($X25="","",9)</f>
        <v>9</v>
      </c>
      <c r="B25" s="10" t="str">
        <f>IF($X25="","",INDEX(Assessment!$A:$A,$X25))</f>
        <v>RH_DOC.1-a</v>
      </c>
      <c r="C25" s="10" t="str">
        <f>IF($X25="","",INDEX(Assessment!$B:$B,$X25))</f>
        <v>BSI TR-03183-1 v1.0.0</v>
      </c>
      <c r="D25" s="10" t="str">
        <f>IF($X25="","",INDEX(Assessment!$C:$C,$X25))</f>
        <v>5.12.3 Control - RH_DOC.1 Documentation of the risk assessment (Activity)</v>
      </c>
      <c r="E25" s="10" t="str">
        <f>IF($X25="","",INDEX(Assessment!$F:$F,$X25))</f>
        <v>Risk assessment - documentation</v>
      </c>
      <c r="F25" s="10" t="str">
        <f>IF($X25="","",INDEX(Assessment!$G:$G,$X25))</f>
        <v>Critical</v>
      </c>
      <c r="G25" s="10" t="str">
        <f>IF($X25="","",INDEX(Assessment!$J:$J,$X25))</f>
        <v>Embed this step in a documented risk-assessment method and template (e.g. TR-1 chapter 5, ISO/IEC 27005, IEC 62443-3-2) used for every solution and reusable component.</v>
      </c>
      <c r="H25" s="10" t="str">
        <f>IF($X25="","",INDEX(Assessment!$L:$L,$X25))</f>
        <v>Security Architect</v>
      </c>
      <c r="I25" s="10" t="str">
        <f>IF($X25="","",INDEX(Assessment!$N:$N,$X25))</f>
        <v>L</v>
      </c>
      <c r="X25">
        <f>IF(9&lt;=$B$6,SMALL($Y$2:$Y$593,9),IF(9&lt;=$B$6+$B$7,SMALL($Z$2:$Z$593,9-$B$6),""))</f>
        <v>189</v>
      </c>
      <c r="Y25" t="str">
        <f>IF(Assessment!$G25="Critical",ROW(Assessment!$G25),"")</f>
        <v/>
      </c>
      <c r="Z25" t="str">
        <f>IF(Assessment!$G25="High",ROW(Assessment!$G25),"")</f>
        <v/>
      </c>
    </row>
    <row r="26" spans="1:26" x14ac:dyDescent="0.25">
      <c r="A26" s="10">
        <f>IF($X26="","",10)</f>
        <v>10</v>
      </c>
      <c r="B26" s="10" t="str">
        <f>IF($X26="","",INDEX(Assessment!$A:$A,$X26))</f>
        <v>ER.0</v>
      </c>
      <c r="C26" s="10" t="str">
        <f>IF($X26="","",INDEX(Assessment!$B:$B,$X26))</f>
        <v>BSI TR-03183-1 v1.0.0</v>
      </c>
      <c r="D26" s="10" t="str">
        <f>IF($X26="","",INDEX(Assessment!$C:$C,$X26))</f>
        <v>Annex B Table 8 (CRA Annex I Part I (1)); text also in 3.9</v>
      </c>
      <c r="E26" s="10" t="str">
        <f>IF($X26="","",INDEX(Assessment!$F:$F,$X26))</f>
        <v>Essential requirements - risk-based security</v>
      </c>
      <c r="F26" s="10" t="str">
        <f>IF($X26="","",INDEX(Assessment!$G:$G,$X26))</f>
        <v>Critical</v>
      </c>
      <c r="G26" s="10" t="str">
        <f>IF($X26="","",INDEX(Assessment!$J:$J,$X26))</f>
        <v>Implement the requirement where applicable, record the design decision and test evidence, otherwise justify non-applicability in the applicability statement.</v>
      </c>
      <c r="H26" s="10" t="str">
        <f>IF($X26="","",INDEX(Assessment!$L:$L,$X26))</f>
        <v>Security Architect / Development Lead</v>
      </c>
      <c r="I26" s="10" t="str">
        <f>IF($X26="","",INDEX(Assessment!$N:$N,$X26))</f>
        <v>L</v>
      </c>
      <c r="X26">
        <f>IF(10&lt;=$B$6,SMALL($Y$2:$Y$593,10),IF(10&lt;=$B$6+$B$7,SMALL($Z$2:$Z$593,10-$B$6),""))</f>
        <v>230</v>
      </c>
      <c r="Y26" t="str">
        <f>IF(Assessment!$G26="Critical",ROW(Assessment!$G26),"")</f>
        <v/>
      </c>
      <c r="Z26" t="str">
        <f>IF(Assessment!$G26="High",ROW(Assessment!$G26),"")</f>
        <v/>
      </c>
    </row>
    <row r="27" spans="1:26" x14ac:dyDescent="0.25">
      <c r="A27" s="10">
        <f>IF($X27="","",11)</f>
        <v>11</v>
      </c>
      <c r="B27" s="10" t="str">
        <f>IF($X27="","",INDEX(Assessment!$A:$A,$X27))</f>
        <v>ER.1</v>
      </c>
      <c r="C27" s="10" t="str">
        <f>IF($X27="","",INDEX(Assessment!$B:$B,$X27))</f>
        <v>BSI TR-03183-1 v1.0.0</v>
      </c>
      <c r="D27" s="10" t="str">
        <f>IF($X27="","",INDEX(Assessment!$C:$C,$X27))</f>
        <v>Annex B Table 9 (CRA Annex I Part I (2)(a)); text also in 3.9</v>
      </c>
      <c r="E27" s="10" t="str">
        <f>IF($X27="","",INDEX(Assessment!$F:$F,$X27))</f>
        <v>Essential requirements - no known exploitable vulnerabilities</v>
      </c>
      <c r="F27" s="10" t="str">
        <f>IF($X27="","",INDEX(Assessment!$G:$G,$X27))</f>
        <v>Critical</v>
      </c>
      <c r="G27" s="10" t="str">
        <f>IF($X27="","",INDEX(Assessment!$J:$J,$X27))</f>
        <v>Implement the requirement where applicable, record the design decision and test evidence, otherwise justify non-applicability in the applicability statement.</v>
      </c>
      <c r="H27" s="10" t="str">
        <f>IF($X27="","",INDEX(Assessment!$L:$L,$X27))</f>
        <v>Security Architect / Development Lead</v>
      </c>
      <c r="I27" s="10" t="str">
        <f>IF($X27="","",INDEX(Assessment!$N:$N,$X27))</f>
        <v>L</v>
      </c>
      <c r="X27">
        <f>IF(11&lt;=$B$6,SMALL($Y$2:$Y$593,11),IF(11&lt;=$B$6+$B$7,SMALL($Z$2:$Z$593,11-$B$6),""))</f>
        <v>231</v>
      </c>
      <c r="Y27" t="str">
        <f>IF(Assessment!$G27="Critical",ROW(Assessment!$G27),"")</f>
        <v/>
      </c>
      <c r="Z27" t="str">
        <f>IF(Assessment!$G27="High",ROW(Assessment!$G27),"")</f>
        <v/>
      </c>
    </row>
    <row r="28" spans="1:26" x14ac:dyDescent="0.25">
      <c r="A28" s="10">
        <f>IF($X28="","",12)</f>
        <v>12</v>
      </c>
      <c r="B28" s="10" t="str">
        <f>IF($X28="","",INDEX(Assessment!$A:$A,$X28))</f>
        <v>ER.2</v>
      </c>
      <c r="C28" s="10" t="str">
        <f>IF($X28="","",INDEX(Assessment!$B:$B,$X28))</f>
        <v>BSI TR-03183-1 v1.0.0</v>
      </c>
      <c r="D28" s="10" t="str">
        <f>IF($X28="","",INDEX(Assessment!$C:$C,$X28))</f>
        <v>Annex B Table 9 (CRA Annex I Part I (2)(b)); text also in 3.9</v>
      </c>
      <c r="E28" s="10" t="str">
        <f>IF($X28="","",INDEX(Assessment!$F:$F,$X28))</f>
        <v>Essential requirements - secure by default</v>
      </c>
      <c r="F28" s="10" t="str">
        <f>IF($X28="","",INDEX(Assessment!$G:$G,$X28))</f>
        <v>Critical</v>
      </c>
      <c r="G28" s="10" t="str">
        <f>IF($X28="","",INDEX(Assessment!$J:$J,$X28))</f>
        <v>Implement the requirement where applicable, record the design decision and test evidence, otherwise justify non-applicability in the applicability statement.</v>
      </c>
      <c r="H28" s="10" t="str">
        <f>IF($X28="","",INDEX(Assessment!$L:$L,$X28))</f>
        <v>Security Architect / Development Lead</v>
      </c>
      <c r="I28" s="10" t="str">
        <f>IF($X28="","",INDEX(Assessment!$N:$N,$X28))</f>
        <v>L</v>
      </c>
      <c r="X28">
        <f>IF(12&lt;=$B$6,SMALL($Y$2:$Y$593,12),IF(12&lt;=$B$6+$B$7,SMALL($Z$2:$Z$593,12-$B$6),""))</f>
        <v>232</v>
      </c>
      <c r="Y28" t="str">
        <f>IF(Assessment!$G28="Critical",ROW(Assessment!$G28),"")</f>
        <v/>
      </c>
      <c r="Z28" t="str">
        <f>IF(Assessment!$G28="High",ROW(Assessment!$G28),"")</f>
        <v/>
      </c>
    </row>
    <row r="29" spans="1:26" x14ac:dyDescent="0.25">
      <c r="A29" s="10">
        <f>IF($X29="","",13)</f>
        <v>13</v>
      </c>
      <c r="B29" s="10" t="str">
        <f>IF($X29="","",INDEX(Assessment!$A:$A,$X29))</f>
        <v>ER.4</v>
      </c>
      <c r="C29" s="10" t="str">
        <f>IF($X29="","",INDEX(Assessment!$B:$B,$X29))</f>
        <v>BSI TR-03183-1 v1.0.0</v>
      </c>
      <c r="D29" s="10" t="str">
        <f>IF($X29="","",INDEX(Assessment!$C:$C,$X29))</f>
        <v>Annex B Table 9 (CRA Annex I Part I (2)(c)); text also in 3.9</v>
      </c>
      <c r="E29" s="10" t="str">
        <f>IF($X29="","",INDEX(Assessment!$F:$F,$X29))</f>
        <v>Essential requirements - security updates</v>
      </c>
      <c r="F29" s="10" t="str">
        <f>IF($X29="","",INDEX(Assessment!$G:$G,$X29))</f>
        <v>Critical</v>
      </c>
      <c r="G29" s="10" t="str">
        <f>IF($X29="","",INDEX(Assessment!$J:$J,$X29))</f>
        <v>Design and implement the update mechanism with integrity protection, notification and deferral; justify non-applicable parts (e.g. automatic installation in change-controlled sites).</v>
      </c>
      <c r="H29" s="10" t="str">
        <f>IF($X29="","",INDEX(Assessment!$L:$L,$X29))</f>
        <v>Software Architect</v>
      </c>
      <c r="I29" s="10" t="str">
        <f>IF($X29="","",INDEX(Assessment!$N:$N,$X29))</f>
        <v>L</v>
      </c>
      <c r="X29">
        <f>IF(13&lt;=$B$6,SMALL($Y$2:$Y$593,13),IF(13&lt;=$B$6+$B$7,SMALL($Z$2:$Z$593,13-$B$6),""))</f>
        <v>234</v>
      </c>
      <c r="Y29" t="str">
        <f>IF(Assessment!$G29="Critical",ROW(Assessment!$G29),"")</f>
        <v/>
      </c>
      <c r="Z29" t="str">
        <f>IF(Assessment!$G29="High",ROW(Assessment!$G29),"")</f>
        <v/>
      </c>
    </row>
    <row r="30" spans="1:26" x14ac:dyDescent="0.25">
      <c r="A30" s="10">
        <f>IF($X30="","",14)</f>
        <v>14</v>
      </c>
      <c r="B30" s="10" t="str">
        <f>IF($X30="","",INDEX(Assessment!$A:$A,$X30))</f>
        <v>VH.3</v>
      </c>
      <c r="C30" s="10" t="str">
        <f>IF($X30="","",INDEX(Assessment!$B:$B,$X30))</f>
        <v>BSI TR-03183-1 v1.0.0</v>
      </c>
      <c r="D30" s="10" t="str">
        <f>IF($X30="","",INDEX(Assessment!$C:$C,$X30))</f>
        <v>Annex B Table 10 (CRA Annex I Part II (3)); text also in 3.9</v>
      </c>
      <c r="E30" s="10" t="str">
        <f>IF($X30="","",INDEX(Assessment!$F:$F,$X30))</f>
        <v>Security testing</v>
      </c>
      <c r="F30" s="10" t="str">
        <f>IF($X30="","",INDEX(Assessment!$G:$G,$X30))</f>
        <v>Critical</v>
      </c>
      <c r="G30" s="10" t="str">
        <f>IF($X30="","",INDEX(Assessment!$J:$J,$X30))</f>
        <v>Provide fixes, analysis and test capacity for the vulnerability-handling process.</v>
      </c>
      <c r="H30" s="10" t="str">
        <f>IF($X30="","",INDEX(Assessment!$L:$L,$X30))</f>
        <v>Development Lead</v>
      </c>
      <c r="I30" s="10" t="str">
        <f>IF($X30="","",INDEX(Assessment!$N:$N,$X30))</f>
        <v>L</v>
      </c>
      <c r="X30">
        <f>IF(14&lt;=$B$6,SMALL($Y$2:$Y$593,14),IF(14&lt;=$B$6+$B$7,SMALL($Z$2:$Z$593,14-$B$6),""))</f>
        <v>261</v>
      </c>
      <c r="Y30" t="str">
        <f>IF(Assessment!$G30="Critical",ROW(Assessment!$G30),"")</f>
        <v/>
      </c>
      <c r="Z30" t="str">
        <f>IF(Assessment!$G30="High",ROW(Assessment!$G30),"")</f>
        <v/>
      </c>
    </row>
    <row r="31" spans="1:26" x14ac:dyDescent="0.25">
      <c r="A31" s="10">
        <f>IF($X31="","",15)</f>
        <v>15</v>
      </c>
      <c r="B31" s="10" t="str">
        <f>IF($X31="","",INDEX(Assessment!$A:$A,$X31))</f>
        <v>TR1-007</v>
      </c>
      <c r="C31" s="10" t="str">
        <f>IF($X31="","",INDEX(Assessment!$B:$B,$X31))</f>
        <v>BSI TR-03183-1 v1.0.0</v>
      </c>
      <c r="D31" s="10" t="str">
        <f>IF($X31="","",INDEX(Assessment!$C:$C,$X31))</f>
        <v>3.4 Timeline</v>
      </c>
      <c r="E31" s="10" t="str">
        <f>IF($X31="","",INDEX(Assessment!$F:$F,$X31))</f>
        <v>CRA timeline</v>
      </c>
      <c r="F31" s="10" t="str">
        <f>IF($X31="","",INDEX(Assessment!$G:$G,$X31))</f>
        <v>High</v>
      </c>
      <c r="G31" s="10" t="str">
        <f>IF($X31="","",INDEX(Assessment!$J:$J,$X31))</f>
        <v>Add 'from 11 Dec 2027 all in-scope products made available must meet all CRA requirements' to the secure-design checklist and definition of done; implement and test it.</v>
      </c>
      <c r="H31" s="10" t="str">
        <f>IF($X31="","",INDEX(Assessment!$L:$L,$X31))</f>
        <v>Development Lead / Security Architect</v>
      </c>
      <c r="I31" s="10" t="str">
        <f>IF($X31="","",INDEX(Assessment!$N:$N,$X31))</f>
        <v>M</v>
      </c>
      <c r="X31">
        <f>IF(15&lt;=$B$6,SMALL($Y$2:$Y$593,15),IF(15&lt;=$B$6+$B$7,SMALL($Z$2:$Z$593,15-$B$6),""))</f>
        <v>8</v>
      </c>
      <c r="Y31" t="str">
        <f>IF(Assessment!$G31="Critical",ROW(Assessment!$G31),"")</f>
        <v/>
      </c>
      <c r="Z31" t="str">
        <f>IF(Assessment!$G31="High",ROW(Assessment!$G31),"")</f>
        <v/>
      </c>
    </row>
    <row r="32" spans="1:26" x14ac:dyDescent="0.25">
      <c r="A32" s="10">
        <f>IF($X32="","",16)</f>
        <v>16</v>
      </c>
      <c r="B32" s="10" t="str">
        <f>IF($X32="","",INDEX(Assessment!$A:$A,$X32))</f>
        <v>TR1-013</v>
      </c>
      <c r="C32" s="10" t="str">
        <f>IF($X32="","",INDEX(Assessment!$B:$B,$X32))</f>
        <v>BSI TR-03183-1 v1.0.0</v>
      </c>
      <c r="D32" s="10" t="str">
        <f>IF($X32="","",INDEX(Assessment!$C:$C,$X32))</f>
        <v>3.5 Concepts - Security by Design and by Default</v>
      </c>
      <c r="E32" s="10" t="str">
        <f>IF($X32="","",INDEX(Assessment!$F:$F,$X32))</f>
        <v>Secure development lifecycle</v>
      </c>
      <c r="F32" s="10" t="str">
        <f>IF($X32="","",INDEX(Assessment!$G:$G,$X32))</f>
        <v>High</v>
      </c>
      <c r="G32" s="10" t="str">
        <f>IF($X32="","",INDEX(Assessment!$J:$J,$X32))</f>
        <v>Anchor the obligation in the SDL policy: security requirements, threat modelling, secure coding, security testing gates.</v>
      </c>
      <c r="H32" s="10" t="str">
        <f>IF($X32="","",INDEX(Assessment!$L:$L,$X32))</f>
        <v>Head of Engineering / Security Architect</v>
      </c>
      <c r="I32" s="10" t="str">
        <f>IF($X32="","",INDEX(Assessment!$N:$N,$X32))</f>
        <v>M</v>
      </c>
      <c r="X32">
        <f>IF(16&lt;=$B$6,SMALL($Y$2:$Y$593,16),IF(16&lt;=$B$6+$B$7,SMALL($Z$2:$Z$593,16-$B$6),""))</f>
        <v>14</v>
      </c>
      <c r="Y32" t="str">
        <f>IF(Assessment!$G32="Critical",ROW(Assessment!$G32),"")</f>
        <v/>
      </c>
      <c r="Z32" t="str">
        <f>IF(Assessment!$G32="High",ROW(Assessment!$G32),"")</f>
        <v/>
      </c>
    </row>
    <row r="33" spans="1:26" x14ac:dyDescent="0.25">
      <c r="A33" s="10">
        <f>IF($X33="","",17)</f>
        <v>17</v>
      </c>
      <c r="B33" s="10" t="str">
        <f>IF($X33="","",INDEX(Assessment!$A:$A,$X33))</f>
        <v>TR1-015</v>
      </c>
      <c r="C33" s="10" t="str">
        <f>IF($X33="","",INDEX(Assessment!$B:$B,$X33))</f>
        <v>BSI TR-03183-1 v1.0.0</v>
      </c>
      <c r="D33" s="10" t="str">
        <f>IF($X33="","",INDEX(Assessment!$C:$C,$X33))</f>
        <v>3.5 Concepts - Risk-based approach</v>
      </c>
      <c r="E33" s="10" t="str">
        <f>IF($X33="","",INDEX(Assessment!$F:$F,$X33))</f>
        <v>Risk assessment - general</v>
      </c>
      <c r="F33" s="10" t="str">
        <f>IF($X33="","",INDEX(Assessment!$G:$G,$X33))</f>
        <v>High</v>
      </c>
      <c r="G33" s="10" t="str">
        <f>IF($X33="","",INDEX(Assessment!$J:$J,$X33))</f>
        <v>Embed this step in a documented risk-assessment method and template (e.g. TR-1 chapter 5, ISO/IEC 27005, IEC 62443-3-2) used for every solution and reusable component.</v>
      </c>
      <c r="H33" s="10" t="str">
        <f>IF($X33="","",INDEX(Assessment!$L:$L,$X33))</f>
        <v>Security Architect</v>
      </c>
      <c r="I33" s="10" t="str">
        <f>IF($X33="","",INDEX(Assessment!$N:$N,$X33))</f>
        <v>M</v>
      </c>
      <c r="X33">
        <f>IF(17&lt;=$B$6,SMALL($Y$2:$Y$593,17),IF(17&lt;=$B$6+$B$7,SMALL($Z$2:$Z$593,17-$B$6),""))</f>
        <v>16</v>
      </c>
      <c r="Y33" t="str">
        <f>IF(Assessment!$G33="Critical",ROW(Assessment!$G33),"")</f>
        <v/>
      </c>
      <c r="Z33" t="str">
        <f>IF(Assessment!$G33="High",ROW(Assessment!$G33),"")</f>
        <v/>
      </c>
    </row>
    <row r="34" spans="1:26" x14ac:dyDescent="0.25">
      <c r="A34" s="10">
        <f>IF($X34="","",18)</f>
        <v>18</v>
      </c>
      <c r="B34" s="10" t="str">
        <f>IF($X34="","",INDEX(Assessment!$A:$A,$X34))</f>
        <v>TR1-020</v>
      </c>
      <c r="C34" s="10" t="str">
        <f>IF($X34="","",INDEX(Assessment!$B:$B,$X34))</f>
        <v>BSI TR-03183-1 v1.0.0</v>
      </c>
      <c r="D34" s="10" t="str">
        <f>IF($X34="","",INDEX(Assessment!$C:$C,$X34))</f>
        <v>3.6 Obligations of the manufacturer - Pre-Market Obligations</v>
      </c>
      <c r="E34" s="10" t="str">
        <f>IF($X34="","",INDEX(Assessment!$F:$F,$X34))</f>
        <v>Essential requirements - general</v>
      </c>
      <c r="F34" s="10" t="str">
        <f>IF($X34="","",INDEX(Assessment!$G:$G,$X34))</f>
        <v>High</v>
      </c>
      <c r="G34" s="10" t="str">
        <f>IF($X34="","",INDEX(Assessment!$J:$J,$X34))</f>
        <v>Implement the requirement where applicable, record the design decision and test evidence, otherwise justify non-applicability in the applicability statement.</v>
      </c>
      <c r="H34" s="10" t="str">
        <f>IF($X34="","",INDEX(Assessment!$L:$L,$X34))</f>
        <v>Security Architect / Development Lead</v>
      </c>
      <c r="I34" s="10" t="str">
        <f>IF($X34="","",INDEX(Assessment!$N:$N,$X34))</f>
        <v>M</v>
      </c>
      <c r="X34">
        <f>IF(18&lt;=$B$6,SMALL($Y$2:$Y$593,18),IF(18&lt;=$B$6+$B$7,SMALL($Z$2:$Z$593,18-$B$6),""))</f>
        <v>21</v>
      </c>
      <c r="Y34" t="str">
        <f>IF(Assessment!$G34="Critical",ROW(Assessment!$G34),"")</f>
        <v/>
      </c>
      <c r="Z34">
        <f>IF(Assessment!$G34="High",ROW(Assessment!$G34),"")</f>
        <v>34</v>
      </c>
    </row>
    <row r="35" spans="1:26" x14ac:dyDescent="0.25">
      <c r="A35" s="10">
        <f>IF($X35="","",19)</f>
        <v>19</v>
      </c>
      <c r="B35" s="10" t="str">
        <f>IF($X35="","",INDEX(Assessment!$A:$A,$X35))</f>
        <v>TR1-022-b</v>
      </c>
      <c r="C35" s="10" t="str">
        <f>IF($X35="","",INDEX(Assessment!$B:$B,$X35))</f>
        <v>BSI TR-03183-1 v1.0.0</v>
      </c>
      <c r="D35" s="10" t="str">
        <f>IF($X35="","",INDEX(Assessment!$C:$C,$X35))</f>
        <v>3.6 Obligations of the manufacturer - Pre-Market Obligations</v>
      </c>
      <c r="E35" s="10" t="str">
        <f>IF($X35="","",INDEX(Assessment!$F:$F,$X35))</f>
        <v>Technical documentation</v>
      </c>
      <c r="F35" s="10" t="str">
        <f>IF($X35="","",INDEX(Assessment!$G:$G,$X35))</f>
        <v>High</v>
      </c>
      <c r="G35" s="10" t="str">
        <f>IF($X35="","",INDEX(Assessment!$J:$J,$X35))</f>
        <v>Produce design, risk-assessment and test documents in the agreed templates as part of the definition of done.</v>
      </c>
      <c r="H35" s="10" t="str">
        <f>IF($X35="","",INDEX(Assessment!$L:$L,$X35))</f>
        <v>Development Lead / Security Architect</v>
      </c>
      <c r="I35" s="10" t="str">
        <f>IF($X35="","",INDEX(Assessment!$N:$N,$X35))</f>
        <v>M</v>
      </c>
      <c r="X35">
        <f>IF(19&lt;=$B$6,SMALL($Y$2:$Y$593,19),IF(19&lt;=$B$6+$B$7,SMALL($Z$2:$Z$593,19-$B$6),""))</f>
        <v>24</v>
      </c>
      <c r="Y35" t="str">
        <f>IF(Assessment!$G35="Critical",ROW(Assessment!$G35),"")</f>
        <v/>
      </c>
      <c r="Z35" t="str">
        <f>IF(Assessment!$G35="High",ROW(Assessment!$G35),"")</f>
        <v/>
      </c>
    </row>
    <row r="36" spans="1:26" x14ac:dyDescent="0.25">
      <c r="A36" s="10">
        <f>IF($X36="","",20)</f>
        <v>20</v>
      </c>
      <c r="B36" s="10" t="str">
        <f>IF($X36="","",INDEX(Assessment!$A:$A,$X36))</f>
        <v>TR1-028-b</v>
      </c>
      <c r="C36" s="10" t="str">
        <f>IF($X36="","",INDEX(Assessment!$B:$B,$X36))</f>
        <v>BSI TR-03183-1 v1.0.0</v>
      </c>
      <c r="D36" s="10" t="str">
        <f>IF($X36="","",INDEX(Assessment!$C:$C,$X36))</f>
        <v>3.6 Obligations of the manufacturer - PwDE Monitoring and Post-Market Obligations</v>
      </c>
      <c r="E36" s="10" t="str">
        <f>IF($X36="","",INDEX(Assessment!$F:$F,$X36))</f>
        <v>Vulnerability remediation</v>
      </c>
      <c r="F36" s="10" t="str">
        <f>IF($X36="","",INDEX(Assessment!$G:$G,$X36))</f>
        <v>High</v>
      </c>
      <c r="G36" s="10" t="str">
        <f>IF($X36="","",INDEX(Assessment!$J:$J,$X36))</f>
        <v>Reserve engineering capacity for post-market fixes and risk-assessment updates.</v>
      </c>
      <c r="H36" s="10" t="str">
        <f>IF($X36="","",INDEX(Assessment!$L:$L,$X36))</f>
        <v>Development Lead</v>
      </c>
      <c r="I36" s="10" t="str">
        <f>IF($X36="","",INDEX(Assessment!$N:$N,$X36))</f>
        <v>M</v>
      </c>
      <c r="X36">
        <f>IF(20&lt;=$B$6,SMALL($Y$2:$Y$593,20),IF(20&lt;=$B$6+$B$7,SMALL($Z$2:$Z$593,20-$B$6),""))</f>
        <v>34</v>
      </c>
      <c r="Y36" t="str">
        <f>IF(Assessment!$G36="Critical",ROW(Assessment!$G36),"")</f>
        <v/>
      </c>
      <c r="Z36" t="str">
        <f>IF(Assessment!$G36="High",ROW(Assessment!$G36),"")</f>
        <v/>
      </c>
    </row>
    <row r="37" spans="1:26" x14ac:dyDescent="0.25">
      <c r="A37" s="10">
        <f>IF($X37="","",21)</f>
        <v>21</v>
      </c>
      <c r="B37" s="10" t="str">
        <f>IF($X37="","",INDEX(Assessment!$A:$A,$X37))</f>
        <v>TR1-052</v>
      </c>
      <c r="C37" s="10" t="str">
        <f>IF($X37="","",INDEX(Assessment!$B:$B,$X37))</f>
        <v>BSI TR-03183-1 v1.0.0</v>
      </c>
      <c r="D37" s="10" t="str">
        <f>IF($X37="","",INDEX(Assessment!$C:$C,$X37))</f>
        <v>3.6 Obligations of the manufacturer - Additional obligations for third-party components</v>
      </c>
      <c r="E37" s="10" t="str">
        <f>IF($X37="","",INDEX(Assessment!$F:$F,$X37))</f>
        <v>Upstream vulnerability reporting</v>
      </c>
      <c r="F37" s="10" t="str">
        <f>IF($X37="","",INDEX(Assessment!$G:$G,$X37))</f>
        <v>High</v>
      </c>
      <c r="G37" s="10" t="str">
        <f>IF($X37="","",INDEX(Assessment!$J:$J,$X37))</f>
        <v>Introduce a component approval process with due-diligence criteria and a register of approved components and suppliers.</v>
      </c>
      <c r="H37" s="10" t="str">
        <f>IF($X37="","",INDEX(Assessment!$L:$L,$X37))</f>
        <v>Software Architect / Open Source Program Office</v>
      </c>
      <c r="I37" s="10" t="str">
        <f>IF($X37="","",INDEX(Assessment!$N:$N,$X37))</f>
        <v>M</v>
      </c>
      <c r="X37">
        <f>IF(21&lt;=$B$6,SMALL($Y$2:$Y$593,21),IF(21&lt;=$B$6+$B$7,SMALL($Z$2:$Z$593,21-$B$6),""))</f>
        <v>63</v>
      </c>
      <c r="Y37" t="str">
        <f>IF(Assessment!$G37="Critical",ROW(Assessment!$G37),"")</f>
        <v/>
      </c>
      <c r="Z37" t="str">
        <f>IF(Assessment!$G37="High",ROW(Assessment!$G37),"")</f>
        <v/>
      </c>
    </row>
    <row r="38" spans="1:26" x14ac:dyDescent="0.25">
      <c r="A38" s="10">
        <f>IF($X38="","",22)</f>
        <v>22</v>
      </c>
      <c r="B38" s="10" t="str">
        <f>IF($X38="","",INDEX(Assessment!$A:$A,$X38))</f>
        <v>TR1-064</v>
      </c>
      <c r="C38" s="10" t="str">
        <f>IF($X38="","",INDEX(Assessment!$B:$B,$X38))</f>
        <v>BSI TR-03183-1 v1.0.0</v>
      </c>
      <c r="D38" s="10" t="str">
        <f>IF($X38="","",INDEX(Assessment!$C:$C,$X38))</f>
        <v>3.9 The Essential Requirements</v>
      </c>
      <c r="E38" s="10" t="str">
        <f>IF($X38="","",INDEX(Assessment!$F:$F,$X38))</f>
        <v>Conformity assessment</v>
      </c>
      <c r="F38" s="10" t="str">
        <f>IF($X38="","",INDEX(Assessment!$G:$G,$X38))</f>
        <v>High</v>
      </c>
      <c r="G38" s="10" t="str">
        <f>IF($X38="","",INDEX(Assessment!$J:$J,$X38))</f>
        <v>Deliver evidence per Annex I requirement to the conformity assessment.</v>
      </c>
      <c r="H38" s="10" t="str">
        <f>IF($X38="","",INDEX(Assessment!$L:$L,$X38))</f>
        <v>Development Lead</v>
      </c>
      <c r="I38" s="10" t="str">
        <f>IF($X38="","",INDEX(Assessment!$N:$N,$X38))</f>
        <v>M</v>
      </c>
      <c r="X38">
        <f>IF(22&lt;=$B$6,SMALL($Y$2:$Y$593,22),IF(22&lt;=$B$6+$B$7,SMALL($Z$2:$Z$593,22-$B$6),""))</f>
        <v>76</v>
      </c>
      <c r="Y38" t="str">
        <f>IF(Assessment!$G38="Critical",ROW(Assessment!$G38),"")</f>
        <v/>
      </c>
      <c r="Z38" t="str">
        <f>IF(Assessment!$G38="High",ROW(Assessment!$G38),"")</f>
        <v/>
      </c>
    </row>
    <row r="39" spans="1:26" x14ac:dyDescent="0.25">
      <c r="A39" s="10">
        <f>IF($X39="","",23)</f>
        <v>23</v>
      </c>
      <c r="B39" s="10" t="str">
        <f>IF($X39="","",INDEX(Assessment!$A:$A,$X39))</f>
        <v>TR1-067</v>
      </c>
      <c r="C39" s="10" t="str">
        <f>IF($X39="","",INDEX(Assessment!$B:$B,$X39))</f>
        <v>BSI TR-03183-1 v1.0.0</v>
      </c>
      <c r="D39" s="10" t="str">
        <f>IF($X39="","",INDEX(Assessment!$C:$C,$X39))</f>
        <v>3.9 The Essential Requirements</v>
      </c>
      <c r="E39" s="10" t="str">
        <f>IF($X39="","",INDEX(Assessment!$F:$F,$X39))</f>
        <v>Vulnerability handling (Annex I Part II)</v>
      </c>
      <c r="F39" s="10" t="str">
        <f>IF($X39="","",INDEX(Assessment!$G:$G,$X39))</f>
        <v>High</v>
      </c>
      <c r="G39" s="10" t="str">
        <f>IF($X39="","",INDEX(Assessment!$J:$J,$X39))</f>
        <v>Provide fixes, analysis and test capacity for the vulnerability-handling process.</v>
      </c>
      <c r="H39" s="10" t="str">
        <f>IF($X39="","",INDEX(Assessment!$L:$L,$X39))</f>
        <v>Development Lead</v>
      </c>
      <c r="I39" s="10" t="str">
        <f>IF($X39="","",INDEX(Assessment!$N:$N,$X39))</f>
        <v>M</v>
      </c>
      <c r="X39">
        <f>IF(23&lt;=$B$6,SMALL($Y$2:$Y$593,23),IF(23&lt;=$B$6+$B$7,SMALL($Z$2:$Z$593,23-$B$6),""))</f>
        <v>79</v>
      </c>
      <c r="Y39" t="str">
        <f>IF(Assessment!$G39="Critical",ROW(Assessment!$G39),"")</f>
        <v/>
      </c>
      <c r="Z39" t="str">
        <f>IF(Assessment!$G39="High",ROW(Assessment!$G39),"")</f>
        <v/>
      </c>
    </row>
    <row r="40" spans="1:26" x14ac:dyDescent="0.25">
      <c r="A40" s="10">
        <f>IF($X40="","",24)</f>
        <v>24</v>
      </c>
      <c r="B40" s="10" t="str">
        <f>IF($X40="","",INDEX(Assessment!$A:$A,$X40))</f>
        <v>TR1-069</v>
      </c>
      <c r="C40" s="10" t="str">
        <f>IF($X40="","",INDEX(Assessment!$B:$B,$X40))</f>
        <v>BSI TR-03183-1 v1.0.0</v>
      </c>
      <c r="D40" s="10" t="str">
        <f>IF($X40="","",INDEX(Assessment!$C:$C,$X40))</f>
        <v>3.9 The Essential Requirements</v>
      </c>
      <c r="E40" s="10" t="str">
        <f>IF($X40="","",INDEX(Assessment!$F:$F,$X40))</f>
        <v>Risk assessment - general</v>
      </c>
      <c r="F40" s="10" t="str">
        <f>IF($X40="","",INDEX(Assessment!$G:$G,$X40))</f>
        <v>High</v>
      </c>
      <c r="G40" s="10" t="str">
        <f>IF($X40="","",INDEX(Assessment!$J:$J,$X40))</f>
        <v>Embed this step in a documented risk-assessment method and template (e.g. TR-1 chapter 5, ISO/IEC 27005, IEC 62443-3-2) used for every solution and reusable component.</v>
      </c>
      <c r="H40" s="10" t="str">
        <f>IF($X40="","",INDEX(Assessment!$L:$L,$X40))</f>
        <v>Security Architect</v>
      </c>
      <c r="I40" s="10" t="str">
        <f>IF($X40="","",INDEX(Assessment!$N:$N,$X40))</f>
        <v>M</v>
      </c>
      <c r="X40">
        <f>IF(24&lt;=$B$6,SMALL($Y$2:$Y$593,24),IF(24&lt;=$B$6+$B$7,SMALL($Z$2:$Z$593,24-$B$6),""))</f>
        <v>81</v>
      </c>
      <c r="Y40" t="str">
        <f>IF(Assessment!$G40="Critical",ROW(Assessment!$G40),"")</f>
        <v/>
      </c>
      <c r="Z40" t="str">
        <f>IF(Assessment!$G40="High",ROW(Assessment!$G40),"")</f>
        <v/>
      </c>
    </row>
    <row r="41" spans="1:26" x14ac:dyDescent="0.25">
      <c r="A41" s="10">
        <f>IF($X41="","",25)</f>
        <v>25</v>
      </c>
      <c r="B41" s="10" t="str">
        <f>IF($X41="","",INDEX(Assessment!$A:$A,$X41))</f>
        <v>TR1-070</v>
      </c>
      <c r="C41" s="10" t="str">
        <f>IF($X41="","",INDEX(Assessment!$B:$B,$X41))</f>
        <v>BSI TR-03183-1 v1.0.0</v>
      </c>
      <c r="D41" s="10" t="str">
        <f>IF($X41="","",INDEX(Assessment!$C:$C,$X41))</f>
        <v>3.9 The Essential Requirements</v>
      </c>
      <c r="E41" s="10" t="str">
        <f>IF($X41="","",INDEX(Assessment!$F:$F,$X41))</f>
        <v>Essential requirements - general</v>
      </c>
      <c r="F41" s="10" t="str">
        <f>IF($X41="","",INDEX(Assessment!$G:$G,$X41))</f>
        <v>High</v>
      </c>
      <c r="G41" s="10" t="str">
        <f>IF($X41="","",INDEX(Assessment!$J:$J,$X41))</f>
        <v>Implement the requirement where applicable, record the design decision and test evidence, otherwise justify non-applicability in the applicability statement.</v>
      </c>
      <c r="H41" s="10" t="str">
        <f>IF($X41="","",INDEX(Assessment!$L:$L,$X41))</f>
        <v>Security Architect / Development Lead</v>
      </c>
      <c r="I41" s="10" t="str">
        <f>IF($X41="","",INDEX(Assessment!$N:$N,$X41))</f>
        <v>M</v>
      </c>
      <c r="X41">
        <f>IF(25&lt;=$B$6,SMALL($Y$2:$Y$593,25),IF(25&lt;=$B$6+$B$7,SMALL($Z$2:$Z$593,25-$B$6),""))</f>
        <v>82</v>
      </c>
      <c r="Y41" t="str">
        <f>IF(Assessment!$G41="Critical",ROW(Assessment!$G41),"")</f>
        <v/>
      </c>
      <c r="Z41" t="str">
        <f>IF(Assessment!$G41="High",ROW(Assessment!$G41),"")</f>
        <v/>
      </c>
    </row>
    <row r="42" spans="1:26" x14ac:dyDescent="0.25">
      <c r="A42" s="10">
        <f>IF($X42="","",26)</f>
        <v>26</v>
      </c>
      <c r="B42" s="10" t="str">
        <f>IF($X42="","",INDEX(Assessment!$A:$A,$X42))</f>
        <v>TR1-096</v>
      </c>
      <c r="C42" s="10" t="str">
        <f>IF($X42="","",INDEX(Assessment!$B:$B,$X42))</f>
        <v>BSI TR-03183-1 v1.0.0</v>
      </c>
      <c r="D42" s="10" t="str">
        <f>IF($X42="","",INDEX(Assessment!$C:$C,$X42))</f>
        <v>4.8 Assessment Report - technical documentation content</v>
      </c>
      <c r="E42" s="10" t="str">
        <f>IF($X42="","",INDEX(Assessment!$F:$F,$X42))</f>
        <v>Technical documentation</v>
      </c>
      <c r="F42" s="10" t="str">
        <f>IF($X42="","",INDEX(Assessment!$G:$G,$X42))</f>
        <v>High</v>
      </c>
      <c r="G42" s="10" t="str">
        <f>IF($X42="","",INDEX(Assessment!$J:$J,$X42))</f>
        <v>Produce design, risk-assessment and test documents in the agreed templates as part of the definition of done.</v>
      </c>
      <c r="H42" s="10" t="str">
        <f>IF($X42="","",INDEX(Assessment!$L:$L,$X42))</f>
        <v>Development Lead / Security Architect</v>
      </c>
      <c r="I42" s="10" t="str">
        <f>IF($X42="","",INDEX(Assessment!$N:$N,$X42))</f>
        <v>M</v>
      </c>
      <c r="X42">
        <f>IF(26&lt;=$B$6,SMALL($Y$2:$Y$593,26),IF(26&lt;=$B$6+$B$7,SMALL($Z$2:$Z$593,26-$B$6),""))</f>
        <v>110</v>
      </c>
      <c r="Y42" t="str">
        <f>IF(Assessment!$G42="Critical",ROW(Assessment!$G42),"")</f>
        <v/>
      </c>
      <c r="Z42" t="str">
        <f>IF(Assessment!$G42="High",ROW(Assessment!$G42),"")</f>
        <v/>
      </c>
    </row>
    <row r="43" spans="1:26" x14ac:dyDescent="0.25">
      <c r="A43" s="10">
        <f>IF($X43="","",27)</f>
        <v>27</v>
      </c>
      <c r="B43" s="10" t="str">
        <f>IF($X43="","",INDEX(Assessment!$A:$A,$X43))</f>
        <v>TR1-098</v>
      </c>
      <c r="C43" s="10" t="str">
        <f>IF($X43="","",INDEX(Assessment!$B:$B,$X43))</f>
        <v>BSI TR-03183-1 v1.0.0</v>
      </c>
      <c r="D43" s="10" t="str">
        <f>IF($X43="","",INDEX(Assessment!$C:$C,$X43))</f>
        <v>4.8 Assessment Report - technical documentation content</v>
      </c>
      <c r="E43" s="10" t="str">
        <f>IF($X43="","",INDEX(Assessment!$F:$F,$X43))</f>
        <v>Technical documentation</v>
      </c>
      <c r="F43" s="10" t="str">
        <f>IF($X43="","",INDEX(Assessment!$G:$G,$X43))</f>
        <v>High</v>
      </c>
      <c r="G43" s="10" t="str">
        <f>IF($X43="","",INDEX(Assessment!$J:$J,$X43))</f>
        <v>Produce design, risk-assessment and test documents in the agreed templates as part of the definition of done.</v>
      </c>
      <c r="H43" s="10" t="str">
        <f>IF($X43="","",INDEX(Assessment!$L:$L,$X43))</f>
        <v>Development Lead / Security Architect</v>
      </c>
      <c r="I43" s="10" t="str">
        <f>IF($X43="","",INDEX(Assessment!$N:$N,$X43))</f>
        <v>M</v>
      </c>
      <c r="X43">
        <f>IF(27&lt;=$B$6,SMALL($Y$2:$Y$593,27),IF(27&lt;=$B$6+$B$7,SMALL($Z$2:$Z$593,27-$B$6),""))</f>
        <v>112</v>
      </c>
      <c r="Y43" t="str">
        <f>IF(Assessment!$G43="Critical",ROW(Assessment!$G43),"")</f>
        <v/>
      </c>
      <c r="Z43" t="str">
        <f>IF(Assessment!$G43="High",ROW(Assessment!$G43),"")</f>
        <v/>
      </c>
    </row>
    <row r="44" spans="1:26" x14ac:dyDescent="0.25">
      <c r="A44" s="10">
        <f>IF($X44="","",28)</f>
        <v>28</v>
      </c>
      <c r="B44" s="10" t="str">
        <f>IF($X44="","",INDEX(Assessment!$A:$A,$X44))</f>
        <v>TR1-099</v>
      </c>
      <c r="C44" s="10" t="str">
        <f>IF($X44="","",INDEX(Assessment!$B:$B,$X44))</f>
        <v>BSI TR-03183-1 v1.0.0</v>
      </c>
      <c r="D44" s="10" t="str">
        <f>IF($X44="","",INDEX(Assessment!$C:$C,$X44))</f>
        <v>4.8 Assessment Report - technical documentation content</v>
      </c>
      <c r="E44" s="10" t="str">
        <f>IF($X44="","",INDEX(Assessment!$F:$F,$X44))</f>
        <v>Technical documentation</v>
      </c>
      <c r="F44" s="10" t="str">
        <f>IF($X44="","",INDEX(Assessment!$G:$G,$X44))</f>
        <v>High</v>
      </c>
      <c r="G44" s="10" t="str">
        <f>IF($X44="","",INDEX(Assessment!$J:$J,$X44))</f>
        <v>Produce design, risk-assessment and test documents in the agreed templates as part of the definition of done.</v>
      </c>
      <c r="H44" s="10" t="str">
        <f>IF($X44="","",INDEX(Assessment!$L:$L,$X44))</f>
        <v>Development Lead / Security Architect</v>
      </c>
      <c r="I44" s="10" t="str">
        <f>IF($X44="","",INDEX(Assessment!$N:$N,$X44))</f>
        <v>M</v>
      </c>
      <c r="X44">
        <f>IF(28&lt;=$B$6,SMALL($Y$2:$Y$593,28),IF(28&lt;=$B$6+$B$7,SMALL($Z$2:$Z$593,28-$B$6),""))</f>
        <v>113</v>
      </c>
      <c r="Y44" t="str">
        <f>IF(Assessment!$G44="Critical",ROW(Assessment!$G44),"")</f>
        <v/>
      </c>
      <c r="Z44" t="str">
        <f>IF(Assessment!$G44="High",ROW(Assessment!$G44),"")</f>
        <v/>
      </c>
    </row>
    <row r="45" spans="1:26" x14ac:dyDescent="0.25">
      <c r="A45" s="10">
        <f>IF($X45="","",29)</f>
        <v>29</v>
      </c>
      <c r="B45" s="10" t="str">
        <f>IF($X45="","",INDEX(Assessment!$A:$A,$X45))</f>
        <v>TR1-107</v>
      </c>
      <c r="C45" s="10" t="str">
        <f>IF($X45="","",INDEX(Assessment!$B:$B,$X45))</f>
        <v>BSI TR-03183-1 v1.0.0</v>
      </c>
      <c r="D45" s="10" t="str">
        <f>IF($X45="","",INDEX(Assessment!$C:$C,$X45))</f>
        <v>5.1 Relevance of (Cybersecurity) Risks</v>
      </c>
      <c r="E45" s="10" t="str">
        <f>IF($X45="","",INDEX(Assessment!$F:$F,$X45))</f>
        <v>Essential requirements - general</v>
      </c>
      <c r="F45" s="10" t="str">
        <f>IF($X45="","",INDEX(Assessment!$G:$G,$X45))</f>
        <v>High</v>
      </c>
      <c r="G45" s="10" t="str">
        <f>IF($X45="","",INDEX(Assessment!$J:$J,$X45))</f>
        <v>Implement the requirement where applicable, record the design decision and test evidence, otherwise justify non-applicability in the applicability statement.</v>
      </c>
      <c r="H45" s="10" t="str">
        <f>IF($X45="","",INDEX(Assessment!$L:$L,$X45))</f>
        <v>Security Architect / Development Lead</v>
      </c>
      <c r="I45" s="10" t="str">
        <f>IF($X45="","",INDEX(Assessment!$N:$N,$X45))</f>
        <v>M</v>
      </c>
      <c r="X45">
        <f>IF(29&lt;=$B$6,SMALL($Y$2:$Y$593,29),IF(29&lt;=$B$6+$B$7,SMALL($Z$2:$Z$593,29-$B$6),""))</f>
        <v>121</v>
      </c>
      <c r="Y45" t="str">
        <f>IF(Assessment!$G45="Critical",ROW(Assessment!$G45),"")</f>
        <v/>
      </c>
      <c r="Z45" t="str">
        <f>IF(Assessment!$G45="High",ROW(Assessment!$G45),"")</f>
        <v/>
      </c>
    </row>
    <row r="46" spans="1:26" x14ac:dyDescent="0.25">
      <c r="A46" s="10">
        <f>IF($X46="","",30)</f>
        <v>30</v>
      </c>
      <c r="B46" s="10" t="str">
        <f>IF($X46="","",INDEX(Assessment!$A:$A,$X46))</f>
        <v>TR1-108-b</v>
      </c>
      <c r="C46" s="10" t="str">
        <f>IF($X46="","",INDEX(Assessment!$B:$B,$X46))</f>
        <v>BSI TR-03183-1 v1.0.0</v>
      </c>
      <c r="D46" s="10" t="str">
        <f>IF($X46="","",INDEX(Assessment!$C:$C,$X46))</f>
        <v>5.1 Relevance of (Cybersecurity) Risks</v>
      </c>
      <c r="E46" s="10" t="str">
        <f>IF($X46="","",INDEX(Assessment!$F:$F,$X46))</f>
        <v>Risk assessment - general</v>
      </c>
      <c r="F46" s="10" t="str">
        <f>IF($X46="","",INDEX(Assessment!$G:$G,$X46))</f>
        <v>High</v>
      </c>
      <c r="G46" s="10" t="str">
        <f>IF($X46="","",INDEX(Assessment!$J:$J,$X46))</f>
        <v>Embed this step in a documented risk-assessment method and template (e.g. TR-1 chapter 5, ISO/IEC 27005, IEC 62443-3-2) used for every solution and reusable component.</v>
      </c>
      <c r="H46" s="10" t="str">
        <f>IF($X46="","",INDEX(Assessment!$L:$L,$X46))</f>
        <v>Security Architect</v>
      </c>
      <c r="I46" s="10" t="str">
        <f>IF($X46="","",INDEX(Assessment!$N:$N,$X46))</f>
        <v>M</v>
      </c>
      <c r="X46">
        <f>IF(30&lt;=$B$6,SMALL($Y$2:$Y$593,30),IF(30&lt;=$B$6+$B$7,SMALL($Z$2:$Z$593,30-$B$6),""))</f>
        <v>123</v>
      </c>
      <c r="Y46" t="str">
        <f>IF(Assessment!$G46="Critical",ROW(Assessment!$G46),"")</f>
        <v/>
      </c>
      <c r="Z46" t="str">
        <f>IF(Assessment!$G46="High",ROW(Assessment!$G46),"")</f>
        <v/>
      </c>
    </row>
    <row r="47" spans="1:26" x14ac:dyDescent="0.25">
      <c r="A47" s="10">
        <f>IF($X47="","",31)</f>
        <v>31</v>
      </c>
      <c r="B47" s="10" t="str">
        <f>IF($X47="","",INDEX(Assessment!$A:$A,$X47))</f>
        <v>TR1-116</v>
      </c>
      <c r="C47" s="10" t="str">
        <f>IF($X47="","",INDEX(Assessment!$B:$B,$X47))</f>
        <v>BSI TR-03183-1 v1.0.0</v>
      </c>
      <c r="D47" s="10" t="str">
        <f>IF($X47="","",INDEX(Assessment!$C:$C,$X47))</f>
        <v>5.7.1 Intended purpose and reasonable foreseeable use</v>
      </c>
      <c r="E47" s="10" t="str">
        <f>IF($X47="","",INDEX(Assessment!$F:$F,$X47))</f>
        <v>Risk assessment - context</v>
      </c>
      <c r="F47" s="10" t="str">
        <f>IF($X47="","",INDEX(Assessment!$G:$G,$X47))</f>
        <v>High</v>
      </c>
      <c r="G47" s="10" t="str">
        <f>IF($X47="","",INDEX(Assessment!$J:$J,$X47))</f>
        <v>Embed this step in a documented risk-assessment method and template (e.g. TR-1 chapter 5, ISO/IEC 27005, IEC 62443-3-2) used for every solution and reusable component.</v>
      </c>
      <c r="H47" s="10" t="str">
        <f>IF($X47="","",INDEX(Assessment!$L:$L,$X47))</f>
        <v>Security Architect</v>
      </c>
      <c r="I47" s="10" t="str">
        <f>IF($X47="","",INDEX(Assessment!$N:$N,$X47))</f>
        <v>M</v>
      </c>
      <c r="X47">
        <f>IF(31&lt;=$B$6,SMALL($Y$2:$Y$593,31),IF(31&lt;=$B$6+$B$7,SMALL($Z$2:$Z$593,31-$B$6),""))</f>
        <v>131</v>
      </c>
      <c r="Y47" t="str">
        <f>IF(Assessment!$G47="Critical",ROW(Assessment!$G47),"")</f>
        <v/>
      </c>
      <c r="Z47" t="str">
        <f>IF(Assessment!$G47="High",ROW(Assessment!$G47),"")</f>
        <v/>
      </c>
    </row>
    <row r="48" spans="1:26" x14ac:dyDescent="0.25">
      <c r="A48" s="10">
        <f>IF($X48="","",32)</f>
        <v>32</v>
      </c>
      <c r="B48" s="10" t="str">
        <f>IF($X48="","",INDEX(Assessment!$A:$A,$X48))</f>
        <v>TR1-117-a</v>
      </c>
      <c r="C48" s="10" t="str">
        <f>IF($X48="","",INDEX(Assessment!$B:$B,$X48))</f>
        <v>BSI TR-03183-1 v1.0.0</v>
      </c>
      <c r="D48" s="10" t="str">
        <f>IF($X48="","",INDEX(Assessment!$C:$C,$X48))</f>
        <v>5.7.1 Intended purpose and reasonable foreseeable use</v>
      </c>
      <c r="E48" s="10" t="str">
        <f>IF($X48="","",INDEX(Assessment!$F:$F,$X48))</f>
        <v>Essential requirements - general</v>
      </c>
      <c r="F48" s="10" t="str">
        <f>IF($X48="","",INDEX(Assessment!$G:$G,$X48))</f>
        <v>High</v>
      </c>
      <c r="G48" s="10" t="str">
        <f>IF($X48="","",INDEX(Assessment!$J:$J,$X48))</f>
        <v>Implement the requirement where applicable, record the design decision and test evidence, otherwise justify non-applicability in the applicability statement.</v>
      </c>
      <c r="H48" s="10" t="str">
        <f>IF($X48="","",INDEX(Assessment!$L:$L,$X48))</f>
        <v>Security Architect / Development Lead</v>
      </c>
      <c r="I48" s="10" t="str">
        <f>IF($X48="","",INDEX(Assessment!$N:$N,$X48))</f>
        <v>M</v>
      </c>
      <c r="X48">
        <f>IF(32&lt;=$B$6,SMALL($Y$2:$Y$593,32),IF(32&lt;=$B$6+$B$7,SMALL($Z$2:$Z$593,32-$B$6),""))</f>
        <v>132</v>
      </c>
      <c r="Y48" t="str">
        <f>IF(Assessment!$G48="Critical",ROW(Assessment!$G48),"")</f>
        <v/>
      </c>
      <c r="Z48" t="str">
        <f>IF(Assessment!$G48="High",ROW(Assessment!$G48),"")</f>
        <v/>
      </c>
    </row>
    <row r="49" spans="1:26" x14ac:dyDescent="0.25">
      <c r="A49" s="10">
        <f>IF($X49="","",33)</f>
        <v>33</v>
      </c>
      <c r="B49" s="10" t="str">
        <f>IF($X49="","",INDEX(Assessment!$A:$A,$X49))</f>
        <v>TR1-125-b</v>
      </c>
      <c r="C49" s="10" t="str">
        <f>IF($X49="","",INDEX(Assessment!$B:$B,$X49))</f>
        <v>BSI TR-03183-1 v1.0.0</v>
      </c>
      <c r="D49" s="10" t="str">
        <f>IF($X49="","",INDEX(Assessment!$C:$C,$X49))</f>
        <v>5.7.2 PwDE architecture</v>
      </c>
      <c r="E49" s="10" t="str">
        <f>IF($X49="","",INDEX(Assessment!$F:$F,$X49))</f>
        <v>Third-party component due diligence</v>
      </c>
      <c r="F49" s="10" t="str">
        <f>IF($X49="","",INDEX(Assessment!$G:$G,$X49))</f>
        <v>High</v>
      </c>
      <c r="G49" s="10" t="str">
        <f>IF($X49="","",INDEX(Assessment!$J:$J,$X49))</f>
        <v>Introduce a component approval process with due-diligence criteria and a register of approved components and suppliers.</v>
      </c>
      <c r="H49" s="10" t="str">
        <f>IF($X49="","",INDEX(Assessment!$L:$L,$X49))</f>
        <v>Software Architect / Open Source Program Office</v>
      </c>
      <c r="I49" s="10" t="str">
        <f>IF($X49="","",INDEX(Assessment!$N:$N,$X49))</f>
        <v>M</v>
      </c>
      <c r="X49">
        <f>IF(33&lt;=$B$6,SMALL($Y$2:$Y$593,33),IF(33&lt;=$B$6+$B$7,SMALL($Z$2:$Z$593,33-$B$6),""))</f>
        <v>142</v>
      </c>
      <c r="Y49" t="str">
        <f>IF(Assessment!$G49="Critical",ROW(Assessment!$G49),"")</f>
        <v/>
      </c>
      <c r="Z49" t="str">
        <f>IF(Assessment!$G49="High",ROW(Assessment!$G49),"")</f>
        <v/>
      </c>
    </row>
    <row r="50" spans="1:26" x14ac:dyDescent="0.25">
      <c r="A50" s="10">
        <f>IF($X50="","",34)</f>
        <v>34</v>
      </c>
      <c r="B50" s="10" t="str">
        <f>IF($X50="","",INDEX(Assessment!$A:$A,$X50))</f>
        <v>RH_RA.1.2</v>
      </c>
      <c r="C50" s="10" t="str">
        <f>IF($X50="","",INDEX(Assessment!$B:$B,$X50))</f>
        <v>BSI TR-03183-1 v1.0.0</v>
      </c>
      <c r="D50" s="10" t="str">
        <f>IF($X50="","",INDEX(Assessment!$C:$C,$X50))</f>
        <v>5.9.3 Control - RH_RA.1.2 Risk Analysis (Activity)</v>
      </c>
      <c r="E50" s="10" t="str">
        <f>IF($X50="","",INDEX(Assessment!$F:$F,$X50))</f>
        <v>Risk assessment - analysis</v>
      </c>
      <c r="F50" s="10" t="str">
        <f>IF($X50="","",INDEX(Assessment!$G:$G,$X50))</f>
        <v>High</v>
      </c>
      <c r="G50" s="10" t="str">
        <f>IF($X50="","",INDEX(Assessment!$J:$J,$X50))</f>
        <v>Embed this step in a documented risk-assessment method and template (e.g. TR-1 chapter 5, ISO/IEC 27005, IEC 62443-3-2) used for every solution and reusable component.</v>
      </c>
      <c r="H50" s="10" t="str">
        <f>IF($X50="","",INDEX(Assessment!$L:$L,$X50))</f>
        <v>Security Architect</v>
      </c>
      <c r="I50" s="10" t="str">
        <f>IF($X50="","",INDEX(Assessment!$N:$N,$X50))</f>
        <v>M</v>
      </c>
      <c r="X50">
        <f>IF(34&lt;=$B$6,SMALL($Y$2:$Y$593,34),IF(34&lt;=$B$6+$B$7,SMALL($Z$2:$Z$593,34-$B$6),""))</f>
        <v>158</v>
      </c>
      <c r="Y50" t="str">
        <f>IF(Assessment!$G50="Critical",ROW(Assessment!$G50),"")</f>
        <v/>
      </c>
      <c r="Z50" t="str">
        <f>IF(Assessment!$G50="High",ROW(Assessment!$G50),"")</f>
        <v/>
      </c>
    </row>
    <row r="51" spans="1:26" x14ac:dyDescent="0.25">
      <c r="A51" s="10">
        <f>IF($X51="","",35)</f>
        <v>35</v>
      </c>
      <c r="B51" s="10" t="str">
        <f>IF($X51="","",INDEX(Assessment!$A:$A,$X51))</f>
        <v>RH_RA.1.3</v>
      </c>
      <c r="C51" s="10" t="str">
        <f>IF($X51="","",INDEX(Assessment!$B:$B,$X51))</f>
        <v>BSI TR-03183-1 v1.0.0</v>
      </c>
      <c r="D51" s="10" t="str">
        <f>IF($X51="","",INDEX(Assessment!$C:$C,$X51))</f>
        <v>5.10.3 Control - RH_RA.1.3 Risk Evaluation (Activity)</v>
      </c>
      <c r="E51" s="10" t="str">
        <f>IF($X51="","",INDEX(Assessment!$F:$F,$X51))</f>
        <v>Risk assessment - evaluation</v>
      </c>
      <c r="F51" s="10" t="str">
        <f>IF($X51="","",INDEX(Assessment!$G:$G,$X51))</f>
        <v>High</v>
      </c>
      <c r="G51" s="10" t="str">
        <f>IF($X51="","",INDEX(Assessment!$J:$J,$X51))</f>
        <v>Embed this step in a documented risk-assessment method and template (e.g. TR-1 chapter 5, ISO/IEC 27005, IEC 62443-3-2) used for every solution and reusable component.</v>
      </c>
      <c r="H51" s="10" t="str">
        <f>IF($X51="","",INDEX(Assessment!$L:$L,$X51))</f>
        <v>Security Architect</v>
      </c>
      <c r="I51" s="10" t="str">
        <f>IF($X51="","",INDEX(Assessment!$N:$N,$X51))</f>
        <v>M</v>
      </c>
      <c r="X51">
        <f>IF(35&lt;=$B$6,SMALL($Y$2:$Y$593,35),IF(35&lt;=$B$6+$B$7,SMALL($Z$2:$Z$593,35-$B$6),""))</f>
        <v>160</v>
      </c>
      <c r="Y51" t="str">
        <f>IF(Assessment!$G51="Critical",ROW(Assessment!$G51),"")</f>
        <v/>
      </c>
      <c r="Z51" t="str">
        <f>IF(Assessment!$G51="High",ROW(Assessment!$G51),"")</f>
        <v/>
      </c>
    </row>
    <row r="52" spans="1:26" x14ac:dyDescent="0.25">
      <c r="A52" s="10">
        <f>IF($X52="","",36)</f>
        <v>36</v>
      </c>
      <c r="B52" s="10" t="str">
        <f>IF($X52="","",INDEX(Assessment!$A:$A,$X52))</f>
        <v>TR1-142</v>
      </c>
      <c r="C52" s="10" t="str">
        <f>IF($X52="","",INDEX(Assessment!$B:$B,$X52))</f>
        <v>BSI TR-03183-1 v1.0.0</v>
      </c>
      <c r="D52" s="10" t="str">
        <f>IF($X52="","",INDEX(Assessment!$C:$C,$X52))</f>
        <v>5.11.1.1 Select appropriate controls - General</v>
      </c>
      <c r="E52" s="10" t="str">
        <f>IF($X52="","",INDEX(Assessment!$F:$F,$X52))</f>
        <v>Risk treatment</v>
      </c>
      <c r="F52" s="10" t="str">
        <f>IF($X52="","",INDEX(Assessment!$G:$G,$X52))</f>
        <v>High</v>
      </c>
      <c r="G52" s="10" t="str">
        <f>IF($X52="","",INDEX(Assessment!$J:$J,$X52))</f>
        <v>Record the treatment decision per risk (control, sharing, acceptance) and verify the implemented controls.</v>
      </c>
      <c r="H52" s="10" t="str">
        <f>IF($X52="","",INDEX(Assessment!$L:$L,$X52))</f>
        <v>Security Architect</v>
      </c>
      <c r="I52" s="10" t="str">
        <f>IF($X52="","",INDEX(Assessment!$N:$N,$X52))</f>
        <v>M</v>
      </c>
      <c r="X52">
        <f>IF(36&lt;=$B$6,SMALL($Y$2:$Y$593,36),IF(36&lt;=$B$6+$B$7,SMALL($Z$2:$Z$593,36-$B$6),""))</f>
        <v>163</v>
      </c>
      <c r="Y52" t="str">
        <f>IF(Assessment!$G52="Critical",ROW(Assessment!$G52),"")</f>
        <v/>
      </c>
      <c r="Z52" t="str">
        <f>IF(Assessment!$G52="High",ROW(Assessment!$G52),"")</f>
        <v/>
      </c>
    </row>
    <row r="53" spans="1:26" x14ac:dyDescent="0.25">
      <c r="A53" s="10">
        <f>IF($X53="","",37)</f>
        <v>37</v>
      </c>
      <c r="B53" s="10" t="str">
        <f>IF($X53="","",INDEX(Assessment!$A:$A,$X53))</f>
        <v>RH_RT.1.1.1-b</v>
      </c>
      <c r="C53" s="10" t="str">
        <f>IF($X53="","",INDEX(Assessment!$B:$B,$X53))</f>
        <v>BSI TR-03183-1 v1.0.0</v>
      </c>
      <c r="D53" s="10" t="str">
        <f>IF($X53="","",INDEX(Assessment!$C:$C,$X53))</f>
        <v>5.11.1.3 Control - RH_RT.1.1.1 Select appropriate controls (Activity)</v>
      </c>
      <c r="E53" s="10" t="str">
        <f>IF($X53="","",INDEX(Assessment!$F:$F,$X53))</f>
        <v>Risk treatment</v>
      </c>
      <c r="F53" s="10" t="str">
        <f>IF($X53="","",INDEX(Assessment!$G:$G,$X53))</f>
        <v>High</v>
      </c>
      <c r="G53" s="10" t="str">
        <f>IF($X53="","",INDEX(Assessment!$J:$J,$X53))</f>
        <v>Record the treatment decision per risk (control, sharing, acceptance) and verify the implemented controls.</v>
      </c>
      <c r="H53" s="10" t="str">
        <f>IF($X53="","",INDEX(Assessment!$L:$L,$X53))</f>
        <v>Security Architect</v>
      </c>
      <c r="I53" s="10" t="str">
        <f>IF($X53="","",INDEX(Assessment!$N:$N,$X53))</f>
        <v>M</v>
      </c>
      <c r="X53">
        <f>IF(37&lt;=$B$6,SMALL($Y$2:$Y$593,37),IF(37&lt;=$B$6+$B$7,SMALL($Z$2:$Z$593,37-$B$6),""))</f>
        <v>167</v>
      </c>
      <c r="Y53" t="str">
        <f>IF(Assessment!$G53="Critical",ROW(Assessment!$G53),"")</f>
        <v/>
      </c>
      <c r="Z53" t="str">
        <f>IF(Assessment!$G53="High",ROW(Assessment!$G53),"")</f>
        <v/>
      </c>
    </row>
    <row r="54" spans="1:26" x14ac:dyDescent="0.25">
      <c r="A54" s="10">
        <f>IF($X54="","",38)</f>
        <v>38</v>
      </c>
      <c r="B54" s="10" t="str">
        <f>IF($X54="","",INDEX(Assessment!$A:$A,$X54))</f>
        <v>TR1-145-a</v>
      </c>
      <c r="C54" s="10" t="str">
        <f>IF($X54="","",INDEX(Assessment!$B:$B,$X54))</f>
        <v>BSI TR-03183-1 v1.0.0</v>
      </c>
      <c r="D54" s="10" t="str">
        <f>IF($X54="","",INDEX(Assessment!$C:$C,$X54))</f>
        <v>5.11.2.1 Select Applicable Essential Cybersecurity Requirements - General</v>
      </c>
      <c r="E54" s="10" t="str">
        <f>IF($X54="","",INDEX(Assessment!$F:$F,$X54))</f>
        <v>Essential requirements - applicability</v>
      </c>
      <c r="F54" s="10" t="str">
        <f>IF($X54="","",INDEX(Assessment!$G:$G,$X54))</f>
        <v>High</v>
      </c>
      <c r="G54" s="10" t="str">
        <f>IF($X54="","",INDEX(Assessment!$J:$J,$X54))</f>
        <v>Record the treatment decision per risk (control, sharing, acceptance) and verify the implemented controls.</v>
      </c>
      <c r="H54" s="10" t="str">
        <f>IF($X54="","",INDEX(Assessment!$L:$L,$X54))</f>
        <v>Security Architect</v>
      </c>
      <c r="I54" s="10" t="str">
        <f>IF($X54="","",INDEX(Assessment!$N:$N,$X54))</f>
        <v>M</v>
      </c>
      <c r="X54">
        <f>IF(38&lt;=$B$6,SMALL($Y$2:$Y$593,38),IF(38&lt;=$B$6+$B$7,SMALL($Z$2:$Z$593,38-$B$6),""))</f>
        <v>168</v>
      </c>
      <c r="Y54" t="str">
        <f>IF(Assessment!$G54="Critical",ROW(Assessment!$G54),"")</f>
        <v/>
      </c>
      <c r="Z54" t="str">
        <f>IF(Assessment!$G54="High",ROW(Assessment!$G54),"")</f>
        <v/>
      </c>
    </row>
    <row r="55" spans="1:26" x14ac:dyDescent="0.25">
      <c r="A55" s="10">
        <f>IF($X55="","",39)</f>
        <v>39</v>
      </c>
      <c r="B55" s="10" t="str">
        <f>IF($X55="","",INDEX(Assessment!$A:$A,$X55))</f>
        <v>TR1-146</v>
      </c>
      <c r="C55" s="10" t="str">
        <f>IF($X55="","",INDEX(Assessment!$B:$B,$X55))</f>
        <v>BSI TR-03183-1 v1.0.0</v>
      </c>
      <c r="D55" s="10" t="str">
        <f>IF($X55="","",INDEX(Assessment!$C:$C,$X55))</f>
        <v>5.11.2.1 Select Applicable Essential Cybersecurity Requirements - General</v>
      </c>
      <c r="E55" s="10" t="str">
        <f>IF($X55="","",INDEX(Assessment!$F:$F,$X55))</f>
        <v>Essential requirements - applicability</v>
      </c>
      <c r="F55" s="10" t="str">
        <f>IF($X55="","",INDEX(Assessment!$G:$G,$X55))</f>
        <v>High</v>
      </c>
      <c r="G55" s="10" t="str">
        <f>IF($X55="","",INDEX(Assessment!$J:$J,$X55))</f>
        <v>Record the treatment decision per risk (control, sharing, acceptance) and verify the implemented controls.</v>
      </c>
      <c r="H55" s="10" t="str">
        <f>IF($X55="","",INDEX(Assessment!$L:$L,$X55))</f>
        <v>Security Architect</v>
      </c>
      <c r="I55" s="10" t="str">
        <f>IF($X55="","",INDEX(Assessment!$N:$N,$X55))</f>
        <v>M</v>
      </c>
      <c r="X55">
        <f>IF(39&lt;=$B$6,SMALL($Y$2:$Y$593,39),IF(39&lt;=$B$6+$B$7,SMALL($Z$2:$Z$593,39-$B$6),""))</f>
        <v>170</v>
      </c>
      <c r="Y55" t="str">
        <f>IF(Assessment!$G55="Critical",ROW(Assessment!$G55),"")</f>
        <v/>
      </c>
      <c r="Z55" t="str">
        <f>IF(Assessment!$G55="High",ROW(Assessment!$G55),"")</f>
        <v/>
      </c>
    </row>
    <row r="56" spans="1:26" x14ac:dyDescent="0.25">
      <c r="A56" s="10">
        <f>IF($X56="","",40)</f>
        <v>40</v>
      </c>
      <c r="B56" s="10" t="str">
        <f>IF($X56="","",INDEX(Assessment!$A:$A,$X56))</f>
        <v>TR1-147-b</v>
      </c>
      <c r="C56" s="10" t="str">
        <f>IF($X56="","",INDEX(Assessment!$B:$B,$X56))</f>
        <v>BSI TR-03183-1 v1.0.0</v>
      </c>
      <c r="D56" s="10" t="str">
        <f>IF($X56="","",INDEX(Assessment!$C:$C,$X56))</f>
        <v>5.11.3.1.1 Risk Sharing with Suppliers - General</v>
      </c>
      <c r="E56" s="10" t="str">
        <f>IF($X56="","",INDEX(Assessment!$F:$F,$X56))</f>
        <v>Third-party component due diligence</v>
      </c>
      <c r="F56" s="10" t="str">
        <f>IF($X56="","",INDEX(Assessment!$G:$G,$X56))</f>
        <v>High</v>
      </c>
      <c r="G56" s="10" t="str">
        <f>IF($X56="","",INDEX(Assessment!$J:$J,$X56))</f>
        <v>Introduce a component approval process with due-diligence criteria and a register of approved components and suppliers.</v>
      </c>
      <c r="H56" s="10" t="str">
        <f>IF($X56="","",INDEX(Assessment!$L:$L,$X56))</f>
        <v>Software Architect / Open Source Program Office</v>
      </c>
      <c r="I56" s="10" t="str">
        <f>IF($X56="","",INDEX(Assessment!$N:$N,$X56))</f>
        <v>M</v>
      </c>
      <c r="X56">
        <f>IF(40&lt;=$B$6,SMALL($Y$2:$Y$593,40),IF(40&lt;=$B$6+$B$7,SMALL($Z$2:$Z$593,40-$B$6),""))</f>
        <v>174</v>
      </c>
      <c r="Y56" t="str">
        <f>IF(Assessment!$G56="Critical",ROW(Assessment!$G56),"")</f>
        <v/>
      </c>
      <c r="Z56" t="str">
        <f>IF(Assessment!$G56="High",ROW(Assessment!$G56),"")</f>
        <v/>
      </c>
    </row>
    <row r="57" spans="1:26" x14ac:dyDescent="0.25">
      <c r="A57" s="10">
        <f>IF($X57="","",41)</f>
        <v>41</v>
      </c>
      <c r="B57" s="10" t="str">
        <f>IF($X57="","",INDEX(Assessment!$A:$A,$X57))</f>
        <v>RH_RT.1.2.1</v>
      </c>
      <c r="C57" s="10" t="str">
        <f>IF($X57="","",INDEX(Assessment!$B:$B,$X57))</f>
        <v>BSI TR-03183-1 v1.0.0</v>
      </c>
      <c r="D57" s="10" t="str">
        <f>IF($X57="","",INDEX(Assessment!$C:$C,$X57))</f>
        <v>5.11.3.1.3 Control - RH_RT.1.2.1 Risk Sharing with Suppliers (Activity)</v>
      </c>
      <c r="E57" s="10" t="str">
        <f>IF($X57="","",INDEX(Assessment!$F:$F,$X57))</f>
        <v>Risk sharing</v>
      </c>
      <c r="F57" s="10" t="str">
        <f>IF($X57="","",INDEX(Assessment!$G:$G,$X57))</f>
        <v>High</v>
      </c>
      <c r="G57" s="10" t="str">
        <f>IF($X57="","",INDEX(Assessment!$J:$J,$X57))</f>
        <v>Introduce a component approval process with due-diligence criteria and a register of approved components and suppliers.</v>
      </c>
      <c r="H57" s="10" t="str">
        <f>IF($X57="","",INDEX(Assessment!$L:$L,$X57))</f>
        <v>Software Architect / Open Source Program Office</v>
      </c>
      <c r="I57" s="10" t="str">
        <f>IF($X57="","",INDEX(Assessment!$N:$N,$X57))</f>
        <v>M</v>
      </c>
      <c r="X57">
        <f>IF(41&lt;=$B$6,SMALL($Y$2:$Y$593,41),IF(41&lt;=$B$6+$B$7,SMALL($Z$2:$Z$593,41-$B$6),""))</f>
        <v>177</v>
      </c>
      <c r="Y57" t="str">
        <f>IF(Assessment!$G57="Critical",ROW(Assessment!$G57),"")</f>
        <v/>
      </c>
      <c r="Z57" t="str">
        <f>IF(Assessment!$G57="High",ROW(Assessment!$G57),"")</f>
        <v/>
      </c>
    </row>
    <row r="58" spans="1:26" x14ac:dyDescent="0.25">
      <c r="A58" s="10">
        <f>IF($X58="","",42)</f>
        <v>42</v>
      </c>
      <c r="B58" s="10" t="str">
        <f>IF($X58="","",INDEX(Assessment!$A:$A,$X58))</f>
        <v>RH_RT.1.2.2-a</v>
      </c>
      <c r="C58" s="10" t="str">
        <f>IF($X58="","",INDEX(Assessment!$B:$B,$X58))</f>
        <v>BSI TR-03183-1 v1.0.0</v>
      </c>
      <c r="D58" s="10" t="str">
        <f>IF($X58="","",INDEX(Assessment!$C:$C,$X58))</f>
        <v>5.11.3.2.3 Control - RH_RT.1.2.2 Risk Sharing with Users (Activity)</v>
      </c>
      <c r="E58" s="10" t="str">
        <f>IF($X58="","",INDEX(Assessment!$F:$F,$X58))</f>
        <v>Risk sharing</v>
      </c>
      <c r="F58" s="10" t="str">
        <f>IF($X58="","",INDEX(Assessment!$G:$G,$X58))</f>
        <v>High</v>
      </c>
      <c r="G58" s="10" t="str">
        <f>IF($X58="","",INDEX(Assessment!$J:$J,$X58))</f>
        <v>Record the treatment decision per risk (control, sharing, acceptance) and verify the implemented controls.</v>
      </c>
      <c r="H58" s="10" t="str">
        <f>IF($X58="","",INDEX(Assessment!$L:$L,$X58))</f>
        <v>Security Architect</v>
      </c>
      <c r="I58" s="10" t="str">
        <f>IF($X58="","",INDEX(Assessment!$N:$N,$X58))</f>
        <v>M</v>
      </c>
      <c r="X58">
        <f>IF(42&lt;=$B$6,SMALL($Y$2:$Y$593,42),IF(42&lt;=$B$6+$B$7,SMALL($Z$2:$Z$593,42-$B$6),""))</f>
        <v>180</v>
      </c>
      <c r="Y58" t="str">
        <f>IF(Assessment!$G58="Critical",ROW(Assessment!$G58),"")</f>
        <v/>
      </c>
      <c r="Z58" t="str">
        <f>IF(Assessment!$G58="High",ROW(Assessment!$G58),"")</f>
        <v/>
      </c>
    </row>
    <row r="59" spans="1:26" x14ac:dyDescent="0.25">
      <c r="A59" s="10">
        <f>IF($X59="","",43)</f>
        <v>43</v>
      </c>
      <c r="B59" s="10" t="str">
        <f>IF($X59="","",INDEX(Assessment!$A:$A,$X59))</f>
        <v>TR1-152</v>
      </c>
      <c r="C59" s="10" t="str">
        <f>IF($X59="","",INDEX(Assessment!$B:$B,$X59))</f>
        <v>BSI TR-03183-1 v1.0.0</v>
      </c>
      <c r="D59" s="10" t="str">
        <f>IF($X59="","",INDEX(Assessment!$C:$C,$X59))</f>
        <v>5.11.4.1 Implementation and Verification - General</v>
      </c>
      <c r="E59" s="10" t="str">
        <f>IF($X59="","",INDEX(Assessment!$F:$F,$X59))</f>
        <v>Risk treatment</v>
      </c>
      <c r="F59" s="10" t="str">
        <f>IF($X59="","",INDEX(Assessment!$G:$G,$X59))</f>
        <v>High</v>
      </c>
      <c r="G59" s="10" t="str">
        <f>IF($X59="","",INDEX(Assessment!$J:$J,$X59))</f>
        <v>Record the treatment decision per risk (control, sharing, acceptance) and verify the implemented controls.</v>
      </c>
      <c r="H59" s="10" t="str">
        <f>IF($X59="","",INDEX(Assessment!$L:$L,$X59))</f>
        <v>Security Architect</v>
      </c>
      <c r="I59" s="10" t="str">
        <f>IF($X59="","",INDEX(Assessment!$N:$N,$X59))</f>
        <v>M</v>
      </c>
      <c r="X59">
        <f>IF(43&lt;=$B$6,SMALL($Y$2:$Y$593,43),IF(43&lt;=$B$6+$B$7,SMALL($Z$2:$Z$593,43-$B$6),""))</f>
        <v>182</v>
      </c>
      <c r="Y59" t="str">
        <f>IF(Assessment!$G59="Critical",ROW(Assessment!$G59),"")</f>
        <v/>
      </c>
      <c r="Z59" t="str">
        <f>IF(Assessment!$G59="High",ROW(Assessment!$G59),"")</f>
        <v/>
      </c>
    </row>
    <row r="60" spans="1:26" x14ac:dyDescent="0.25">
      <c r="A60" s="10">
        <f>IF($X60="","",44)</f>
        <v>44</v>
      </c>
      <c r="B60" s="10" t="str">
        <f>IF($X60="","",INDEX(Assessment!$A:$A,$X60))</f>
        <v>RH_RT.1.3-b</v>
      </c>
      <c r="C60" s="10" t="str">
        <f>IF($X60="","",INDEX(Assessment!$B:$B,$X60))</f>
        <v>BSI TR-03183-1 v1.0.0</v>
      </c>
      <c r="D60" s="10" t="str">
        <f>IF($X60="","",INDEX(Assessment!$C:$C,$X60))</f>
        <v>5.11.4.3 Control - RH_RT.1.3 Implementation and Verification (Activity)</v>
      </c>
      <c r="E60" s="10" t="str">
        <f>IF($X60="","",INDEX(Assessment!$F:$F,$X60))</f>
        <v>Security testing</v>
      </c>
      <c r="F60" s="10" t="str">
        <f>IF($X60="","",INDEX(Assessment!$G:$G,$X60))</f>
        <v>High</v>
      </c>
      <c r="G60" s="10" t="str">
        <f>IF($X60="","",INDEX(Assessment!$J:$J,$X60))</f>
        <v>Record the treatment decision per risk (control, sharing, acceptance) and verify the implemented controls.</v>
      </c>
      <c r="H60" s="10" t="str">
        <f>IF($X60="","",INDEX(Assessment!$L:$L,$X60))</f>
        <v>Security Architect</v>
      </c>
      <c r="I60" s="10" t="str">
        <f>IF($X60="","",INDEX(Assessment!$N:$N,$X60))</f>
        <v>M</v>
      </c>
      <c r="X60">
        <f>IF(44&lt;=$B$6,SMALL($Y$2:$Y$593,44),IF(44&lt;=$B$6+$B$7,SMALL($Z$2:$Z$593,44-$B$6),""))</f>
        <v>185</v>
      </c>
      <c r="Y60" t="str">
        <f>IF(Assessment!$G60="Critical",ROW(Assessment!$G60),"")</f>
        <v/>
      </c>
      <c r="Z60" t="str">
        <f>IF(Assessment!$G60="High",ROW(Assessment!$G60),"")</f>
        <v/>
      </c>
    </row>
    <row r="61" spans="1:26" x14ac:dyDescent="0.25">
      <c r="A61" s="10">
        <f>IF($X61="","",45)</f>
        <v>45</v>
      </c>
      <c r="B61" s="10" t="str">
        <f>IF($X61="","",INDEX(Assessment!$A:$A,$X61))</f>
        <v>TR1-154-a</v>
      </c>
      <c r="C61" s="10" t="str">
        <f>IF($X61="","",INDEX(Assessment!$B:$B,$X61))</f>
        <v>BSI TR-03183-1 v1.0.0</v>
      </c>
      <c r="D61" s="10" t="str">
        <f>IF($X61="","",INDEX(Assessment!$C:$C,$X61))</f>
        <v>5.12.1 Documentation of the risk assessment - General</v>
      </c>
      <c r="E61" s="10" t="str">
        <f>IF($X61="","",INDEX(Assessment!$F:$F,$X61))</f>
        <v>Risk assessment - documentation</v>
      </c>
      <c r="F61" s="10" t="str">
        <f>IF($X61="","",INDEX(Assessment!$G:$G,$X61))</f>
        <v>High</v>
      </c>
      <c r="G61" s="10" t="str">
        <f>IF($X61="","",INDEX(Assessment!$J:$J,$X61))</f>
        <v>Produce design, risk-assessment and test documents in the agreed templates as part of the definition of done.</v>
      </c>
      <c r="H61" s="10" t="str">
        <f>IF($X61="","",INDEX(Assessment!$L:$L,$X61))</f>
        <v>Development Lead / Security Architect</v>
      </c>
      <c r="I61" s="10" t="str">
        <f>IF($X61="","",INDEX(Assessment!$N:$N,$X61))</f>
        <v>M</v>
      </c>
      <c r="X61">
        <f>IF(45&lt;=$B$6,SMALL($Y$2:$Y$593,45),IF(45&lt;=$B$6+$B$7,SMALL($Z$2:$Z$593,45-$B$6),""))</f>
        <v>186</v>
      </c>
      <c r="Y61" t="str">
        <f>IF(Assessment!$G61="Critical",ROW(Assessment!$G61),"")</f>
        <v/>
      </c>
      <c r="Z61" t="str">
        <f>IF(Assessment!$G61="High",ROW(Assessment!$G61),"")</f>
        <v/>
      </c>
    </row>
    <row r="62" spans="1:26" x14ac:dyDescent="0.25">
      <c r="A62" s="10">
        <f>IF($X62="","",46)</f>
        <v>46</v>
      </c>
      <c r="B62" s="10" t="str">
        <f>IF($X62="","",INDEX(Assessment!$A:$A,$X62))</f>
        <v>RH_DOC.1-b</v>
      </c>
      <c r="C62" s="10" t="str">
        <f>IF($X62="","",INDEX(Assessment!$B:$B,$X62))</f>
        <v>BSI TR-03183-1 v1.0.0</v>
      </c>
      <c r="D62" s="10" t="str">
        <f>IF($X62="","",INDEX(Assessment!$C:$C,$X62))</f>
        <v>5.12.3 Control - RH_DOC.1 Documentation of the risk assessment (Activity)</v>
      </c>
      <c r="E62" s="10" t="str">
        <f>IF($X62="","",INDEX(Assessment!$F:$F,$X62))</f>
        <v>Risk assessment - documentation</v>
      </c>
      <c r="F62" s="10" t="str">
        <f>IF($X62="","",INDEX(Assessment!$G:$G,$X62))</f>
        <v>High</v>
      </c>
      <c r="G62" s="10" t="str">
        <f>IF($X62="","",INDEX(Assessment!$J:$J,$X62))</f>
        <v>Embed this step in a documented risk-assessment method and template (e.g. TR-1 chapter 5, ISO/IEC 27005, IEC 62443-3-2) used for every solution and reusable component.</v>
      </c>
      <c r="H62" s="10" t="str">
        <f>IF($X62="","",INDEX(Assessment!$L:$L,$X62))</f>
        <v>Security Architect</v>
      </c>
      <c r="I62" s="10" t="str">
        <f>IF($X62="","",INDEX(Assessment!$N:$N,$X62))</f>
        <v>M</v>
      </c>
      <c r="X62">
        <f>IF(46&lt;=$B$6,SMALL($Y$2:$Y$593,46),IF(46&lt;=$B$6+$B$7,SMALL($Z$2:$Z$593,46-$B$6),""))</f>
        <v>190</v>
      </c>
      <c r="Y62" t="str">
        <f>IF(Assessment!$G62="Critical",ROW(Assessment!$G62),"")</f>
        <v/>
      </c>
      <c r="Z62" t="str">
        <f>IF(Assessment!$G62="High",ROW(Assessment!$G62),"")</f>
        <v/>
      </c>
    </row>
    <row r="63" spans="1:26" x14ac:dyDescent="0.25">
      <c r="A63" s="10">
        <f>IF($X63="","",47)</f>
        <v>47</v>
      </c>
      <c r="B63" s="10" t="str">
        <f>IF($X63="","",INDEX(Assessment!$A:$A,$X63))</f>
        <v>RH_UPD.1-a</v>
      </c>
      <c r="C63" s="10" t="str">
        <f>IF($X63="","",INDEX(Assessment!$B:$B,$X63))</f>
        <v>BSI TR-03183-1 v1.0.0</v>
      </c>
      <c r="D63" s="10" t="str">
        <f>IF($X63="","",INDEX(Assessment!$C:$C,$X63))</f>
        <v>5.13.3 Control - RH_UPD.1 Update Risk Assessment (Activity)</v>
      </c>
      <c r="E63" s="10" t="str">
        <f>IF($X63="","",INDEX(Assessment!$F:$F,$X63))</f>
        <v>Risk assessment - update</v>
      </c>
      <c r="F63" s="10" t="str">
        <f>IF($X63="","",INDEX(Assessment!$G:$G,$X63))</f>
        <v>High</v>
      </c>
      <c r="G63" s="10" t="str">
        <f>IF($X63="","",INDEX(Assessment!$J:$J,$X63))</f>
        <v>Embed this step in a documented risk-assessment method and template (e.g. TR-1 chapter 5, ISO/IEC 27005, IEC 62443-3-2) used for every solution and reusable component.</v>
      </c>
      <c r="H63" s="10" t="str">
        <f>IF($X63="","",INDEX(Assessment!$L:$L,$X63))</f>
        <v>Security Architect</v>
      </c>
      <c r="I63" s="10" t="str">
        <f>IF($X63="","",INDEX(Assessment!$N:$N,$X63))</f>
        <v>M</v>
      </c>
      <c r="X63">
        <f>IF(47&lt;=$B$6,SMALL($Y$2:$Y$593,47),IF(47&lt;=$B$6+$B$7,SMALL($Z$2:$Z$593,47-$B$6),""))</f>
        <v>196</v>
      </c>
      <c r="Y63" t="str">
        <f>IF(Assessment!$G63="Critical",ROW(Assessment!$G63),"")</f>
        <v/>
      </c>
      <c r="Z63">
        <f>IF(Assessment!$G63="High",ROW(Assessment!$G63),"")</f>
        <v>63</v>
      </c>
    </row>
    <row r="64" spans="1:26" x14ac:dyDescent="0.25">
      <c r="A64" s="10">
        <f>IF($X64="","",48)</f>
        <v>48</v>
      </c>
      <c r="B64" s="10" t="str">
        <f>IF($X64="","",INDEX(Assessment!$A:$A,$X64))</f>
        <v>RH_UPD.1-b</v>
      </c>
      <c r="C64" s="10" t="str">
        <f>IF($X64="","",INDEX(Assessment!$B:$B,$X64))</f>
        <v>BSI TR-03183-1 v1.0.0</v>
      </c>
      <c r="D64" s="10" t="str">
        <f>IF($X64="","",INDEX(Assessment!$C:$C,$X64))</f>
        <v>5.13.3 Control - RH_UPD.1 Update Risk Assessment (Activity)</v>
      </c>
      <c r="E64" s="10" t="str">
        <f>IF($X64="","",INDEX(Assessment!$F:$F,$X64))</f>
        <v>Risk treatment</v>
      </c>
      <c r="F64" s="10" t="str">
        <f>IF($X64="","",INDEX(Assessment!$G:$G,$X64))</f>
        <v>High</v>
      </c>
      <c r="G64" s="10" t="str">
        <f>IF($X64="","",INDEX(Assessment!$J:$J,$X64))</f>
        <v>Record the treatment decision per risk (control, sharing, acceptance) and verify the implemented controls.</v>
      </c>
      <c r="H64" s="10" t="str">
        <f>IF($X64="","",INDEX(Assessment!$L:$L,$X64))</f>
        <v>Security Architect</v>
      </c>
      <c r="I64" s="10" t="str">
        <f>IF($X64="","",INDEX(Assessment!$N:$N,$X64))</f>
        <v>M</v>
      </c>
      <c r="X64">
        <f>IF(48&lt;=$B$6,SMALL($Y$2:$Y$593,48),IF(48&lt;=$B$6+$B$7,SMALL($Z$2:$Z$593,48-$B$6),""))</f>
        <v>197</v>
      </c>
      <c r="Y64" t="str">
        <f>IF(Assessment!$G64="Critical",ROW(Assessment!$G64),"")</f>
        <v/>
      </c>
      <c r="Z64" t="str">
        <f>IF(Assessment!$G64="High",ROW(Assessment!$G64),"")</f>
        <v/>
      </c>
    </row>
    <row r="65" spans="1:26" x14ac:dyDescent="0.25">
      <c r="A65" s="10">
        <f>IF($X65="","",49)</f>
        <v>49</v>
      </c>
      <c r="B65" s="10" t="str">
        <f>IF($X65="","",INDEX(Assessment!$A:$A,$X65))</f>
        <v>ER.3a</v>
      </c>
      <c r="C65" s="10" t="str">
        <f>IF($X65="","",INDEX(Assessment!$B:$B,$X65))</f>
        <v>BSI TR-03183-1 v1.0.0</v>
      </c>
      <c r="D65" s="10" t="str">
        <f>IF($X65="","",INDEX(Assessment!$C:$C,$X65))</f>
        <v>Annex B Table 9 (CRA Annex I Part I (2)(b)); text also in 3.9</v>
      </c>
      <c r="E65" s="10" t="str">
        <f>IF($X65="","",INDEX(Assessment!$F:$F,$X65))</f>
        <v>Essential requirements - reset to original state</v>
      </c>
      <c r="F65" s="10" t="str">
        <f>IF($X65="","",INDEX(Assessment!$G:$G,$X65))</f>
        <v>High</v>
      </c>
      <c r="G65" s="10" t="str">
        <f>IF($X65="","",INDEX(Assessment!$J:$J,$X65))</f>
        <v>Implement the requirement where applicable, record the design decision and test evidence, otherwise justify non-applicability in the applicability statement.</v>
      </c>
      <c r="H65" s="10" t="str">
        <f>IF($X65="","",INDEX(Assessment!$L:$L,$X65))</f>
        <v>Security Architect / Development Lead</v>
      </c>
      <c r="I65" s="10" t="str">
        <f>IF($X65="","",INDEX(Assessment!$N:$N,$X65))</f>
        <v>M</v>
      </c>
      <c r="X65">
        <f>IF(49&lt;=$B$6,SMALL($Y$2:$Y$593,49),IF(49&lt;=$B$6+$B$7,SMALL($Z$2:$Z$593,49-$B$6),""))</f>
        <v>233</v>
      </c>
      <c r="Y65" t="str">
        <f>IF(Assessment!$G65="Critical",ROW(Assessment!$G65),"")</f>
        <v/>
      </c>
      <c r="Z65" t="str">
        <f>IF(Assessment!$G65="High",ROW(Assessment!$G65),"")</f>
        <v/>
      </c>
    </row>
    <row r="66" spans="1:26" x14ac:dyDescent="0.25">
      <c r="A66" s="10">
        <f>IF($X66="","",50)</f>
        <v>50</v>
      </c>
      <c r="B66" s="10" t="str">
        <f>IF($X66="","",INDEX(Assessment!$A:$A,$X66))</f>
        <v>ER.4a</v>
      </c>
      <c r="C66" s="10" t="str">
        <f>IF($X66="","",INDEX(Assessment!$B:$B,$X66))</f>
        <v>BSI TR-03183-1 v1.0.0</v>
      </c>
      <c r="D66" s="10" t="str">
        <f>IF($X66="","",INDEX(Assessment!$C:$C,$X66))</f>
        <v>Annex B Table 9 (CRA Annex I Part I (2)(c)); text also in 3.9</v>
      </c>
      <c r="E66" s="10" t="str">
        <f>IF($X66="","",INDEX(Assessment!$F:$F,$X66))</f>
        <v>Essential requirements - security updates</v>
      </c>
      <c r="F66" s="10" t="str">
        <f>IF($X66="","",INDEX(Assessment!$G:$G,$X66))</f>
        <v>High</v>
      </c>
      <c r="G66" s="10" t="str">
        <f>IF($X66="","",INDEX(Assessment!$J:$J,$X66))</f>
        <v>Design and implement the update mechanism with integrity protection, notification and deferral; justify non-applicable parts (e.g. automatic installation in change-controlled sites).</v>
      </c>
      <c r="H66" s="10" t="str">
        <f>IF($X66="","",INDEX(Assessment!$L:$L,$X66))</f>
        <v>Software Architect</v>
      </c>
      <c r="I66" s="10" t="str">
        <f>IF($X66="","",INDEX(Assessment!$N:$N,$X66))</f>
        <v>M</v>
      </c>
      <c r="X66">
        <f>IF(50&lt;=$B$6,SMALL($Y$2:$Y$593,50),IF(50&lt;=$B$6+$B$7,SMALL($Z$2:$Z$593,50-$B$6),""))</f>
        <v>235</v>
      </c>
      <c r="Y66" t="str">
        <f>IF(Assessment!$G66="Critical",ROW(Assessment!$G66),"")</f>
        <v/>
      </c>
      <c r="Z66" t="str">
        <f>IF(Assessment!$G66="High",ROW(Assessment!$G66),"")</f>
        <v/>
      </c>
    </row>
    <row r="67" spans="1:26" x14ac:dyDescent="0.25">
      <c r="A67" s="10">
        <f>IF($X67="","",51)</f>
        <v>51</v>
      </c>
      <c r="B67" s="10" t="str">
        <f>IF($X67="","",INDEX(Assessment!$A:$A,$X67))</f>
        <v>ER.5</v>
      </c>
      <c r="C67" s="10" t="str">
        <f>IF($X67="","",INDEX(Assessment!$B:$B,$X67))</f>
        <v>BSI TR-03183-1 v1.0.0</v>
      </c>
      <c r="D67" s="10" t="str">
        <f>IF($X67="","",INDEX(Assessment!$C:$C,$X67))</f>
        <v>Annex B Table 9 (CRA Annex I Part I (2)(d)); text also in 3.9</v>
      </c>
      <c r="E67" s="10" t="str">
        <f>IF($X67="","",INDEX(Assessment!$F:$F,$X67))</f>
        <v>Essential requirements - access control</v>
      </c>
      <c r="F67" s="10" t="str">
        <f>IF($X67="","",INDEX(Assessment!$G:$G,$X67))</f>
        <v>High</v>
      </c>
      <c r="G67" s="10" t="str">
        <f>IF($X67="","",INDEX(Assessment!$J:$J,$X67))</f>
        <v>Implement the requirement where applicable, record the design decision and test evidence, otherwise justify non-applicability in the applicability statement.</v>
      </c>
      <c r="H67" s="10" t="str">
        <f>IF($X67="","",INDEX(Assessment!$L:$L,$X67))</f>
        <v>Security Architect / Development Lead</v>
      </c>
      <c r="I67" s="10" t="str">
        <f>IF($X67="","",INDEX(Assessment!$N:$N,$X67))</f>
        <v>M</v>
      </c>
      <c r="X67">
        <f>IF(51&lt;=$B$6,SMALL($Y$2:$Y$593,51),IF(51&lt;=$B$6+$B$7,SMALL($Z$2:$Z$593,51-$B$6),""))</f>
        <v>239</v>
      </c>
      <c r="Y67" t="str">
        <f>IF(Assessment!$G67="Critical",ROW(Assessment!$G67),"")</f>
        <v/>
      </c>
      <c r="Z67" t="str">
        <f>IF(Assessment!$G67="High",ROW(Assessment!$G67),"")</f>
        <v/>
      </c>
    </row>
    <row r="68" spans="1:26" x14ac:dyDescent="0.25">
      <c r="A68" s="10">
        <f>IF($X68="","",52)</f>
        <v>52</v>
      </c>
      <c r="B68" s="10" t="str">
        <f>IF($X68="","",INDEX(Assessment!$A:$A,$X68))</f>
        <v>ER.5a</v>
      </c>
      <c r="C68" s="10" t="str">
        <f>IF($X68="","",INDEX(Assessment!$B:$B,$X68))</f>
        <v>BSI TR-03183-1 v1.0.0</v>
      </c>
      <c r="D68" s="10" t="str">
        <f>IF($X68="","",INDEX(Assessment!$C:$C,$X68))</f>
        <v>Annex B Table 9 (CRA Annex I Part I (2)(d)); text also in 3.9</v>
      </c>
      <c r="E68" s="10" t="str">
        <f>IF($X68="","",INDEX(Assessment!$F:$F,$X68))</f>
        <v>Essential requirements - access control</v>
      </c>
      <c r="F68" s="10" t="str">
        <f>IF($X68="","",INDEX(Assessment!$G:$G,$X68))</f>
        <v>High</v>
      </c>
      <c r="G68" s="10" t="str">
        <f>IF($X68="","",INDEX(Assessment!$J:$J,$X68))</f>
        <v>Implement the requirement where applicable, record the design decision and test evidence, otherwise justify non-applicability in the applicability statement.</v>
      </c>
      <c r="H68" s="10" t="str">
        <f>IF($X68="","",INDEX(Assessment!$L:$L,$X68))</f>
        <v>Security Architect / Development Lead</v>
      </c>
      <c r="I68" s="10" t="str">
        <f>IF($X68="","",INDEX(Assessment!$N:$N,$X68))</f>
        <v>M</v>
      </c>
      <c r="X68">
        <f>IF(52&lt;=$B$6,SMALL($Y$2:$Y$593,52),IF(52&lt;=$B$6+$B$7,SMALL($Z$2:$Z$593,52-$B$6),""))</f>
        <v>240</v>
      </c>
      <c r="Y68" t="str">
        <f>IF(Assessment!$G68="Critical",ROW(Assessment!$G68),"")</f>
        <v/>
      </c>
      <c r="Z68" t="str">
        <f>IF(Assessment!$G68="High",ROW(Assessment!$G68),"")</f>
        <v/>
      </c>
    </row>
    <row r="69" spans="1:26" x14ac:dyDescent="0.25">
      <c r="A69" s="10">
        <f>IF($X69="","",53)</f>
        <v>53</v>
      </c>
      <c r="B69" s="10" t="str">
        <f>IF($X69="","",INDEX(Assessment!$A:$A,$X69))</f>
        <v>ER.5b</v>
      </c>
      <c r="C69" s="10" t="str">
        <f>IF($X69="","",INDEX(Assessment!$B:$B,$X69))</f>
        <v>BSI TR-03183-1 v1.0.0</v>
      </c>
      <c r="D69" s="10" t="str">
        <f>IF($X69="","",INDEX(Assessment!$C:$C,$X69))</f>
        <v>Annex B Table 9 (CRA Annex I Part I (2)(d)); text also in 3.9</v>
      </c>
      <c r="E69" s="10" t="str">
        <f>IF($X69="","",INDEX(Assessment!$F:$F,$X69))</f>
        <v>Essential requirements - access control</v>
      </c>
      <c r="F69" s="10" t="str">
        <f>IF($X69="","",INDEX(Assessment!$G:$G,$X69))</f>
        <v>High</v>
      </c>
      <c r="G69" s="10" t="str">
        <f>IF($X69="","",INDEX(Assessment!$J:$J,$X69))</f>
        <v>Implement the requirement where applicable, record the design decision and test evidence, otherwise justify non-applicability in the applicability statement.</v>
      </c>
      <c r="H69" s="10" t="str">
        <f>IF($X69="","",INDEX(Assessment!$L:$L,$X69))</f>
        <v>Security Architect / Development Lead</v>
      </c>
      <c r="I69" s="10" t="str">
        <f>IF($X69="","",INDEX(Assessment!$N:$N,$X69))</f>
        <v>M</v>
      </c>
      <c r="X69">
        <f>IF(53&lt;=$B$6,SMALL($Y$2:$Y$593,53),IF(53&lt;=$B$6+$B$7,SMALL($Z$2:$Z$593,53-$B$6),""))</f>
        <v>241</v>
      </c>
      <c r="Y69" t="str">
        <f>IF(Assessment!$G69="Critical",ROW(Assessment!$G69),"")</f>
        <v/>
      </c>
      <c r="Z69" t="str">
        <f>IF(Assessment!$G69="High",ROW(Assessment!$G69),"")</f>
        <v/>
      </c>
    </row>
    <row r="70" spans="1:26" x14ac:dyDescent="0.25">
      <c r="A70" s="10">
        <f>IF($X70="","",54)</f>
        <v>54</v>
      </c>
      <c r="B70" s="10" t="str">
        <f>IF($X70="","",INDEX(Assessment!$A:$A,$X70))</f>
        <v>ER.6</v>
      </c>
      <c r="C70" s="10" t="str">
        <f>IF($X70="","",INDEX(Assessment!$B:$B,$X70))</f>
        <v>BSI TR-03183-1 v1.0.0</v>
      </c>
      <c r="D70" s="10" t="str">
        <f>IF($X70="","",INDEX(Assessment!$C:$C,$X70))</f>
        <v>Annex B Table 9 (CRA Annex I Part I (2)(e)); text also in 3.9</v>
      </c>
      <c r="E70" s="10" t="str">
        <f>IF($X70="","",INDEX(Assessment!$F:$F,$X70))</f>
        <v>Essential requirements - confidentiality</v>
      </c>
      <c r="F70" s="10" t="str">
        <f>IF($X70="","",INDEX(Assessment!$G:$G,$X70))</f>
        <v>High</v>
      </c>
      <c r="G70" s="10" t="str">
        <f>IF($X70="","",INDEX(Assessment!$J:$J,$X70))</f>
        <v>Design, implement and test the protection; record it in the applicability statement.</v>
      </c>
      <c r="H70" s="10" t="str">
        <f>IF($X70="","",INDEX(Assessment!$L:$L,$X70))</f>
        <v>Security Architect</v>
      </c>
      <c r="I70" s="10" t="str">
        <f>IF($X70="","",INDEX(Assessment!$N:$N,$X70))</f>
        <v>M</v>
      </c>
      <c r="X70">
        <f>IF(54&lt;=$B$6,SMALL($Y$2:$Y$593,54),IF(54&lt;=$B$6+$B$7,SMALL($Z$2:$Z$593,54-$B$6),""))</f>
        <v>242</v>
      </c>
      <c r="Y70" t="str">
        <f>IF(Assessment!$G70="Critical",ROW(Assessment!$G70),"")</f>
        <v/>
      </c>
      <c r="Z70" t="str">
        <f>IF(Assessment!$G70="High",ROW(Assessment!$G70),"")</f>
        <v/>
      </c>
    </row>
    <row r="71" spans="1:26" x14ac:dyDescent="0.25">
      <c r="A71" s="10">
        <f>IF($X71="","",55)</f>
        <v>55</v>
      </c>
      <c r="B71" s="10" t="str">
        <f>IF($X71="","",INDEX(Assessment!$A:$A,$X71))</f>
        <v>ER.7-a</v>
      </c>
      <c r="C71" s="10" t="str">
        <f>IF($X71="","",INDEX(Assessment!$B:$B,$X71))</f>
        <v>BSI TR-03183-1 v1.0.0</v>
      </c>
      <c r="D71" s="10" t="str">
        <f>IF($X71="","",INDEX(Assessment!$C:$C,$X71))</f>
        <v>Annex B Table 9 (CRA Annex I Part I (2)(f)); text also in 3.9</v>
      </c>
      <c r="E71" s="10" t="str">
        <f>IF($X71="","",INDEX(Assessment!$F:$F,$X71))</f>
        <v>Essential requirements - integrity</v>
      </c>
      <c r="F71" s="10" t="str">
        <f>IF($X71="","",INDEX(Assessment!$G:$G,$X71))</f>
        <v>High</v>
      </c>
      <c r="G71" s="10" t="str">
        <f>IF($X71="","",INDEX(Assessment!$J:$J,$X71))</f>
        <v>Design, implement and test the protection; record it in the applicability statement.</v>
      </c>
      <c r="H71" s="10" t="str">
        <f>IF($X71="","",INDEX(Assessment!$L:$L,$X71))</f>
        <v>Security Architect</v>
      </c>
      <c r="I71" s="10" t="str">
        <f>IF($X71="","",INDEX(Assessment!$N:$N,$X71))</f>
        <v>M</v>
      </c>
      <c r="X71">
        <f>IF(55&lt;=$B$6,SMALL($Y$2:$Y$593,55),IF(55&lt;=$B$6+$B$7,SMALL($Z$2:$Z$593,55-$B$6),""))</f>
        <v>243</v>
      </c>
      <c r="Y71" t="str">
        <f>IF(Assessment!$G71="Critical",ROW(Assessment!$G71),"")</f>
        <v/>
      </c>
      <c r="Z71" t="str">
        <f>IF(Assessment!$G71="High",ROW(Assessment!$G71),"")</f>
        <v/>
      </c>
    </row>
    <row r="72" spans="1:26" x14ac:dyDescent="0.25">
      <c r="A72" s="10">
        <f>IF($X72="","",56)</f>
        <v>56</v>
      </c>
      <c r="B72" s="10" t="str">
        <f>IF($X72="","",INDEX(Assessment!$A:$A,$X72))</f>
        <v>TR1-192</v>
      </c>
      <c r="C72" s="10" t="str">
        <f>IF($X72="","",INDEX(Assessment!$B:$B,$X72))</f>
        <v>BSI TR-03183-1 v1.0.0</v>
      </c>
      <c r="D72" s="10" t="str">
        <f>IF($X72="","",INDEX(Assessment!$C:$C,$X72))</f>
        <v>3.9 The Essential Requirements (CRA Annex I Part I (2)(g)); not listed in Annex B</v>
      </c>
      <c r="E72" s="10" t="str">
        <f>IF($X72="","",INDEX(Assessment!$F:$F,$X72))</f>
        <v>Essential requirements - data minimisation</v>
      </c>
      <c r="F72" s="10" t="str">
        <f>IF($X72="","",INDEX(Assessment!$G:$G,$X72))</f>
        <v>High</v>
      </c>
      <c r="G72" s="10" t="str">
        <f>IF($X72="","",INDEX(Assessment!$J:$J,$X72))</f>
        <v>Design, implement and test the protection; record it in the applicability statement.</v>
      </c>
      <c r="H72" s="10" t="str">
        <f>IF($X72="","",INDEX(Assessment!$L:$L,$X72))</f>
        <v>Security Architect</v>
      </c>
      <c r="I72" s="10" t="str">
        <f>IF($X72="","",INDEX(Assessment!$N:$N,$X72))</f>
        <v>M</v>
      </c>
      <c r="X72">
        <f>IF(56&lt;=$B$6,SMALL($Y$2:$Y$593,56),IF(56&lt;=$B$6+$B$7,SMALL($Z$2:$Z$593,56-$B$6),""))</f>
        <v>245</v>
      </c>
      <c r="Y72" t="str">
        <f>IF(Assessment!$G72="Critical",ROW(Assessment!$G72),"")</f>
        <v/>
      </c>
      <c r="Z72" t="str">
        <f>IF(Assessment!$G72="High",ROW(Assessment!$G72),"")</f>
        <v/>
      </c>
    </row>
    <row r="73" spans="1:26" x14ac:dyDescent="0.25">
      <c r="A73" s="10">
        <f>IF($X73="","",57)</f>
        <v>57</v>
      </c>
      <c r="B73" s="10" t="str">
        <f>IF($X73="","",INDEX(Assessment!$A:$A,$X73))</f>
        <v>ER.9</v>
      </c>
      <c r="C73" s="10" t="str">
        <f>IF($X73="","",INDEX(Assessment!$B:$B,$X73))</f>
        <v>BSI TR-03183-1 v1.0.0</v>
      </c>
      <c r="D73" s="10" t="str">
        <f>IF($X73="","",INDEX(Assessment!$C:$C,$X73))</f>
        <v>Annex B Table 9 (CRA Annex I Part I (2)(h)); text also in 3.9</v>
      </c>
      <c r="E73" s="10" t="str">
        <f>IF($X73="","",INDEX(Assessment!$F:$F,$X73))</f>
        <v>Essential requirements - availability &amp; resilience</v>
      </c>
      <c r="F73" s="10" t="str">
        <f>IF($X73="","",INDEX(Assessment!$G:$G,$X73))</f>
        <v>High</v>
      </c>
      <c r="G73" s="10" t="str">
        <f>IF($X73="","",INDEX(Assessment!$J:$J,$X73))</f>
        <v>Implement the requirement where applicable, record the design decision and test evidence, otherwise justify non-applicability in the applicability statement.</v>
      </c>
      <c r="H73" s="10" t="str">
        <f>IF($X73="","",INDEX(Assessment!$L:$L,$X73))</f>
        <v>Security Architect / Development Lead</v>
      </c>
      <c r="I73" s="10" t="str">
        <f>IF($X73="","",INDEX(Assessment!$N:$N,$X73))</f>
        <v>M</v>
      </c>
      <c r="X73">
        <f>IF(57&lt;=$B$6,SMALL($Y$2:$Y$593,57),IF(57&lt;=$B$6+$B$7,SMALL($Z$2:$Z$593,57-$B$6),""))</f>
        <v>246</v>
      </c>
      <c r="Y73" t="str">
        <f>IF(Assessment!$G73="Critical",ROW(Assessment!$G73),"")</f>
        <v/>
      </c>
      <c r="Z73" t="str">
        <f>IF(Assessment!$G73="High",ROW(Assessment!$G73),"")</f>
        <v/>
      </c>
    </row>
    <row r="74" spans="1:26" x14ac:dyDescent="0.25">
      <c r="A74" s="10">
        <f>IF($X74="","",58)</f>
        <v>58</v>
      </c>
      <c r="B74" s="10" t="str">
        <f>IF($X74="","",INDEX(Assessment!$A:$A,$X74))</f>
        <v>ER.9a</v>
      </c>
      <c r="C74" s="10" t="str">
        <f>IF($X74="","",INDEX(Assessment!$B:$B,$X74))</f>
        <v>BSI TR-03183-1 v1.0.0</v>
      </c>
      <c r="D74" s="10" t="str">
        <f>IF($X74="","",INDEX(Assessment!$C:$C,$X74))</f>
        <v>Annex B Table 9 (CRA Annex I Part I (2)(h)); text also in 3.9</v>
      </c>
      <c r="E74" s="10" t="str">
        <f>IF($X74="","",INDEX(Assessment!$F:$F,$X74))</f>
        <v>Essential requirements - availability &amp; resilience</v>
      </c>
      <c r="F74" s="10" t="str">
        <f>IF($X74="","",INDEX(Assessment!$G:$G,$X74))</f>
        <v>High</v>
      </c>
      <c r="G74" s="10" t="str">
        <f>IF($X74="","",INDEX(Assessment!$J:$J,$X74))</f>
        <v>Implement the requirement where applicable, record the design decision and test evidence, otherwise justify non-applicability in the applicability statement.</v>
      </c>
      <c r="H74" s="10" t="str">
        <f>IF($X74="","",INDEX(Assessment!$L:$L,$X74))</f>
        <v>Security Architect / Development Lead</v>
      </c>
      <c r="I74" s="10" t="str">
        <f>IF($X74="","",INDEX(Assessment!$N:$N,$X74))</f>
        <v>M</v>
      </c>
      <c r="X74">
        <f>IF(58&lt;=$B$6,SMALL($Y$2:$Y$593,58),IF(58&lt;=$B$6+$B$7,SMALL($Z$2:$Z$593,58-$B$6),""))</f>
        <v>247</v>
      </c>
      <c r="Y74" t="str">
        <f>IF(Assessment!$G74="Critical",ROW(Assessment!$G74),"")</f>
        <v/>
      </c>
      <c r="Z74" t="str">
        <f>IF(Assessment!$G74="High",ROW(Assessment!$G74),"")</f>
        <v/>
      </c>
    </row>
    <row r="75" spans="1:26" x14ac:dyDescent="0.25">
      <c r="A75" s="10">
        <f>IF($X75="","",59)</f>
        <v>59</v>
      </c>
      <c r="B75" s="10" t="str">
        <f>IF($X75="","",INDEX(Assessment!$A:$A,$X75))</f>
        <v>ER.11</v>
      </c>
      <c r="C75" s="10" t="str">
        <f>IF($X75="","",INDEX(Assessment!$B:$B,$X75))</f>
        <v>BSI TR-03183-1 v1.0.0</v>
      </c>
      <c r="D75" s="10" t="str">
        <f>IF($X75="","",INDEX(Assessment!$C:$C,$X75))</f>
        <v>Annex B Table 9 (CRA Annex I Part I (2)(j)); text also in 3.9</v>
      </c>
      <c r="E75" s="10" t="str">
        <f>IF($X75="","",INDEX(Assessment!$F:$F,$X75))</f>
        <v>Essential requirements - attack surface</v>
      </c>
      <c r="F75" s="10" t="str">
        <f>IF($X75="","",INDEX(Assessment!$G:$G,$X75))</f>
        <v>High</v>
      </c>
      <c r="G75" s="10" t="str">
        <f>IF($X75="","",INDEX(Assessment!$J:$J,$X75))</f>
        <v>Implement the requirement where applicable, record the design decision and test evidence, otherwise justify non-applicability in the applicability statement.</v>
      </c>
      <c r="H75" s="10" t="str">
        <f>IF($X75="","",INDEX(Assessment!$L:$L,$X75))</f>
        <v>Security Architect / Development Lead</v>
      </c>
      <c r="I75" s="10" t="str">
        <f>IF($X75="","",INDEX(Assessment!$N:$N,$X75))</f>
        <v>M</v>
      </c>
      <c r="X75">
        <f>IF(59&lt;=$B$6,SMALL($Y$2:$Y$593,59),IF(59&lt;=$B$6+$B$7,SMALL($Z$2:$Z$593,59-$B$6),""))</f>
        <v>249</v>
      </c>
      <c r="Y75" t="str">
        <f>IF(Assessment!$G75="Critical",ROW(Assessment!$G75),"")</f>
        <v/>
      </c>
      <c r="Z75" t="str">
        <f>IF(Assessment!$G75="High",ROW(Assessment!$G75),"")</f>
        <v/>
      </c>
    </row>
    <row r="76" spans="1:26" x14ac:dyDescent="0.25">
      <c r="A76" s="10">
        <f>IF($X76="","",60)</f>
        <v>60</v>
      </c>
      <c r="B76" s="10" t="str">
        <f>IF($X76="","",INDEX(Assessment!$A:$A,$X76))</f>
        <v>ER.11a</v>
      </c>
      <c r="C76" s="10" t="str">
        <f>IF($X76="","",INDEX(Assessment!$B:$B,$X76))</f>
        <v>BSI TR-03183-1 v1.0.0</v>
      </c>
      <c r="D76" s="10" t="str">
        <f>IF($X76="","",INDEX(Assessment!$C:$C,$X76))</f>
        <v>Annex B Table 9 (CRA Annex I Part I (2)(j)); text also in 3.9</v>
      </c>
      <c r="E76" s="10" t="str">
        <f>IF($X76="","",INDEX(Assessment!$F:$F,$X76))</f>
        <v>Essential requirements - attack surface</v>
      </c>
      <c r="F76" s="10" t="str">
        <f>IF($X76="","",INDEX(Assessment!$G:$G,$X76))</f>
        <v>High</v>
      </c>
      <c r="G76" s="10" t="str">
        <f>IF($X76="","",INDEX(Assessment!$J:$J,$X76))</f>
        <v>Implement the requirement where applicable, record the design decision and test evidence, otherwise justify non-applicability in the applicability statement.</v>
      </c>
      <c r="H76" s="10" t="str">
        <f>IF($X76="","",INDEX(Assessment!$L:$L,$X76))</f>
        <v>Security Architect / Development Lead</v>
      </c>
      <c r="I76" s="10" t="str">
        <f>IF($X76="","",INDEX(Assessment!$N:$N,$X76))</f>
        <v>M</v>
      </c>
      <c r="X76">
        <f>IF(60&lt;=$B$6,SMALL($Y$2:$Y$593,60),IF(60&lt;=$B$6+$B$7,SMALL($Z$2:$Z$593,60-$B$6),""))</f>
        <v>250</v>
      </c>
      <c r="Y76" t="str">
        <f>IF(Assessment!$G76="Critical",ROW(Assessment!$G76),"")</f>
        <v/>
      </c>
      <c r="Z76">
        <f>IF(Assessment!$G76="High",ROW(Assessment!$G76),"")</f>
        <v>76</v>
      </c>
    </row>
    <row r="77" spans="1:26" x14ac:dyDescent="0.25">
      <c r="A77" s="10">
        <f>IF($X77="","",61)</f>
        <v>61</v>
      </c>
      <c r="B77" s="10" t="str">
        <f>IF($X77="","",INDEX(Assessment!$A:$A,$X77))</f>
        <v>ER.12</v>
      </c>
      <c r="C77" s="10" t="str">
        <f>IF($X77="","",INDEX(Assessment!$B:$B,$X77))</f>
        <v>BSI TR-03183-1 v1.0.0</v>
      </c>
      <c r="D77" s="10" t="str">
        <f>IF($X77="","",INDEX(Assessment!$C:$C,$X77))</f>
        <v>Annex B Table 9 (CRA Annex I Part I (2)(k)); text also in 3.9</v>
      </c>
      <c r="E77" s="10" t="str">
        <f>IF($X77="","",INDEX(Assessment!$F:$F,$X77))</f>
        <v>Essential requirements - exploit mitigation</v>
      </c>
      <c r="F77" s="10" t="str">
        <f>IF($X77="","",INDEX(Assessment!$G:$G,$X77))</f>
        <v>High</v>
      </c>
      <c r="G77" s="10" t="str">
        <f>IF($X77="","",INDEX(Assessment!$J:$J,$X77))</f>
        <v>Implement the requirement where applicable, record the design decision and test evidence, otherwise justify non-applicability in the applicability statement.</v>
      </c>
      <c r="H77" s="10" t="str">
        <f>IF($X77="","",INDEX(Assessment!$L:$L,$X77))</f>
        <v>Security Architect / Development Lead</v>
      </c>
      <c r="I77" s="10" t="str">
        <f>IF($X77="","",INDEX(Assessment!$N:$N,$X77))</f>
        <v>M</v>
      </c>
      <c r="X77">
        <f>IF(61&lt;=$B$6,SMALL($Y$2:$Y$593,61),IF(61&lt;=$B$6+$B$7,SMALL($Z$2:$Z$593,61-$B$6),""))</f>
        <v>251</v>
      </c>
      <c r="Y77" t="str">
        <f>IF(Assessment!$G77="Critical",ROW(Assessment!$G77),"")</f>
        <v/>
      </c>
      <c r="Z77" t="str">
        <f>IF(Assessment!$G77="High",ROW(Assessment!$G77),"")</f>
        <v/>
      </c>
    </row>
    <row r="78" spans="1:26" x14ac:dyDescent="0.25">
      <c r="A78" s="10">
        <f>IF($X78="","",62)</f>
        <v>62</v>
      </c>
      <c r="B78" s="10" t="str">
        <f>IF($X78="","",INDEX(Assessment!$A:$A,$X78))</f>
        <v>ER.13</v>
      </c>
      <c r="C78" s="10" t="str">
        <f>IF($X78="","",INDEX(Assessment!$B:$B,$X78))</f>
        <v>BSI TR-03183-1 v1.0.0</v>
      </c>
      <c r="D78" s="10" t="str">
        <f>IF($X78="","",INDEX(Assessment!$C:$C,$X78))</f>
        <v>Annex B Table 9 (CRA Annex I Part I (2)(l)); text also in 3.9</v>
      </c>
      <c r="E78" s="10" t="str">
        <f>IF($X78="","",INDEX(Assessment!$F:$F,$X78))</f>
        <v>Essential requirements - security logging</v>
      </c>
      <c r="F78" s="10" t="str">
        <f>IF($X78="","",INDEX(Assessment!$G:$G,$X78))</f>
        <v>High</v>
      </c>
      <c r="G78" s="10" t="str">
        <f>IF($X78="","",INDEX(Assessment!$J:$J,$X78))</f>
        <v>Implement the requirement where applicable, record the design decision and test evidence, otherwise justify non-applicability in the applicability statement.</v>
      </c>
      <c r="H78" s="10" t="str">
        <f>IF($X78="","",INDEX(Assessment!$L:$L,$X78))</f>
        <v>Security Architect / Development Lead</v>
      </c>
      <c r="I78" s="10" t="str">
        <f>IF($X78="","",INDEX(Assessment!$N:$N,$X78))</f>
        <v>M</v>
      </c>
      <c r="X78">
        <f>IF(62&lt;=$B$6,SMALL($Y$2:$Y$593,62),IF(62&lt;=$B$6+$B$7,SMALL($Z$2:$Z$593,62-$B$6),""))</f>
        <v>252</v>
      </c>
      <c r="Y78" t="str">
        <f>IF(Assessment!$G78="Critical",ROW(Assessment!$G78),"")</f>
        <v/>
      </c>
      <c r="Z78" t="str">
        <f>IF(Assessment!$G78="High",ROW(Assessment!$G78),"")</f>
        <v/>
      </c>
    </row>
    <row r="79" spans="1:26" x14ac:dyDescent="0.25">
      <c r="A79" s="10">
        <f>IF($X79="","",63)</f>
        <v>63</v>
      </c>
      <c r="B79" s="10" t="str">
        <f>IF($X79="","",INDEX(Assessment!$A:$A,$X79))</f>
        <v>ER.13a</v>
      </c>
      <c r="C79" s="10" t="str">
        <f>IF($X79="","",INDEX(Assessment!$B:$B,$X79))</f>
        <v>BSI TR-03183-1 v1.0.0</v>
      </c>
      <c r="D79" s="10" t="str">
        <f>IF($X79="","",INDEX(Assessment!$C:$C,$X79))</f>
        <v>Annex B Table 9 (CRA Annex I Part I (2)(l)); text also in 3.9</v>
      </c>
      <c r="E79" s="10" t="str">
        <f>IF($X79="","",INDEX(Assessment!$F:$F,$X79))</f>
        <v>Essential requirements - security logging</v>
      </c>
      <c r="F79" s="10" t="str">
        <f>IF($X79="","",INDEX(Assessment!$G:$G,$X79))</f>
        <v>High</v>
      </c>
      <c r="G79" s="10" t="str">
        <f>IF($X79="","",INDEX(Assessment!$J:$J,$X79))</f>
        <v>Implement the requirement where applicable, record the design decision and test evidence, otherwise justify non-applicability in the applicability statement.</v>
      </c>
      <c r="H79" s="10" t="str">
        <f>IF($X79="","",INDEX(Assessment!$L:$L,$X79))</f>
        <v>Security Architect / Development Lead</v>
      </c>
      <c r="I79" s="10" t="str">
        <f>IF($X79="","",INDEX(Assessment!$N:$N,$X79))</f>
        <v>M</v>
      </c>
      <c r="X79">
        <f>IF(63&lt;=$B$6,SMALL($Y$2:$Y$593,63),IF(63&lt;=$B$6+$B$7,SMALL($Z$2:$Z$593,63-$B$6),""))</f>
        <v>253</v>
      </c>
      <c r="Y79" t="str">
        <f>IF(Assessment!$G79="Critical",ROW(Assessment!$G79),"")</f>
        <v/>
      </c>
      <c r="Z79">
        <f>IF(Assessment!$G79="High",ROW(Assessment!$G79),"")</f>
        <v>79</v>
      </c>
    </row>
    <row r="80" spans="1:26" x14ac:dyDescent="0.25">
      <c r="A80" s="10">
        <f>IF($X80="","",64)</f>
        <v>64</v>
      </c>
      <c r="B80" s="10" t="str">
        <f>IF($X80="","",INDEX(Assessment!$A:$A,$X80))</f>
        <v>ER.14-a</v>
      </c>
      <c r="C80" s="10" t="str">
        <f>IF($X80="","",INDEX(Assessment!$B:$B,$X80))</f>
        <v>BSI TR-03183-1 v1.0.0</v>
      </c>
      <c r="D80" s="10" t="str">
        <f>IF($X80="","",INDEX(Assessment!$C:$C,$X80))</f>
        <v>Annex B Table 9 (CRA Annex I Part I (2)(m)); text also in 3.9</v>
      </c>
      <c r="E80" s="10" t="str">
        <f>IF($X80="","",INDEX(Assessment!$F:$F,$X80))</f>
        <v>Essential requirements - secure data removal</v>
      </c>
      <c r="F80" s="10" t="str">
        <f>IF($X80="","",INDEX(Assessment!$G:$G,$X80))</f>
        <v>High</v>
      </c>
      <c r="G80" s="10" t="str">
        <f>IF($X80="","",INDEX(Assessment!$J:$J,$X80))</f>
        <v>Design, implement and test the protection; record it in the applicability statement.</v>
      </c>
      <c r="H80" s="10" t="str">
        <f>IF($X80="","",INDEX(Assessment!$L:$L,$X80))</f>
        <v>Security Architect</v>
      </c>
      <c r="I80" s="10" t="str">
        <f>IF($X80="","",INDEX(Assessment!$N:$N,$X80))</f>
        <v>M</v>
      </c>
      <c r="X80">
        <f>IF(64&lt;=$B$6,SMALL($Y$2:$Y$593,64),IF(64&lt;=$B$6+$B$7,SMALL($Z$2:$Z$593,64-$B$6),""))</f>
        <v>255</v>
      </c>
      <c r="Y80" t="str">
        <f>IF(Assessment!$G80="Critical",ROW(Assessment!$G80),"")</f>
        <v/>
      </c>
      <c r="Z80" t="str">
        <f>IF(Assessment!$G80="High",ROW(Assessment!$G80),"")</f>
        <v/>
      </c>
    </row>
    <row r="81" spans="1:26" x14ac:dyDescent="0.25">
      <c r="A81" s="10">
        <f>IF($X81="","",65)</f>
        <v>65</v>
      </c>
      <c r="B81" s="10" t="str">
        <f>IF($X81="","",INDEX(Assessment!$A:$A,$X81))</f>
        <v>VH.1</v>
      </c>
      <c r="C81" s="10" t="str">
        <f>IF($X81="","",INDEX(Assessment!$B:$B,$X81))</f>
        <v>BSI TR-03183-1 v1.0.0</v>
      </c>
      <c r="D81" s="10" t="str">
        <f>IF($X81="","",INDEX(Assessment!$C:$C,$X81))</f>
        <v>Annex B Table 10 (CRA Annex I Part II (1)); text also in 3.9</v>
      </c>
      <c r="E81" s="10" t="str">
        <f>IF($X81="","",INDEX(Assessment!$F:$F,$X81))</f>
        <v>Vulnerability handling - identification</v>
      </c>
      <c r="F81" s="10" t="str">
        <f>IF($X81="","",INDEX(Assessment!$G:$G,$X81))</f>
        <v>High</v>
      </c>
      <c r="G81" s="10" t="str">
        <f>IF($X81="","",INDEX(Assessment!$J:$J,$X81))</f>
        <v>Provide fixes, analysis and test capacity for the vulnerability-handling process.</v>
      </c>
      <c r="H81" s="10" t="str">
        <f>IF($X81="","",INDEX(Assessment!$L:$L,$X81))</f>
        <v>Development Lead</v>
      </c>
      <c r="I81" s="10" t="str">
        <f>IF($X81="","",INDEX(Assessment!$N:$N,$X81))</f>
        <v>M</v>
      </c>
      <c r="X81">
        <f>IF(65&lt;=$B$6,SMALL($Y$2:$Y$593,65),IF(65&lt;=$B$6+$B$7,SMALL($Z$2:$Z$593,65-$B$6),""))</f>
        <v>257</v>
      </c>
      <c r="Y81" t="str">
        <f>IF(Assessment!$G81="Critical",ROW(Assessment!$G81),"")</f>
        <v/>
      </c>
      <c r="Z81">
        <f>IF(Assessment!$G81="High",ROW(Assessment!$G81),"")</f>
        <v>81</v>
      </c>
    </row>
    <row r="82" spans="1:26" ht="25.5" x14ac:dyDescent="0.25">
      <c r="A82" s="10">
        <f>IF($X82="","",66)</f>
        <v>66</v>
      </c>
      <c r="B82" s="10" t="str">
        <f>IF($X82="","",INDEX(Assessment!$A:$A,$X82))</f>
        <v>VH.1a</v>
      </c>
      <c r="C82" s="10" t="str">
        <f>IF($X82="","",INDEX(Assessment!$B:$B,$X82))</f>
        <v>BSI TR-03183-1 v1.0.0</v>
      </c>
      <c r="D82" s="10" t="str">
        <f>IF($X82="","",INDEX(Assessment!$C:$C,$X82))</f>
        <v>Annex B Table 10 (CRA Annex I Part II (1)); text also in 3.9</v>
      </c>
      <c r="E82" s="10" t="str">
        <f>IF($X82="","",INDEX(Assessment!$F:$F,$X82))</f>
        <v>SBOM (CRA)</v>
      </c>
      <c r="F82" s="10" t="str">
        <f>IF($X82="","",INDEX(Assessment!$G:$G,$X82))</f>
        <v>High</v>
      </c>
      <c r="G82" s="10" t="str">
        <f>IF($X82="","",INDEX(Assessment!$J:$J,$X82))</f>
        <v>Provide fixes, analysis and test capacity for the vulnerability-handling process.</v>
      </c>
      <c r="H82" s="10" t="str">
        <f>IF($X82="","",INDEX(Assessment!$L:$L,$X82))</f>
        <v>Development Lead</v>
      </c>
      <c r="I82" s="10" t="str">
        <f>IF($X82="","",INDEX(Assessment!$N:$N,$X82))</f>
        <v>M</v>
      </c>
      <c r="X82">
        <f>IF(66&lt;=$B$6,SMALL($Y$2:$Y$593,66),IF(66&lt;=$B$6+$B$7,SMALL($Z$2:$Z$593,66-$B$6),""))</f>
        <v>258</v>
      </c>
      <c r="Y82" t="str">
        <f>IF(Assessment!$G82="Critical",ROW(Assessment!$G82),"")</f>
        <v/>
      </c>
      <c r="Z82">
        <f>IF(Assessment!$G82="High",ROW(Assessment!$G82),"")</f>
        <v>82</v>
      </c>
    </row>
    <row r="83" spans="1:26" ht="25.5" x14ac:dyDescent="0.25">
      <c r="A83" s="10">
        <f>IF($X83="","",67)</f>
        <v>67</v>
      </c>
      <c r="B83" s="10" t="str">
        <f>IF($X83="","",INDEX(Assessment!$A:$A,$X83))</f>
        <v>VH.2a-a</v>
      </c>
      <c r="C83" s="10" t="str">
        <f>IF($X83="","",INDEX(Assessment!$B:$B,$X83))</f>
        <v>BSI TR-03183-1 v1.0.0</v>
      </c>
      <c r="D83" s="10" t="str">
        <f>IF($X83="","",INDEX(Assessment!$C:$C,$X83))</f>
        <v>Annex B Table 10 (CRA Annex I Part II (2)); text also in 3.9</v>
      </c>
      <c r="E83" s="10" t="str">
        <f>IF($X83="","",INDEX(Assessment!$F:$F,$X83))</f>
        <v>Vulnerability handling - remediation</v>
      </c>
      <c r="F83" s="10" t="str">
        <f>IF($X83="","",INDEX(Assessment!$G:$G,$X83))</f>
        <v>High</v>
      </c>
      <c r="G83" s="10" t="str">
        <f>IF($X83="","",INDEX(Assessment!$J:$J,$X83))</f>
        <v>Provide fixes, analysis and test capacity for the vulnerability-handling process.</v>
      </c>
      <c r="H83" s="10" t="str">
        <f>IF($X83="","",INDEX(Assessment!$L:$L,$X83))</f>
        <v>Development Lead</v>
      </c>
      <c r="I83" s="10" t="str">
        <f>IF($X83="","",INDEX(Assessment!$N:$N,$X83))</f>
        <v>M</v>
      </c>
      <c r="X83">
        <f>IF(67&lt;=$B$6,SMALL($Y$2:$Y$593,67),IF(67&lt;=$B$6+$B$7,SMALL($Z$2:$Z$593,67-$B$6),""))</f>
        <v>259</v>
      </c>
      <c r="Y83" t="str">
        <f>IF(Assessment!$G83="Critical",ROW(Assessment!$G83),"")</f>
        <v/>
      </c>
      <c r="Z83" t="str">
        <f>IF(Assessment!$G83="High",ROW(Assessment!$G83),"")</f>
        <v/>
      </c>
    </row>
    <row r="84" spans="1:26" ht="38.25" x14ac:dyDescent="0.25">
      <c r="A84" s="10">
        <f>IF($X84="","",68)</f>
        <v>68</v>
      </c>
      <c r="B84" s="10" t="str">
        <f>IF($X84="","",INDEX(Assessment!$A:$A,$X84))</f>
        <v>VH.7</v>
      </c>
      <c r="C84" s="10" t="str">
        <f>IF($X84="","",INDEX(Assessment!$B:$B,$X84))</f>
        <v>BSI TR-03183-1 v1.0.0</v>
      </c>
      <c r="D84" s="10" t="str">
        <f>IF($X84="","",INDEX(Assessment!$C:$C,$X84))</f>
        <v>Annex B Table 10 (CRA Annex I Part II (7)); text also in 3.9</v>
      </c>
      <c r="E84" s="10" t="str">
        <f>IF($X84="","",INDEX(Assessment!$F:$F,$X84))</f>
        <v>Secure update distribution</v>
      </c>
      <c r="F84" s="10" t="str">
        <f>IF($X84="","",INDEX(Assessment!$G:$G,$X84))</f>
        <v>High</v>
      </c>
      <c r="G84" s="10" t="str">
        <f>IF($X84="","",INDEX(Assessment!$J:$J,$X84))</f>
        <v>Design and implement the update mechanism with integrity protection, notification and deferral; justify non-applicable parts (e.g. automatic installation in change-controlled sites).</v>
      </c>
      <c r="H84" s="10" t="str">
        <f>IF($X84="","",INDEX(Assessment!$L:$L,$X84))</f>
        <v>Software Architect</v>
      </c>
      <c r="I84" s="10" t="str">
        <f>IF($X84="","",INDEX(Assessment!$N:$N,$X84))</f>
        <v>M</v>
      </c>
      <c r="X84">
        <f>IF(68&lt;=$B$6,SMALL($Y$2:$Y$593,68),IF(68&lt;=$B$6+$B$7,SMALL($Z$2:$Z$593,68-$B$6),""))</f>
        <v>267</v>
      </c>
      <c r="Y84" t="str">
        <f>IF(Assessment!$G84="Critical",ROW(Assessment!$G84),"")</f>
        <v/>
      </c>
      <c r="Z84" t="str">
        <f>IF(Assessment!$G84="High",ROW(Assessment!$G84),"")</f>
        <v/>
      </c>
    </row>
    <row r="85" spans="1:26" ht="25.5" x14ac:dyDescent="0.25">
      <c r="A85" s="10">
        <f>IF($X85="","",69)</f>
        <v>69</v>
      </c>
      <c r="B85" s="10" t="str">
        <f>IF($X85="","",INDEX(Assessment!$A:$A,$X85))</f>
        <v>TR2-004</v>
      </c>
      <c r="C85" s="10" t="str">
        <f>IF($X85="","",INDEX(Assessment!$B:$B,$X85))</f>
        <v>BSI TR-03183-2 v2.1.0</v>
      </c>
      <c r="D85" s="10" t="str">
        <f>IF($X85="","",INDEX(Assessment!$C:$C,$X85))</f>
        <v>1 Introduction</v>
      </c>
      <c r="E85" s="10" t="str">
        <f>IF($X85="","",INDEX(Assessment!$F:$F,$X85))</f>
        <v>Vulnerability handling - impact analysis</v>
      </c>
      <c r="F85" s="10" t="str">
        <f>IF($X85="","",INDEX(Assessment!$G:$G,$X85))</f>
        <v>High</v>
      </c>
      <c r="G85" s="10" t="str">
        <f>IF($X85="","",INDEX(Assessment!$J:$J,$X85))</f>
        <v>Provide reachability and exploitability analysis for components flagged by monitoring within the triage SLA.</v>
      </c>
      <c r="H85" s="10" t="str">
        <f>IF($X85="","",INDEX(Assessment!$L:$L,$X85))</f>
        <v>Development Lead / Security Architect</v>
      </c>
      <c r="I85" s="10" t="str">
        <f>IF($X85="","",INDEX(Assessment!$N:$N,$X85))</f>
        <v>M</v>
      </c>
      <c r="X85">
        <f>IF(69&lt;=$B$6,SMALL($Y$2:$Y$593,69),IF(69&lt;=$B$6+$B$7,SMALL($Z$2:$Z$593,69-$B$6),""))</f>
        <v>287</v>
      </c>
      <c r="Y85" t="str">
        <f>IF(Assessment!$G85="Critical",ROW(Assessment!$G85),"")</f>
        <v/>
      </c>
      <c r="Z85" t="str">
        <f>IF(Assessment!$G85="High",ROW(Assessment!$G85),"")</f>
        <v/>
      </c>
    </row>
    <row r="86" spans="1:26" ht="25.5" x14ac:dyDescent="0.25">
      <c r="A86" s="10">
        <f>IF($X86="","",70)</f>
        <v>70</v>
      </c>
      <c r="B86" s="10" t="str">
        <f>IF($X86="","",INDEX(Assessment!$A:$A,$X86))</f>
        <v>TR2-013-a</v>
      </c>
      <c r="C86" s="10" t="str">
        <f>IF($X86="","",INDEX(Assessment!$B:$B,$X86))</f>
        <v>BSI TR-03183-2 v2.1.0</v>
      </c>
      <c r="D86" s="10" t="str">
        <f>IF($X86="","",INDEX(Assessment!$C:$C,$X86))</f>
        <v>3.1 Definition of SBOM</v>
      </c>
      <c r="E86" s="10" t="str">
        <f>IF($X86="","",INDEX(Assessment!$F:$F,$X86))</f>
        <v>SBOM - versioning</v>
      </c>
      <c r="F86" s="10" t="str">
        <f>IF($X86="","",INDEX(Assessment!$G:$G,$X86))</f>
        <v>High</v>
      </c>
      <c r="G86" s="10" t="str">
        <f>IF($X86="","",INDEX(Assessment!$J:$J,$X86))</f>
        <v>Enforce lock files and declared dependencies in all repositories; generate a source SBOM in CI for early checks.</v>
      </c>
      <c r="H86" s="10" t="str">
        <f>IF($X86="","",INDEX(Assessment!$L:$L,$X86))</f>
        <v>Development Lead</v>
      </c>
      <c r="I86" s="10" t="str">
        <f>IF($X86="","",INDEX(Assessment!$N:$N,$X86))</f>
        <v>M</v>
      </c>
      <c r="X86">
        <f>IF(70&lt;=$B$6,SMALL($Y$2:$Y$593,70),IF(70&lt;=$B$6+$B$7,SMALL($Z$2:$Z$593,70-$B$6),""))</f>
        <v>297</v>
      </c>
      <c r="Y86" t="str">
        <f>IF(Assessment!$G86="Critical",ROW(Assessment!$G86),"")</f>
        <v/>
      </c>
      <c r="Z86" t="str">
        <f>IF(Assessment!$G86="High",ROW(Assessment!$G86),"")</f>
        <v/>
      </c>
    </row>
    <row r="87" spans="1:26" ht="38.25" x14ac:dyDescent="0.25">
      <c r="A87" s="10">
        <f>IF($X87="","",71)</f>
        <v>71</v>
      </c>
      <c r="B87" s="10" t="str">
        <f>IF($X87="","",INDEX(Assessment!$A:$A,$X87))</f>
        <v>TR2-071-a</v>
      </c>
      <c r="C87" s="10" t="str">
        <f>IF($X87="","",INDEX(Assessment!$B:$B,$X87))</f>
        <v>BSI TR-03183-2 v2.1.0</v>
      </c>
      <c r="D87" s="10" t="str">
        <f>IF($X87="","",INDEX(Assessment!$C:$C,$X87))</f>
        <v>6.1 Licence identifiers and expressions</v>
      </c>
      <c r="E87" s="10" t="str">
        <f>IF($X87="","",INDEX(Assessment!$F:$F,$X87))</f>
        <v>SBOM - licence information</v>
      </c>
      <c r="F87" s="10" t="str">
        <f>IF($X87="","",INDEX(Assessment!$G:$G,$X87))</f>
        <v>High</v>
      </c>
      <c r="G87" s="10" t="str">
        <f>IF($X87="","",INDEX(Assessment!$J:$J,$X87))</f>
        <v>Introduce licence scanning (SPDX identifiers, ScanCode LicenseDB fallback, LicenseRef- for unknown licences) and a clearing workflow for every new component.</v>
      </c>
      <c r="H87" s="10" t="str">
        <f>IF($X87="","",INDEX(Assessment!$L:$L,$X87))</f>
        <v>Open Source Compliance Officer / Development Lead</v>
      </c>
      <c r="I87" s="10" t="str">
        <f>IF($X87="","",INDEX(Assessment!$N:$N,$X87))</f>
        <v>M</v>
      </c>
      <c r="X87">
        <f>IF(71&lt;=$B$6,SMALL($Y$2:$Y$593,71),IF(71&lt;=$B$6+$B$7,SMALL($Z$2:$Z$593,71-$B$6),""))</f>
        <v>368</v>
      </c>
      <c r="Y87" t="str">
        <f>IF(Assessment!$G87="Critical",ROW(Assessment!$G87),"")</f>
        <v/>
      </c>
      <c r="Z87" t="str">
        <f>IF(Assessment!$G87="High",ROW(Assessment!$G87),"")</f>
        <v/>
      </c>
    </row>
    <row r="88" spans="1:26" x14ac:dyDescent="0.25">
      <c r="A88" s="10">
        <f>IF($X88="","",72)</f>
        <v>72</v>
      </c>
      <c r="B88" s="10" t="str">
        <f>IF($X88="","",INDEX(Assessment!$A:$A,$X88))</f>
        <v>TR3-4.4.10a-a</v>
      </c>
      <c r="C88" s="10" t="str">
        <f>IF($X88="","",INDEX(Assessment!$B:$B,$X88))</f>
        <v>BSI TR-03183-3 v1.0.0</v>
      </c>
      <c r="D88" s="10" t="str">
        <f>IF($X88="","",INDEX(Assessment!$C:$C,$X88))</f>
        <v>4.4.10 Vulnerability disclosure</v>
      </c>
      <c r="E88" s="10" t="str">
        <f>IF($X88="","",INDEX(Assessment!$F:$F,$X88))</f>
        <v>Vulnerability disclosure</v>
      </c>
      <c r="F88" s="10" t="str">
        <f>IF($X88="","",INDEX(Assessment!$G:$G,$X88))</f>
        <v>High</v>
      </c>
      <c r="G88" s="10" t="str">
        <f>IF($X88="","",INDEX(Assessment!$J:$J,$X88))</f>
        <v>Set fix lead-time targets by severity that fit inside the 90-day disclosure window.</v>
      </c>
      <c r="H88" s="10" t="str">
        <f>IF($X88="","",INDEX(Assessment!$L:$L,$X88))</f>
        <v>Development Lead</v>
      </c>
      <c r="I88" s="10" t="str">
        <f>IF($X88="","",INDEX(Assessment!$N:$N,$X88))</f>
        <v>M</v>
      </c>
      <c r="X88">
        <f>IF(72&lt;=$B$6,SMALL($Y$2:$Y$593,72),IF(72&lt;=$B$6+$B$7,SMALL($Z$2:$Z$593,72-$B$6),""))</f>
        <v>563</v>
      </c>
      <c r="Y88" t="str">
        <f>IF(Assessment!$G88="Critical",ROW(Assessment!$G88),"")</f>
        <v/>
      </c>
      <c r="Z88" t="str">
        <f>IF(Assessment!$G88="High",ROW(Assessment!$G88),"")</f>
        <v/>
      </c>
    </row>
    <row r="89" spans="1:26" x14ac:dyDescent="0.25">
      <c r="A89" s="10" t="str">
        <f>IF($X89="","",73)</f>
        <v/>
      </c>
      <c r="B89" s="10" t="str">
        <f>IF($X89="","",INDEX(Assessment!$A:$A,$X89))</f>
        <v/>
      </c>
      <c r="C89" s="10" t="str">
        <f>IF($X89="","",INDEX(Assessment!$B:$B,$X89))</f>
        <v/>
      </c>
      <c r="D89" s="10" t="str">
        <f>IF($X89="","",INDEX(Assessment!$C:$C,$X89))</f>
        <v/>
      </c>
      <c r="E89" s="10" t="str">
        <f>IF($X89="","",INDEX(Assessment!$F:$F,$X89))</f>
        <v/>
      </c>
      <c r="F89" s="10" t="str">
        <f>IF($X89="","",INDEX(Assessment!$G:$G,$X89))</f>
        <v/>
      </c>
      <c r="G89" s="10" t="str">
        <f>IF($X89="","",INDEX(Assessment!$J:$J,$X89))</f>
        <v/>
      </c>
      <c r="H89" s="10" t="str">
        <f>IF($X89="","",INDEX(Assessment!$L:$L,$X89))</f>
        <v/>
      </c>
      <c r="I89" s="10" t="str">
        <f>IF($X89="","",INDEX(Assessment!$N:$N,$X89))</f>
        <v/>
      </c>
      <c r="X89" t="str">
        <f>IF(73&lt;=$B$6,SMALL($Y$2:$Y$593,73),IF(73&lt;=$B$6+$B$7,SMALL($Z$2:$Z$593,73-$B$6),""))</f>
        <v/>
      </c>
      <c r="Y89" t="str">
        <f>IF(Assessment!$G89="Critical",ROW(Assessment!$G89),"")</f>
        <v/>
      </c>
      <c r="Z89" t="str">
        <f>IF(Assessment!$G89="High",ROW(Assessment!$G89),"")</f>
        <v/>
      </c>
    </row>
    <row r="90" spans="1:26" x14ac:dyDescent="0.25">
      <c r="A90" s="10" t="str">
        <f>IF($X90="","",74)</f>
        <v/>
      </c>
      <c r="B90" s="10" t="str">
        <f>IF($X90="","",INDEX(Assessment!$A:$A,$X90))</f>
        <v/>
      </c>
      <c r="C90" s="10" t="str">
        <f>IF($X90="","",INDEX(Assessment!$B:$B,$X90))</f>
        <v/>
      </c>
      <c r="D90" s="10" t="str">
        <f>IF($X90="","",INDEX(Assessment!$C:$C,$X90))</f>
        <v/>
      </c>
      <c r="E90" s="10" t="str">
        <f>IF($X90="","",INDEX(Assessment!$F:$F,$X90))</f>
        <v/>
      </c>
      <c r="F90" s="10" t="str">
        <f>IF($X90="","",INDEX(Assessment!$G:$G,$X90))</f>
        <v/>
      </c>
      <c r="G90" s="10" t="str">
        <f>IF($X90="","",INDEX(Assessment!$J:$J,$X90))</f>
        <v/>
      </c>
      <c r="H90" s="10" t="str">
        <f>IF($X90="","",INDEX(Assessment!$L:$L,$X90))</f>
        <v/>
      </c>
      <c r="I90" s="10" t="str">
        <f>IF($X90="","",INDEX(Assessment!$N:$N,$X90))</f>
        <v/>
      </c>
      <c r="X90" t="str">
        <f>IF(74&lt;=$B$6,SMALL($Y$2:$Y$593,74),IF(74&lt;=$B$6+$B$7,SMALL($Z$2:$Z$593,74-$B$6),""))</f>
        <v/>
      </c>
      <c r="Y90" t="str">
        <f>IF(Assessment!$G90="Critical",ROW(Assessment!$G90),"")</f>
        <v/>
      </c>
      <c r="Z90" t="str">
        <f>IF(Assessment!$G90="High",ROW(Assessment!$G90),"")</f>
        <v/>
      </c>
    </row>
    <row r="91" spans="1:26" x14ac:dyDescent="0.25">
      <c r="A91" s="10" t="str">
        <f>IF($X91="","",75)</f>
        <v/>
      </c>
      <c r="B91" s="10" t="str">
        <f>IF($X91="","",INDEX(Assessment!$A:$A,$X91))</f>
        <v/>
      </c>
      <c r="C91" s="10" t="str">
        <f>IF($X91="","",INDEX(Assessment!$B:$B,$X91))</f>
        <v/>
      </c>
      <c r="D91" s="10" t="str">
        <f>IF($X91="","",INDEX(Assessment!$C:$C,$X91))</f>
        <v/>
      </c>
      <c r="E91" s="10" t="str">
        <f>IF($X91="","",INDEX(Assessment!$F:$F,$X91))</f>
        <v/>
      </c>
      <c r="F91" s="10" t="str">
        <f>IF($X91="","",INDEX(Assessment!$G:$G,$X91))</f>
        <v/>
      </c>
      <c r="G91" s="10" t="str">
        <f>IF($X91="","",INDEX(Assessment!$J:$J,$X91))</f>
        <v/>
      </c>
      <c r="H91" s="10" t="str">
        <f>IF($X91="","",INDEX(Assessment!$L:$L,$X91))</f>
        <v/>
      </c>
      <c r="I91" s="10" t="str">
        <f>IF($X91="","",INDEX(Assessment!$N:$N,$X91))</f>
        <v/>
      </c>
      <c r="X91" t="str">
        <f>IF(75&lt;=$B$6,SMALL($Y$2:$Y$593,75),IF(75&lt;=$B$6+$B$7,SMALL($Z$2:$Z$593,75-$B$6),""))</f>
        <v/>
      </c>
      <c r="Y91" t="str">
        <f>IF(Assessment!$G91="Critical",ROW(Assessment!$G91),"")</f>
        <v/>
      </c>
      <c r="Z91" t="str">
        <f>IF(Assessment!$G91="High",ROW(Assessment!$G91),"")</f>
        <v/>
      </c>
    </row>
    <row r="92" spans="1:26" x14ac:dyDescent="0.25">
      <c r="A92" s="10" t="str">
        <f>IF($X92="","",76)</f>
        <v/>
      </c>
      <c r="B92" s="10" t="str">
        <f>IF($X92="","",INDEX(Assessment!$A:$A,$X92))</f>
        <v/>
      </c>
      <c r="C92" s="10" t="str">
        <f>IF($X92="","",INDEX(Assessment!$B:$B,$X92))</f>
        <v/>
      </c>
      <c r="D92" s="10" t="str">
        <f>IF($X92="","",INDEX(Assessment!$C:$C,$X92))</f>
        <v/>
      </c>
      <c r="E92" s="10" t="str">
        <f>IF($X92="","",INDEX(Assessment!$F:$F,$X92))</f>
        <v/>
      </c>
      <c r="F92" s="10" t="str">
        <f>IF($X92="","",INDEX(Assessment!$G:$G,$X92))</f>
        <v/>
      </c>
      <c r="G92" s="10" t="str">
        <f>IF($X92="","",INDEX(Assessment!$J:$J,$X92))</f>
        <v/>
      </c>
      <c r="H92" s="10" t="str">
        <f>IF($X92="","",INDEX(Assessment!$L:$L,$X92))</f>
        <v/>
      </c>
      <c r="I92" s="10" t="str">
        <f>IF($X92="","",INDEX(Assessment!$N:$N,$X92))</f>
        <v/>
      </c>
      <c r="X92" t="str">
        <f>IF(76&lt;=$B$6,SMALL($Y$2:$Y$593,76),IF(76&lt;=$B$6+$B$7,SMALL($Z$2:$Z$593,76-$B$6),""))</f>
        <v/>
      </c>
      <c r="Y92" t="str">
        <f>IF(Assessment!$G92="Critical",ROW(Assessment!$G92),"")</f>
        <v/>
      </c>
      <c r="Z92" t="str">
        <f>IF(Assessment!$G92="High",ROW(Assessment!$G92),"")</f>
        <v/>
      </c>
    </row>
    <row r="93" spans="1:26" x14ac:dyDescent="0.25">
      <c r="A93" s="10" t="str">
        <f>IF($X93="","",77)</f>
        <v/>
      </c>
      <c r="B93" s="10" t="str">
        <f>IF($X93="","",INDEX(Assessment!$A:$A,$X93))</f>
        <v/>
      </c>
      <c r="C93" s="10" t="str">
        <f>IF($X93="","",INDEX(Assessment!$B:$B,$X93))</f>
        <v/>
      </c>
      <c r="D93" s="10" t="str">
        <f>IF($X93="","",INDEX(Assessment!$C:$C,$X93))</f>
        <v/>
      </c>
      <c r="E93" s="10" t="str">
        <f>IF($X93="","",INDEX(Assessment!$F:$F,$X93))</f>
        <v/>
      </c>
      <c r="F93" s="10" t="str">
        <f>IF($X93="","",INDEX(Assessment!$G:$G,$X93))</f>
        <v/>
      </c>
      <c r="G93" s="10" t="str">
        <f>IF($X93="","",INDEX(Assessment!$J:$J,$X93))</f>
        <v/>
      </c>
      <c r="H93" s="10" t="str">
        <f>IF($X93="","",INDEX(Assessment!$L:$L,$X93))</f>
        <v/>
      </c>
      <c r="I93" s="10" t="str">
        <f>IF($X93="","",INDEX(Assessment!$N:$N,$X93))</f>
        <v/>
      </c>
      <c r="X93" t="str">
        <f>IF(77&lt;=$B$6,SMALL($Y$2:$Y$593,77),IF(77&lt;=$B$6+$B$7,SMALL($Z$2:$Z$593,77-$B$6),""))</f>
        <v/>
      </c>
      <c r="Y93" t="str">
        <f>IF(Assessment!$G93="Critical",ROW(Assessment!$G93),"")</f>
        <v/>
      </c>
      <c r="Z93" t="str">
        <f>IF(Assessment!$G93="High",ROW(Assessment!$G93),"")</f>
        <v/>
      </c>
    </row>
    <row r="94" spans="1:26" x14ac:dyDescent="0.25">
      <c r="A94" s="10" t="str">
        <f>IF($X94="","",78)</f>
        <v/>
      </c>
      <c r="B94" s="10" t="str">
        <f>IF($X94="","",INDEX(Assessment!$A:$A,$X94))</f>
        <v/>
      </c>
      <c r="C94" s="10" t="str">
        <f>IF($X94="","",INDEX(Assessment!$B:$B,$X94))</f>
        <v/>
      </c>
      <c r="D94" s="10" t="str">
        <f>IF($X94="","",INDEX(Assessment!$C:$C,$X94))</f>
        <v/>
      </c>
      <c r="E94" s="10" t="str">
        <f>IF($X94="","",INDEX(Assessment!$F:$F,$X94))</f>
        <v/>
      </c>
      <c r="F94" s="10" t="str">
        <f>IF($X94="","",INDEX(Assessment!$G:$G,$X94))</f>
        <v/>
      </c>
      <c r="G94" s="10" t="str">
        <f>IF($X94="","",INDEX(Assessment!$J:$J,$X94))</f>
        <v/>
      </c>
      <c r="H94" s="10" t="str">
        <f>IF($X94="","",INDEX(Assessment!$L:$L,$X94))</f>
        <v/>
      </c>
      <c r="I94" s="10" t="str">
        <f>IF($X94="","",INDEX(Assessment!$N:$N,$X94))</f>
        <v/>
      </c>
      <c r="X94" t="str">
        <f>IF(78&lt;=$B$6,SMALL($Y$2:$Y$593,78),IF(78&lt;=$B$6+$B$7,SMALL($Z$2:$Z$593,78-$B$6),""))</f>
        <v/>
      </c>
      <c r="Y94" t="str">
        <f>IF(Assessment!$G94="Critical",ROW(Assessment!$G94),"")</f>
        <v/>
      </c>
      <c r="Z94" t="str">
        <f>IF(Assessment!$G94="High",ROW(Assessment!$G94),"")</f>
        <v/>
      </c>
    </row>
    <row r="95" spans="1:26" x14ac:dyDescent="0.25">
      <c r="A95" s="10" t="str">
        <f>IF($X95="","",79)</f>
        <v/>
      </c>
      <c r="B95" s="10" t="str">
        <f>IF($X95="","",INDEX(Assessment!$A:$A,$X95))</f>
        <v/>
      </c>
      <c r="C95" s="10" t="str">
        <f>IF($X95="","",INDEX(Assessment!$B:$B,$X95))</f>
        <v/>
      </c>
      <c r="D95" s="10" t="str">
        <f>IF($X95="","",INDEX(Assessment!$C:$C,$X95))</f>
        <v/>
      </c>
      <c r="E95" s="10" t="str">
        <f>IF($X95="","",INDEX(Assessment!$F:$F,$X95))</f>
        <v/>
      </c>
      <c r="F95" s="10" t="str">
        <f>IF($X95="","",INDEX(Assessment!$G:$G,$X95))</f>
        <v/>
      </c>
      <c r="G95" s="10" t="str">
        <f>IF($X95="","",INDEX(Assessment!$J:$J,$X95))</f>
        <v/>
      </c>
      <c r="H95" s="10" t="str">
        <f>IF($X95="","",INDEX(Assessment!$L:$L,$X95))</f>
        <v/>
      </c>
      <c r="I95" s="10" t="str">
        <f>IF($X95="","",INDEX(Assessment!$N:$N,$X95))</f>
        <v/>
      </c>
      <c r="X95" t="str">
        <f>IF(79&lt;=$B$6,SMALL($Y$2:$Y$593,79),IF(79&lt;=$B$6+$B$7,SMALL($Z$2:$Z$593,79-$B$6),""))</f>
        <v/>
      </c>
      <c r="Y95" t="str">
        <f>IF(Assessment!$G95="Critical",ROW(Assessment!$G95),"")</f>
        <v/>
      </c>
      <c r="Z95" t="str">
        <f>IF(Assessment!$G95="High",ROW(Assessment!$G95),"")</f>
        <v/>
      </c>
    </row>
    <row r="96" spans="1:26" x14ac:dyDescent="0.25">
      <c r="A96" s="10" t="str">
        <f>IF($X96="","",80)</f>
        <v/>
      </c>
      <c r="B96" s="10" t="str">
        <f>IF($X96="","",INDEX(Assessment!$A:$A,$X96))</f>
        <v/>
      </c>
      <c r="C96" s="10" t="str">
        <f>IF($X96="","",INDEX(Assessment!$B:$B,$X96))</f>
        <v/>
      </c>
      <c r="D96" s="10" t="str">
        <f>IF($X96="","",INDEX(Assessment!$C:$C,$X96))</f>
        <v/>
      </c>
      <c r="E96" s="10" t="str">
        <f>IF($X96="","",INDEX(Assessment!$F:$F,$X96))</f>
        <v/>
      </c>
      <c r="F96" s="10" t="str">
        <f>IF($X96="","",INDEX(Assessment!$G:$G,$X96))</f>
        <v/>
      </c>
      <c r="G96" s="10" t="str">
        <f>IF($X96="","",INDEX(Assessment!$J:$J,$X96))</f>
        <v/>
      </c>
      <c r="H96" s="10" t="str">
        <f>IF($X96="","",INDEX(Assessment!$L:$L,$X96))</f>
        <v/>
      </c>
      <c r="I96" s="10" t="str">
        <f>IF($X96="","",INDEX(Assessment!$N:$N,$X96))</f>
        <v/>
      </c>
      <c r="X96" t="str">
        <f>IF(80&lt;=$B$6,SMALL($Y$2:$Y$593,80),IF(80&lt;=$B$6+$B$7,SMALL($Z$2:$Z$593,80-$B$6),""))</f>
        <v/>
      </c>
      <c r="Y96" t="str">
        <f>IF(Assessment!$G96="Critical",ROW(Assessment!$G96),"")</f>
        <v/>
      </c>
      <c r="Z96" t="str">
        <f>IF(Assessment!$G96="High",ROW(Assessment!$G96),"")</f>
        <v/>
      </c>
    </row>
    <row r="97" spans="1:26" x14ac:dyDescent="0.25">
      <c r="A97" s="10" t="str">
        <f>IF($X97="","",81)</f>
        <v/>
      </c>
      <c r="B97" s="10" t="str">
        <f>IF($X97="","",INDEX(Assessment!$A:$A,$X97))</f>
        <v/>
      </c>
      <c r="C97" s="10" t="str">
        <f>IF($X97="","",INDEX(Assessment!$B:$B,$X97))</f>
        <v/>
      </c>
      <c r="D97" s="10" t="str">
        <f>IF($X97="","",INDEX(Assessment!$C:$C,$X97))</f>
        <v/>
      </c>
      <c r="E97" s="10" t="str">
        <f>IF($X97="","",INDEX(Assessment!$F:$F,$X97))</f>
        <v/>
      </c>
      <c r="F97" s="10" t="str">
        <f>IF($X97="","",INDEX(Assessment!$G:$G,$X97))</f>
        <v/>
      </c>
      <c r="G97" s="10" t="str">
        <f>IF($X97="","",INDEX(Assessment!$J:$J,$X97))</f>
        <v/>
      </c>
      <c r="H97" s="10" t="str">
        <f>IF($X97="","",INDEX(Assessment!$L:$L,$X97))</f>
        <v/>
      </c>
      <c r="I97" s="10" t="str">
        <f>IF($X97="","",INDEX(Assessment!$N:$N,$X97))</f>
        <v/>
      </c>
      <c r="X97" t="str">
        <f>IF(81&lt;=$B$6,SMALL($Y$2:$Y$593,81),IF(81&lt;=$B$6+$B$7,SMALL($Z$2:$Z$593,81-$B$6),""))</f>
        <v/>
      </c>
      <c r="Y97" t="str">
        <f>IF(Assessment!$G97="Critical",ROW(Assessment!$G97),"")</f>
        <v/>
      </c>
      <c r="Z97" t="str">
        <f>IF(Assessment!$G97="High",ROW(Assessment!$G97),"")</f>
        <v/>
      </c>
    </row>
    <row r="98" spans="1:26" x14ac:dyDescent="0.25">
      <c r="A98" s="10" t="str">
        <f>IF($X98="","",82)</f>
        <v/>
      </c>
      <c r="B98" s="10" t="str">
        <f>IF($X98="","",INDEX(Assessment!$A:$A,$X98))</f>
        <v/>
      </c>
      <c r="C98" s="10" t="str">
        <f>IF($X98="","",INDEX(Assessment!$B:$B,$X98))</f>
        <v/>
      </c>
      <c r="D98" s="10" t="str">
        <f>IF($X98="","",INDEX(Assessment!$C:$C,$X98))</f>
        <v/>
      </c>
      <c r="E98" s="10" t="str">
        <f>IF($X98="","",INDEX(Assessment!$F:$F,$X98))</f>
        <v/>
      </c>
      <c r="F98" s="10" t="str">
        <f>IF($X98="","",INDEX(Assessment!$G:$G,$X98))</f>
        <v/>
      </c>
      <c r="G98" s="10" t="str">
        <f>IF($X98="","",INDEX(Assessment!$J:$J,$X98))</f>
        <v/>
      </c>
      <c r="H98" s="10" t="str">
        <f>IF($X98="","",INDEX(Assessment!$L:$L,$X98))</f>
        <v/>
      </c>
      <c r="I98" s="10" t="str">
        <f>IF($X98="","",INDEX(Assessment!$N:$N,$X98))</f>
        <v/>
      </c>
      <c r="X98" t="str">
        <f>IF(82&lt;=$B$6,SMALL($Y$2:$Y$593,82),IF(82&lt;=$B$6+$B$7,SMALL($Z$2:$Z$593,82-$B$6),""))</f>
        <v/>
      </c>
      <c r="Y98" t="str">
        <f>IF(Assessment!$G98="Critical",ROW(Assessment!$G98),"")</f>
        <v/>
      </c>
      <c r="Z98" t="str">
        <f>IF(Assessment!$G98="High",ROW(Assessment!$G98),"")</f>
        <v/>
      </c>
    </row>
    <row r="99" spans="1:26" x14ac:dyDescent="0.25">
      <c r="A99" s="10" t="str">
        <f>IF($X99="","",83)</f>
        <v/>
      </c>
      <c r="B99" s="10" t="str">
        <f>IF($X99="","",INDEX(Assessment!$A:$A,$X99))</f>
        <v/>
      </c>
      <c r="C99" s="10" t="str">
        <f>IF($X99="","",INDEX(Assessment!$B:$B,$X99))</f>
        <v/>
      </c>
      <c r="D99" s="10" t="str">
        <f>IF($X99="","",INDEX(Assessment!$C:$C,$X99))</f>
        <v/>
      </c>
      <c r="E99" s="10" t="str">
        <f>IF($X99="","",INDEX(Assessment!$F:$F,$X99))</f>
        <v/>
      </c>
      <c r="F99" s="10" t="str">
        <f>IF($X99="","",INDEX(Assessment!$G:$G,$X99))</f>
        <v/>
      </c>
      <c r="G99" s="10" t="str">
        <f>IF($X99="","",INDEX(Assessment!$J:$J,$X99))</f>
        <v/>
      </c>
      <c r="H99" s="10" t="str">
        <f>IF($X99="","",INDEX(Assessment!$L:$L,$X99))</f>
        <v/>
      </c>
      <c r="I99" s="10" t="str">
        <f>IF($X99="","",INDEX(Assessment!$N:$N,$X99))</f>
        <v/>
      </c>
      <c r="X99" t="str">
        <f>IF(83&lt;=$B$6,SMALL($Y$2:$Y$593,83),IF(83&lt;=$B$6+$B$7,SMALL($Z$2:$Z$593,83-$B$6),""))</f>
        <v/>
      </c>
      <c r="Y99" t="str">
        <f>IF(Assessment!$G99="Critical",ROW(Assessment!$G99),"")</f>
        <v/>
      </c>
      <c r="Z99" t="str">
        <f>IF(Assessment!$G99="High",ROW(Assessment!$G99),"")</f>
        <v/>
      </c>
    </row>
    <row r="100" spans="1:26" x14ac:dyDescent="0.25">
      <c r="A100" s="10" t="str">
        <f>IF($X100="","",84)</f>
        <v/>
      </c>
      <c r="B100" s="10" t="str">
        <f>IF($X100="","",INDEX(Assessment!$A:$A,$X100))</f>
        <v/>
      </c>
      <c r="C100" s="10" t="str">
        <f>IF($X100="","",INDEX(Assessment!$B:$B,$X100))</f>
        <v/>
      </c>
      <c r="D100" s="10" t="str">
        <f>IF($X100="","",INDEX(Assessment!$C:$C,$X100))</f>
        <v/>
      </c>
      <c r="E100" s="10" t="str">
        <f>IF($X100="","",INDEX(Assessment!$F:$F,$X100))</f>
        <v/>
      </c>
      <c r="F100" s="10" t="str">
        <f>IF($X100="","",INDEX(Assessment!$G:$G,$X100))</f>
        <v/>
      </c>
      <c r="G100" s="10" t="str">
        <f>IF($X100="","",INDEX(Assessment!$J:$J,$X100))</f>
        <v/>
      </c>
      <c r="H100" s="10" t="str">
        <f>IF($X100="","",INDEX(Assessment!$L:$L,$X100))</f>
        <v/>
      </c>
      <c r="I100" s="10" t="str">
        <f>IF($X100="","",INDEX(Assessment!$N:$N,$X100))</f>
        <v/>
      </c>
      <c r="X100" t="str">
        <f>IF(84&lt;=$B$6,SMALL($Y$2:$Y$593,84),IF(84&lt;=$B$6+$B$7,SMALL($Z$2:$Z$593,84-$B$6),""))</f>
        <v/>
      </c>
      <c r="Y100" t="str">
        <f>IF(Assessment!$G100="Critical",ROW(Assessment!$G100),"")</f>
        <v/>
      </c>
      <c r="Z100" t="str">
        <f>IF(Assessment!$G100="High",ROW(Assessment!$G100),"")</f>
        <v/>
      </c>
    </row>
    <row r="101" spans="1:26" x14ac:dyDescent="0.25">
      <c r="A101" s="10" t="str">
        <f>IF($X101="","",85)</f>
        <v/>
      </c>
      <c r="B101" s="10" t="str">
        <f>IF($X101="","",INDEX(Assessment!$A:$A,$X101))</f>
        <v/>
      </c>
      <c r="C101" s="10" t="str">
        <f>IF($X101="","",INDEX(Assessment!$B:$B,$X101))</f>
        <v/>
      </c>
      <c r="D101" s="10" t="str">
        <f>IF($X101="","",INDEX(Assessment!$C:$C,$X101))</f>
        <v/>
      </c>
      <c r="E101" s="10" t="str">
        <f>IF($X101="","",INDEX(Assessment!$F:$F,$X101))</f>
        <v/>
      </c>
      <c r="F101" s="10" t="str">
        <f>IF($X101="","",INDEX(Assessment!$G:$G,$X101))</f>
        <v/>
      </c>
      <c r="G101" s="10" t="str">
        <f>IF($X101="","",INDEX(Assessment!$J:$J,$X101))</f>
        <v/>
      </c>
      <c r="H101" s="10" t="str">
        <f>IF($X101="","",INDEX(Assessment!$L:$L,$X101))</f>
        <v/>
      </c>
      <c r="I101" s="10" t="str">
        <f>IF($X101="","",INDEX(Assessment!$N:$N,$X101))</f>
        <v/>
      </c>
      <c r="X101" t="str">
        <f>IF(85&lt;=$B$6,SMALL($Y$2:$Y$593,85),IF(85&lt;=$B$6+$B$7,SMALL($Z$2:$Z$593,85-$B$6),""))</f>
        <v/>
      </c>
      <c r="Y101" t="str">
        <f>IF(Assessment!$G101="Critical",ROW(Assessment!$G101),"")</f>
        <v/>
      </c>
      <c r="Z101" t="str">
        <f>IF(Assessment!$G101="High",ROW(Assessment!$G101),"")</f>
        <v/>
      </c>
    </row>
    <row r="102" spans="1:26" x14ac:dyDescent="0.25">
      <c r="A102" s="10" t="str">
        <f>IF($X102="","",86)</f>
        <v/>
      </c>
      <c r="B102" s="10" t="str">
        <f>IF($X102="","",INDEX(Assessment!$A:$A,$X102))</f>
        <v/>
      </c>
      <c r="C102" s="10" t="str">
        <f>IF($X102="","",INDEX(Assessment!$B:$B,$X102))</f>
        <v/>
      </c>
      <c r="D102" s="10" t="str">
        <f>IF($X102="","",INDEX(Assessment!$C:$C,$X102))</f>
        <v/>
      </c>
      <c r="E102" s="10" t="str">
        <f>IF($X102="","",INDEX(Assessment!$F:$F,$X102))</f>
        <v/>
      </c>
      <c r="F102" s="10" t="str">
        <f>IF($X102="","",INDEX(Assessment!$G:$G,$X102))</f>
        <v/>
      </c>
      <c r="G102" s="10" t="str">
        <f>IF($X102="","",INDEX(Assessment!$J:$J,$X102))</f>
        <v/>
      </c>
      <c r="H102" s="10" t="str">
        <f>IF($X102="","",INDEX(Assessment!$L:$L,$X102))</f>
        <v/>
      </c>
      <c r="I102" s="10" t="str">
        <f>IF($X102="","",INDEX(Assessment!$N:$N,$X102))</f>
        <v/>
      </c>
      <c r="X102" t="str">
        <f>IF(86&lt;=$B$6,SMALL($Y$2:$Y$593,86),IF(86&lt;=$B$6+$B$7,SMALL($Z$2:$Z$593,86-$B$6),""))</f>
        <v/>
      </c>
      <c r="Y102" t="str">
        <f>IF(Assessment!$G102="Critical",ROW(Assessment!$G102),"")</f>
        <v/>
      </c>
      <c r="Z102" t="str">
        <f>IF(Assessment!$G102="High",ROW(Assessment!$G102),"")</f>
        <v/>
      </c>
    </row>
    <row r="103" spans="1:26" x14ac:dyDescent="0.25">
      <c r="A103" s="10" t="str">
        <f>IF($X103="","",87)</f>
        <v/>
      </c>
      <c r="B103" s="10" t="str">
        <f>IF($X103="","",INDEX(Assessment!$A:$A,$X103))</f>
        <v/>
      </c>
      <c r="C103" s="10" t="str">
        <f>IF($X103="","",INDEX(Assessment!$B:$B,$X103))</f>
        <v/>
      </c>
      <c r="D103" s="10" t="str">
        <f>IF($X103="","",INDEX(Assessment!$C:$C,$X103))</f>
        <v/>
      </c>
      <c r="E103" s="10" t="str">
        <f>IF($X103="","",INDEX(Assessment!$F:$F,$X103))</f>
        <v/>
      </c>
      <c r="F103" s="10" t="str">
        <f>IF($X103="","",INDEX(Assessment!$G:$G,$X103))</f>
        <v/>
      </c>
      <c r="G103" s="10" t="str">
        <f>IF($X103="","",INDEX(Assessment!$J:$J,$X103))</f>
        <v/>
      </c>
      <c r="H103" s="10" t="str">
        <f>IF($X103="","",INDEX(Assessment!$L:$L,$X103))</f>
        <v/>
      </c>
      <c r="I103" s="10" t="str">
        <f>IF($X103="","",INDEX(Assessment!$N:$N,$X103))</f>
        <v/>
      </c>
      <c r="X103" t="str">
        <f>IF(87&lt;=$B$6,SMALL($Y$2:$Y$593,87),IF(87&lt;=$B$6+$B$7,SMALL($Z$2:$Z$593,87-$B$6),""))</f>
        <v/>
      </c>
      <c r="Y103" t="str">
        <f>IF(Assessment!$G103="Critical",ROW(Assessment!$G103),"")</f>
        <v/>
      </c>
      <c r="Z103" t="str">
        <f>IF(Assessment!$G103="High",ROW(Assessment!$G103),"")</f>
        <v/>
      </c>
    </row>
    <row r="104" spans="1:26" x14ac:dyDescent="0.25">
      <c r="A104" s="10" t="str">
        <f>IF($X104="","",88)</f>
        <v/>
      </c>
      <c r="B104" s="10" t="str">
        <f>IF($X104="","",INDEX(Assessment!$A:$A,$X104))</f>
        <v/>
      </c>
      <c r="C104" s="10" t="str">
        <f>IF($X104="","",INDEX(Assessment!$B:$B,$X104))</f>
        <v/>
      </c>
      <c r="D104" s="10" t="str">
        <f>IF($X104="","",INDEX(Assessment!$C:$C,$X104))</f>
        <v/>
      </c>
      <c r="E104" s="10" t="str">
        <f>IF($X104="","",INDEX(Assessment!$F:$F,$X104))</f>
        <v/>
      </c>
      <c r="F104" s="10" t="str">
        <f>IF($X104="","",INDEX(Assessment!$G:$G,$X104))</f>
        <v/>
      </c>
      <c r="G104" s="10" t="str">
        <f>IF($X104="","",INDEX(Assessment!$J:$J,$X104))</f>
        <v/>
      </c>
      <c r="H104" s="10" t="str">
        <f>IF($X104="","",INDEX(Assessment!$L:$L,$X104))</f>
        <v/>
      </c>
      <c r="I104" s="10" t="str">
        <f>IF($X104="","",INDEX(Assessment!$N:$N,$X104))</f>
        <v/>
      </c>
      <c r="X104" t="str">
        <f>IF(88&lt;=$B$6,SMALL($Y$2:$Y$593,88),IF(88&lt;=$B$6+$B$7,SMALL($Z$2:$Z$593,88-$B$6),""))</f>
        <v/>
      </c>
      <c r="Y104" t="str">
        <f>IF(Assessment!$G104="Critical",ROW(Assessment!$G104),"")</f>
        <v/>
      </c>
      <c r="Z104" t="str">
        <f>IF(Assessment!$G104="High",ROW(Assessment!$G104),"")</f>
        <v/>
      </c>
    </row>
    <row r="105" spans="1:26" x14ac:dyDescent="0.25">
      <c r="A105" s="10" t="str">
        <f>IF($X105="","",89)</f>
        <v/>
      </c>
      <c r="B105" s="10" t="str">
        <f>IF($X105="","",INDEX(Assessment!$A:$A,$X105))</f>
        <v/>
      </c>
      <c r="C105" s="10" t="str">
        <f>IF($X105="","",INDEX(Assessment!$B:$B,$X105))</f>
        <v/>
      </c>
      <c r="D105" s="10" t="str">
        <f>IF($X105="","",INDEX(Assessment!$C:$C,$X105))</f>
        <v/>
      </c>
      <c r="E105" s="10" t="str">
        <f>IF($X105="","",INDEX(Assessment!$F:$F,$X105))</f>
        <v/>
      </c>
      <c r="F105" s="10" t="str">
        <f>IF($X105="","",INDEX(Assessment!$G:$G,$X105))</f>
        <v/>
      </c>
      <c r="G105" s="10" t="str">
        <f>IF($X105="","",INDEX(Assessment!$J:$J,$X105))</f>
        <v/>
      </c>
      <c r="H105" s="10" t="str">
        <f>IF($X105="","",INDEX(Assessment!$L:$L,$X105))</f>
        <v/>
      </c>
      <c r="I105" s="10" t="str">
        <f>IF($X105="","",INDEX(Assessment!$N:$N,$X105))</f>
        <v/>
      </c>
      <c r="X105" t="str">
        <f>IF(89&lt;=$B$6,SMALL($Y$2:$Y$593,89),IF(89&lt;=$B$6+$B$7,SMALL($Z$2:$Z$593,89-$B$6),""))</f>
        <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t="str">
        <f>IF(Assessment!$G108="Critical",ROW(Assessment!$G108),"")</f>
        <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t="str">
        <f>IF(Assessment!$G109="High",ROW(Assessment!$G109),"")</f>
        <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f>IF(Assessment!$G110="High",ROW(Assessment!$G110),"")</f>
        <v>110</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t="str">
        <f>IF(Assessment!$G111="High",ROW(Assessment!$G111),"")</f>
        <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f>IF(Assessment!$G112="High",ROW(Assessment!$G112),"")</f>
        <v>112</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f>IF(Assessment!$G113="High",ROW(Assessment!$G113),"")</f>
        <v>113</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f>IF(Assessment!$G121="High",ROW(Assessment!$G121),"")</f>
        <v>121</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f>IF(Assessment!$G122="Critical",ROW(Assessment!$G122),"")</f>
        <v>122</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f>IF(Assessment!$G123="High",ROW(Assessment!$G123),"")</f>
        <v>123</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f>IF(Assessment!$G131="High",ROW(Assessment!$G131),"")</f>
        <v>131</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f>IF(Assessment!$G132="High",ROW(Assessment!$G132),"")</f>
        <v>132</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t="str">
        <f>IF(Assessment!$G133="High",ROW(Assessment!$G133),"")</f>
        <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f>IF(Assessment!$G142="High",ROW(Assessment!$G142),"")</f>
        <v>142</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f>IF(Assessment!$G150="Critical",ROW(Assessment!$G150),"")</f>
        <v>150</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f>IF(Assessment!$G153="Critical",ROW(Assessment!$G153),"")</f>
        <v>153</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f>IF(Assessment!$G158="High",ROW(Assessment!$G158),"")</f>
        <v>158</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f>IF(Assessment!$G160="High",ROW(Assessment!$G160),"")</f>
        <v>160</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f>IF(Assessment!$G163="High",ROW(Assessment!$G163),"")</f>
        <v>163</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f>IF(Assessment!$G166="Critical",ROW(Assessment!$G166),"")</f>
        <v>166</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f>IF(Assessment!$G167="High",ROW(Assessment!$G167),"")</f>
        <v>167</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f>IF(Assessment!$G168="High",ROW(Assessment!$G168),"")</f>
        <v>168</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t="str">
        <f>IF(Assessment!$G169="High",ROW(Assessment!$G169),"")</f>
        <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f>IF(Assessment!$G170="High",ROW(Assessment!$G170),"")</f>
        <v>170</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f>IF(Assessment!$G171="Critical",ROW(Assessment!$G171),"")</f>
        <v>171</v>
      </c>
      <c r="Z171" t="str">
        <f>IF(Assessment!$G171="High",ROW(Assessment!$G171),"")</f>
        <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f>IF(Assessment!$G172="Critical",ROW(Assessment!$G172),"")</f>
        <v>172</v>
      </c>
      <c r="Z172" t="str">
        <f>IF(Assessment!$G172="High",ROW(Assessment!$G172),"")</f>
        <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f>IF(Assessment!$G174="High",ROW(Assessment!$G174),"")</f>
        <v>174</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f>IF(Assessment!$G177="High",ROW(Assessment!$G177),"")</f>
        <v>177</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f>IF(Assessment!$G180="High",ROW(Assessment!$G180),"")</f>
        <v>180</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t="str">
        <f>IF(Assessment!$G181="High",ROW(Assessment!$G181),"")</f>
        <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f>IF(Assessment!$G182="High",ROW(Assessment!$G182),"")</f>
        <v>182</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f>IF(Assessment!$G184="Critical",ROW(Assessment!$G184),"")</f>
        <v>184</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f>IF(Assessment!$G185="High",ROW(Assessment!$G185),"")</f>
        <v>185</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f>IF(Assessment!$G186="High",ROW(Assessment!$G186),"")</f>
        <v>186</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t="str">
        <f>IF(Assessment!$G187="High",ROW(Assessment!$G187),"")</f>
        <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f>IF(Assessment!$G189="Critical",ROW(Assessment!$G189),"")</f>
        <v>189</v>
      </c>
      <c r="Z189" t="str">
        <f>IF(Assessment!$G189="High",ROW(Assessment!$G189),"")</f>
        <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f>IF(Assessment!$G190="High",ROW(Assessment!$G190),"")</f>
        <v>190</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t="str">
        <f>IF(Assessment!$G191="High",ROW(Assessment!$G191),"")</f>
        <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t="str">
        <f>IF(Assessment!$G193="High",ROW(Assessment!$G193),"")</f>
        <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f>IF(Assessment!$G196="High",ROW(Assessment!$G196),"")</f>
        <v>196</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f>IF(Assessment!$G197="High",ROW(Assessment!$G197),"")</f>
        <v>197</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t="str">
        <f>IF(Assessment!$G226="High",ROW(Assessment!$G226),"")</f>
        <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t="str">
        <f>IF(Assessment!$G228="High",ROW(Assessment!$G228),"")</f>
        <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t="str">
        <f>IF(Assessment!$G229="High",ROW(Assessment!$G229),"")</f>
        <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f>IF(Assessment!$G230="Critical",ROW(Assessment!$G230),"")</f>
        <v>230</v>
      </c>
      <c r="Z230" t="str">
        <f>IF(Assessment!$G230="High",ROW(Assessment!$G230),"")</f>
        <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f>IF(Assessment!$G231="Critical",ROW(Assessment!$G231),"")</f>
        <v>231</v>
      </c>
      <c r="Z231" t="str">
        <f>IF(Assessment!$G231="High",ROW(Assessment!$G231),"")</f>
        <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f>IF(Assessment!$G232="Critical",ROW(Assessment!$G232),"")</f>
        <v>232</v>
      </c>
      <c r="Z232" t="str">
        <f>IF(Assessment!$G232="High",ROW(Assessment!$G232),"")</f>
        <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f>IF(Assessment!$G233="High",ROW(Assessment!$G233),"")</f>
        <v>233</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f>IF(Assessment!$G234="Critical",ROW(Assessment!$G234),"")</f>
        <v>234</v>
      </c>
      <c r="Z234" t="str">
        <f>IF(Assessment!$G234="High",ROW(Assessment!$G234),"")</f>
        <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f>IF(Assessment!$G235="High",ROW(Assessment!$G235),"")</f>
        <v>235</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t="str">
        <f>IF(Assessment!$G237="High",ROW(Assessment!$G237),"")</f>
        <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f>IF(Assessment!$G239="High",ROW(Assessment!$G239),"")</f>
        <v>239</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f>IF(Assessment!$G240="High",ROW(Assessment!$G240),"")</f>
        <v>240</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f>IF(Assessment!$G241="High",ROW(Assessment!$G241),"")</f>
        <v>241</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f>IF(Assessment!$G242="High",ROW(Assessment!$G242),"")</f>
        <v>242</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f>IF(Assessment!$G243="High",ROW(Assessment!$G243),"")</f>
        <v>243</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f>IF(Assessment!$G245="High",ROW(Assessment!$G245),"")</f>
        <v>245</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f>IF(Assessment!$G246="High",ROW(Assessment!$G246),"")</f>
        <v>246</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f>IF(Assessment!$G247="High",ROW(Assessment!$G247),"")</f>
        <v>247</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f>IF(Assessment!$G249="High",ROW(Assessment!$G249),"")</f>
        <v>249</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f>IF(Assessment!$G250="High",ROW(Assessment!$G250),"")</f>
        <v>250</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f>IF(Assessment!$G251="High",ROW(Assessment!$G251),"")</f>
        <v>251</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f>IF(Assessment!$G252="High",ROW(Assessment!$G252),"")</f>
        <v>252</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f>IF(Assessment!$G253="High",ROW(Assessment!$G253),"")</f>
        <v>253</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t="str">
        <f>IF(Assessment!$G255="Critical",ROW(Assessment!$G255),"")</f>
        <v/>
      </c>
      <c r="Z255">
        <f>IF(Assessment!$G255="High",ROW(Assessment!$G255),"")</f>
        <v>255</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t="str">
        <f>IF(Assessment!$G256="High",ROW(Assessment!$G256),"")</f>
        <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t="str">
        <f>IF(Assessment!$G257="Critical",ROW(Assessment!$G257),"")</f>
        <v/>
      </c>
      <c r="Z257">
        <f>IF(Assessment!$G257="High",ROW(Assessment!$G257),"")</f>
        <v>257</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t="str">
        <f>IF(Assessment!$G258="Critical",ROW(Assessment!$G258),"")</f>
        <v/>
      </c>
      <c r="Z258">
        <f>IF(Assessment!$G258="High",ROW(Assessment!$G258),"")</f>
        <v>258</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t="str">
        <f>IF(Assessment!$G259="Critical",ROW(Assessment!$G259),"")</f>
        <v/>
      </c>
      <c r="Z259">
        <f>IF(Assessment!$G259="High",ROW(Assessment!$G259),"")</f>
        <v>259</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t="str">
        <f>IF(Assessment!$G260="High",ROW(Assessment!$G260),"")</f>
        <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f>IF(Assessment!$G261="Critical",ROW(Assessment!$G261),"")</f>
        <v>261</v>
      </c>
      <c r="Z261" t="str">
        <f>IF(Assessment!$G261="High",ROW(Assessment!$G261),"")</f>
        <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t="str">
        <f>IF(Assessment!$G262="Critical",ROW(Assessment!$G262),"")</f>
        <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t="str">
        <f>IF(Assessment!$G264="Critical",ROW(Assessment!$G264),"")</f>
        <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t="str">
        <f>IF(Assessment!$G265="High",ROW(Assessment!$G265),"")</f>
        <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t="str">
        <f>IF(Assessment!$G266="Critical",ROW(Assessment!$G266),"")</f>
        <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t="str">
        <f>IF(Assessment!$G267="Critical",ROW(Assessment!$G267),"")</f>
        <v/>
      </c>
      <c r="Z267">
        <f>IF(Assessment!$G267="High",ROW(Assessment!$G267),"")</f>
        <v>267</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t="str">
        <f>IF(Assessment!$G269="Critical",ROW(Assessment!$G269),"")</f>
        <v/>
      </c>
      <c r="Z269" t="str">
        <f>IF(Assessment!$G269="High",ROW(Assessment!$G269),"")</f>
        <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t="str">
        <f>IF(Assessment!$G270="Critical",ROW(Assessment!$G270),"")</f>
        <v/>
      </c>
      <c r="Z270" t="str">
        <f>IF(Assessment!$G270="High",ROW(Assessment!$G270),"")</f>
        <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t="str">
        <f>IF(Assessment!$G271="High",ROW(Assessment!$G271),"")</f>
        <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t="str">
        <f>IF(Assessment!$G286="High",ROW(Assessment!$G286),"")</f>
        <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t="str">
        <f>IF(Assessment!$G287="Critical",ROW(Assessment!$G287),"")</f>
        <v/>
      </c>
      <c r="Z287">
        <f>IF(Assessment!$G287="High",ROW(Assessment!$G287),"")</f>
        <v>287</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t="str">
        <f>IF(Assessment!$G288="Critical",ROW(Assessment!$G288),"")</f>
        <v/>
      </c>
      <c r="Z288" t="str">
        <f>IF(Assessment!$G288="High",ROW(Assessment!$G288),"")</f>
        <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t="str">
        <f>IF(Assessment!$G289="High",ROW(Assessment!$G289),"")</f>
        <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t="str">
        <f>IF(Assessment!$G292="High",ROW(Assessment!$G292),"")</f>
        <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t="str">
        <f>IF(Assessment!$G295="Critical",ROW(Assessment!$G295),"")</f>
        <v/>
      </c>
      <c r="Z295" t="str">
        <f>IF(Assessment!$G295="High",ROW(Assessment!$G295),"")</f>
        <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f>IF(Assessment!$G297="High",ROW(Assessment!$G297),"")</f>
        <v>297</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t="str">
        <f>IF(Assessment!$G298="High",ROW(Assessment!$G298),"")</f>
        <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t="str">
        <f>IF(Assessment!$G301="High",ROW(Assessment!$G301),"")</f>
        <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t="str">
        <f>IF(Assessment!$G305="High",ROW(Assessment!$G305),"")</f>
        <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t="str">
        <f>IF(Assessment!$G325="High",ROW(Assessment!$G325),"")</f>
        <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t="str">
        <f>IF(Assessment!$G327="High",ROW(Assessment!$G327),"")</f>
        <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t="str">
        <f>IF(Assessment!$G334="High",ROW(Assessment!$G334),"")</f>
        <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t="str">
        <f>IF(Assessment!$G352="High",ROW(Assessment!$G352),"")</f>
        <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t="str">
        <f>IF(Assessment!$G355="High",ROW(Assessment!$G355),"")</f>
        <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t="str">
        <f>IF(Assessment!$G356="High",ROW(Assessment!$G356),"")</f>
        <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t="str">
        <f>IF(Assessment!$G363="High",ROW(Assessment!$G363),"")</f>
        <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f>IF(Assessment!$G368="High",ROW(Assessment!$G368),"")</f>
        <v>368</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t="str">
        <f>IF(Assessment!$G395="High",ROW(Assessment!$G395),"")</f>
        <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t="str">
        <f>IF(Assessment!$G409="High",ROW(Assessment!$G409),"")</f>
        <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t="str">
        <f>IF(Assessment!$G412="High",ROW(Assessment!$G412),"")</f>
        <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t="str">
        <f>IF(Assessment!$G415="High",ROW(Assessment!$G415),"")</f>
        <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t="str">
        <f>IF(Assessment!$G418="High",ROW(Assessment!$G418),"")</f>
        <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t="str">
        <f>IF(Assessment!$G419="High",ROW(Assessment!$G419),"")</f>
        <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t="str">
        <f>IF(Assessment!$G420="Critical",ROW(Assessment!$G420),"")</f>
        <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t="str">
        <f>IF(Assessment!$G421="High",ROW(Assessment!$G421),"")</f>
        <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t="str">
        <f>IF(Assessment!$G429="High",ROW(Assessment!$G429),"")</f>
        <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t="str">
        <f>IF(Assessment!$G432="High",ROW(Assessment!$G432),"")</f>
        <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t="str">
        <f>IF(Assessment!$G433="High",ROW(Assessment!$G433),"")</f>
        <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t="str">
        <f>IF(Assessment!$G436="High",ROW(Assessment!$G436),"")</f>
        <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t="str">
        <f>IF(Assessment!$G478="High",ROW(Assessment!$G478),"")</f>
        <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t="str">
        <f>IF(Assessment!$G479="Critical",ROW(Assessment!$G479),"")</f>
        <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t="str">
        <f>IF(Assessment!$G480="High",ROW(Assessment!$G480),"")</f>
        <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t="str">
        <f>IF(Assessment!$G485="High",ROW(Assessment!$G485),"")</f>
        <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t="str">
        <f>IF(Assessment!$G495="High",ROW(Assessment!$G495),"")</f>
        <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t="str">
        <f>IF(Assessment!$G505="High",ROW(Assessment!$G505),"")</f>
        <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t="str">
        <f>IF(Assessment!$G514="Critical",ROW(Assessment!$G514),"")</f>
        <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t="str">
        <f>IF(Assessment!$G515="Critical",ROW(Assessment!$G515),"")</f>
        <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t="str">
        <f>IF(Assessment!$G520="Critical",ROW(Assessment!$G520),"")</f>
        <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t="str">
        <f>IF(Assessment!$G521="High",ROW(Assessment!$G521),"")</f>
        <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t="str">
        <f>IF(Assessment!$G522="High",ROW(Assessment!$G522),"")</f>
        <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t="str">
        <f>IF(Assessment!$G525="High",ROW(Assessment!$G525),"")</f>
        <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t="str">
        <f>IF(Assessment!$G527="High",ROW(Assessment!$G527),"")</f>
        <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t="str">
        <f>IF(Assessment!$G528="High",ROW(Assessment!$G528),"")</f>
        <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t="str">
        <f>IF(Assessment!$G553="High",ROW(Assessment!$G553),"")</f>
        <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t="str">
        <f>IF(Assessment!$G554="High",ROW(Assessment!$G554),"")</f>
        <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t="str">
        <f>IF(Assessment!$G556="High",ROW(Assessment!$G556),"")</f>
        <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f>IF(Assessment!$G563="High",ROW(Assessment!$G563),"")</f>
        <v>563</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2116</v>
      </c>
    </row>
    <row r="2" spans="1:2" x14ac:dyDescent="0.25">
      <c r="A2" s="3" t="s">
        <v>2117</v>
      </c>
      <c r="B2" s="2" t="s">
        <v>2118</v>
      </c>
    </row>
    <row r="3" spans="1:2" x14ac:dyDescent="0.25">
      <c r="A3" s="3" t="s">
        <v>2119</v>
      </c>
      <c r="B3" s="2" t="s">
        <v>2120</v>
      </c>
    </row>
    <row r="4" spans="1:2" ht="25.5" x14ac:dyDescent="0.25">
      <c r="A4" s="3" t="s">
        <v>2121</v>
      </c>
      <c r="B4" s="2" t="s">
        <v>2122</v>
      </c>
    </row>
    <row r="6" spans="1:2" x14ac:dyDescent="0.25">
      <c r="A6" s="11" t="s">
        <v>2123</v>
      </c>
      <c r="B6" s="12"/>
    </row>
    <row r="7" spans="1:2" x14ac:dyDescent="0.25">
      <c r="A7" s="3" t="s">
        <v>2124</v>
      </c>
      <c r="B7" s="2" t="s">
        <v>2125</v>
      </c>
    </row>
    <row r="8" spans="1:2" x14ac:dyDescent="0.25">
      <c r="A8" s="3" t="s">
        <v>2126</v>
      </c>
      <c r="B8" s="2" t="s">
        <v>2127</v>
      </c>
    </row>
    <row r="9" spans="1:2" ht="25.5" x14ac:dyDescent="0.25">
      <c r="A9" s="3" t="s">
        <v>2128</v>
      </c>
      <c r="B9" s="2" t="s">
        <v>2129</v>
      </c>
    </row>
    <row r="10" spans="1:2" ht="38.25" x14ac:dyDescent="0.25">
      <c r="A10" s="3" t="s">
        <v>2130</v>
      </c>
      <c r="B10" s="2" t="s">
        <v>2131</v>
      </c>
    </row>
    <row r="12" spans="1:2" x14ac:dyDescent="0.25">
      <c r="A12" s="11" t="s">
        <v>2132</v>
      </c>
      <c r="B12" s="12"/>
    </row>
    <row r="13" spans="1:2" ht="25.5" x14ac:dyDescent="0.25">
      <c r="A13" s="3" t="s">
        <v>2133</v>
      </c>
      <c r="B13" s="2" t="s">
        <v>2134</v>
      </c>
    </row>
    <row r="14" spans="1:2" ht="25.5" x14ac:dyDescent="0.25">
      <c r="A14" s="3" t="s">
        <v>2135</v>
      </c>
      <c r="B14" s="2" t="s">
        <v>2136</v>
      </c>
    </row>
    <row r="15" spans="1:2" ht="38.25" x14ac:dyDescent="0.25">
      <c r="A15" s="3" t="s">
        <v>2137</v>
      </c>
      <c r="B15" s="2" t="s">
        <v>2138</v>
      </c>
    </row>
    <row r="16" spans="1:2" x14ac:dyDescent="0.25">
      <c r="A16" s="3" t="s">
        <v>2139</v>
      </c>
      <c r="B16" s="2" t="s">
        <v>2140</v>
      </c>
    </row>
    <row r="17" spans="1:2" x14ac:dyDescent="0.25">
      <c r="A17" s="3" t="s">
        <v>2141</v>
      </c>
      <c r="B17" s="2" t="s">
        <v>2142</v>
      </c>
    </row>
    <row r="18" spans="1:2" ht="38.25" x14ac:dyDescent="0.25">
      <c r="A18" s="3" t="s">
        <v>2143</v>
      </c>
      <c r="B18" s="2" t="s">
        <v>2144</v>
      </c>
    </row>
    <row r="19" spans="1:2" x14ac:dyDescent="0.25">
      <c r="A19" s="3" t="s">
        <v>2145</v>
      </c>
      <c r="B19" s="2" t="s">
        <v>2146</v>
      </c>
    </row>
    <row r="20" spans="1:2" x14ac:dyDescent="0.25">
      <c r="A20" s="3" t="s">
        <v>2147</v>
      </c>
      <c r="B20" s="2" t="s">
        <v>2148</v>
      </c>
    </row>
    <row r="22" spans="1:2" x14ac:dyDescent="0.25">
      <c r="A22" s="11" t="s">
        <v>2149</v>
      </c>
      <c r="B22" s="12"/>
    </row>
    <row r="23" spans="1:2" x14ac:dyDescent="0.25">
      <c r="A23" s="13" t="s">
        <v>158</v>
      </c>
      <c r="B23" s="2" t="s">
        <v>2150</v>
      </c>
    </row>
    <row r="24" spans="1:2" x14ac:dyDescent="0.25">
      <c r="A24" s="14" t="s">
        <v>70</v>
      </c>
      <c r="B24" s="2" t="s">
        <v>2151</v>
      </c>
    </row>
    <row r="25" spans="1:2" x14ac:dyDescent="0.25">
      <c r="A25" s="15" t="s">
        <v>85</v>
      </c>
      <c r="B25" s="2" t="s">
        <v>2152</v>
      </c>
    </row>
    <row r="26" spans="1:2" x14ac:dyDescent="0.25">
      <c r="A26" s="16" t="s">
        <v>21</v>
      </c>
      <c r="B26" s="2" t="s">
        <v>2153</v>
      </c>
    </row>
    <row r="27" spans="1:2" x14ac:dyDescent="0.25">
      <c r="A27" s="17" t="s">
        <v>49</v>
      </c>
      <c r="B27" s="2" t="s">
        <v>2154</v>
      </c>
    </row>
    <row r="28" spans="1:2" x14ac:dyDescent="0.25">
      <c r="A28" s="3" t="s">
        <v>13</v>
      </c>
      <c r="B28" s="2" t="s">
        <v>2155</v>
      </c>
    </row>
    <row r="30" spans="1:2" x14ac:dyDescent="0.25">
      <c r="A30" s="11" t="s">
        <v>2156</v>
      </c>
      <c r="B30" s="12"/>
    </row>
    <row r="31" spans="1:2" x14ac:dyDescent="0.25">
      <c r="A31" s="3" t="s">
        <v>2157</v>
      </c>
      <c r="B31" s="2" t="s">
        <v>2158</v>
      </c>
    </row>
    <row r="32" spans="1:2" ht="25.5" x14ac:dyDescent="0.25">
      <c r="A32" s="18" t="s">
        <v>2159</v>
      </c>
      <c r="B32" s="19" t="s">
        <v>2160</v>
      </c>
    </row>
    <row r="33" spans="1:2" x14ac:dyDescent="0.25">
      <c r="A33" s="3" t="s">
        <v>2161</v>
      </c>
      <c r="B33" s="2" t="s">
        <v>2162</v>
      </c>
    </row>
    <row r="34" spans="1:2" ht="25.5" x14ac:dyDescent="0.25">
      <c r="A34" s="3" t="s">
        <v>2163</v>
      </c>
      <c r="B34" s="2" t="s">
        <v>2164</v>
      </c>
    </row>
    <row r="35" spans="1:2" ht="25.5" x14ac:dyDescent="0.25">
      <c r="A35" s="3" t="s">
        <v>2165</v>
      </c>
      <c r="B35" s="2" t="s">
        <v>2166</v>
      </c>
    </row>
    <row r="36" spans="1:2" x14ac:dyDescent="0.25">
      <c r="A36" s="3" t="s">
        <v>2167</v>
      </c>
      <c r="B36" s="2" t="s">
        <v>2168</v>
      </c>
    </row>
    <row r="38" spans="1:2" x14ac:dyDescent="0.25">
      <c r="A38" s="11" t="s">
        <v>2169</v>
      </c>
      <c r="B38" s="12"/>
    </row>
    <row r="39" spans="1:2" ht="38.25" x14ac:dyDescent="0.25">
      <c r="A39" s="3" t="s">
        <v>2170</v>
      </c>
      <c r="B39" s="2" t="s">
        <v>2171</v>
      </c>
    </row>
    <row r="40" spans="1:2" ht="51" x14ac:dyDescent="0.25">
      <c r="A40" s="3" t="s">
        <v>2172</v>
      </c>
      <c r="B40" s="2" t="s">
        <v>2173</v>
      </c>
    </row>
    <row r="41" spans="1:2" ht="38.25" x14ac:dyDescent="0.25">
      <c r="A41" s="3" t="s">
        <v>2174</v>
      </c>
      <c r="B41" s="2" t="s">
        <v>2175</v>
      </c>
    </row>
    <row r="42" spans="1:2" ht="38.25" x14ac:dyDescent="0.25">
      <c r="A42" s="3" t="s">
        <v>2176</v>
      </c>
      <c r="B42" s="2" t="s">
        <v>2177</v>
      </c>
    </row>
    <row r="43" spans="1:2" ht="38.25" x14ac:dyDescent="0.25">
      <c r="A43" s="3" t="s">
        <v>2178</v>
      </c>
      <c r="B43" s="2" t="s">
        <v>2179</v>
      </c>
    </row>
    <row r="44" spans="1:2" x14ac:dyDescent="0.25">
      <c r="A44" s="3" t="s">
        <v>2180</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2181</v>
      </c>
      <c r="B46" s="12"/>
    </row>
    <row r="47" spans="1:2" ht="25.5" x14ac:dyDescent="0.25">
      <c r="A47" s="3" t="s">
        <v>2182</v>
      </c>
      <c r="B47" s="2" t="s">
        <v>2183</v>
      </c>
    </row>
    <row r="48" spans="1:2" ht="25.5" x14ac:dyDescent="0.25">
      <c r="A48" s="3" t="s">
        <v>2184</v>
      </c>
      <c r="B48" s="2" t="s">
        <v>2185</v>
      </c>
    </row>
    <row r="50" spans="1:2" x14ac:dyDescent="0.25">
      <c r="A50" s="11" t="s">
        <v>2186</v>
      </c>
      <c r="B50" s="12"/>
    </row>
    <row r="51" spans="1:2" ht="25.5" x14ac:dyDescent="0.25">
      <c r="A51" s="3" t="s">
        <v>2187</v>
      </c>
      <c r="B51" s="2" t="s">
        <v>2188</v>
      </c>
    </row>
    <row r="52" spans="1:2" x14ac:dyDescent="0.25">
      <c r="A52" s="3" t="s">
        <v>2189</v>
      </c>
      <c r="B52" s="2" t="s">
        <v>2190</v>
      </c>
    </row>
    <row r="53" spans="1:2" ht="25.5" x14ac:dyDescent="0.25">
      <c r="A53" s="3" t="s">
        <v>2191</v>
      </c>
      <c r="B53" s="2" t="s">
        <v>2192</v>
      </c>
    </row>
    <row r="54" spans="1:2" x14ac:dyDescent="0.25">
      <c r="A54" s="3" t="s">
        <v>2193</v>
      </c>
      <c r="B54" s="2" t="s">
        <v>2194</v>
      </c>
    </row>
    <row r="55" spans="1:2" x14ac:dyDescent="0.25">
      <c r="A55" s="3" t="s">
        <v>2195</v>
      </c>
      <c r="B55" s="2" t="s">
        <v>2196</v>
      </c>
    </row>
    <row r="56" spans="1:2" ht="25.5" x14ac:dyDescent="0.25">
      <c r="A56" s="3" t="s">
        <v>2197</v>
      </c>
      <c r="B56" s="2" t="s">
        <v>2198</v>
      </c>
    </row>
    <row r="57" spans="1:2" x14ac:dyDescent="0.25">
      <c r="A57" s="3" t="s">
        <v>2199</v>
      </c>
      <c r="B57" s="2" t="s">
        <v>2200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2026-10-18T14:26:59Z</dcterms:created>
  <dcterms:modified xsi:type="dcterms:W3CDTF">2026-10-18T14:27:10Z</dcterms:modified>
</cp:coreProperties>
</file>